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mc:AlternateContent xmlns:mc="http://schemas.openxmlformats.org/markup-compatibility/2006">
    <mc:Choice Requires="x15">
      <x15ac:absPath xmlns:x15ac="http://schemas.microsoft.com/office/spreadsheetml/2010/11/ac" url="C:\Users\PureG\Downloads\Excel Files\"/>
    </mc:Choice>
  </mc:AlternateContent>
  <xr:revisionPtr revIDLastSave="0" documentId="13_ncr:1_{77F056F0-796E-4BAD-B4EE-0B34FC87C813}" xr6:coauthVersionLast="47" xr6:coauthVersionMax="47" xr10:uidLastSave="{00000000-0000-0000-0000-000000000000}"/>
  <bookViews>
    <workbookView xWindow="-120" yWindow="-120" windowWidth="29040" windowHeight="16440" xr2:uid="{00000000-000D-0000-FFFF-FFFF00000000}"/>
  </bookViews>
  <sheets>
    <sheet name="License" sheetId="27" r:id="rId1"/>
    <sheet name="Acknowledgements" sheetId="26" r:id="rId2"/>
    <sheet name="Definitions" sheetId="1" r:id="rId3"/>
    <sheet name="Character Sheet Quick Reference" sheetId="23" r:id="rId4"/>
    <sheet name="Character Sheet" sheetId="6" r:id="rId5"/>
    <sheet name="Attribute Chart" sheetId="7" r:id="rId6"/>
    <sheet name="Damage Chart" sheetId="8" r:id="rId7"/>
    <sheet name="Moves List" sheetId="9" r:id="rId8"/>
    <sheet name="Abilities List" sheetId="10" r:id="rId9"/>
    <sheet name="Items List" sheetId="11" r:id="rId10"/>
    <sheet name="EXP Chart" sheetId="12" r:id="rId11"/>
    <sheet name="IQ Skills" sheetId="13" r:id="rId12"/>
    <sheet name="List of PKMN" sheetId="14" r:id="rId13"/>
    <sheet name="Backup Character Sheet" sheetId="24" r:id="rId14"/>
  </sheets>
  <definedNames>
    <definedName name="_xlnm._FilterDatabase" localSheetId="8" hidden="1">'Abilities List'!$A$1:$C$259</definedName>
    <definedName name="_xlnm._FilterDatabase" localSheetId="11" hidden="1">'IQ Skills'!$A$1:$C$1</definedName>
    <definedName name="_xleta.IFERROR" hidden="1" xlm="1">#NAME?</definedName>
    <definedName name="_xleta.INT" hidden="1" xlm="1">#NAME?</definedName>
    <definedName name="_xleta.ROUNDDOWN"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20" roundtripDataChecksum="jhpR9N10lJYp85nHYWMMOf5V3LAjD2XAn1Q8ynoHtQ0="/>
    </ext>
  </extLst>
</workbook>
</file>

<file path=xl/calcChain.xml><?xml version="1.0" encoding="utf-8"?>
<calcChain xmlns="http://schemas.openxmlformats.org/spreadsheetml/2006/main">
  <c r="B6" i="6" l="1"/>
  <c r="C10" i="6" s="1"/>
  <c r="D10" i="6" s="1"/>
  <c r="H10" i="6" s="1"/>
  <c r="J10" i="6" s="1"/>
  <c r="Q36" i="24"/>
  <c r="Q35" i="24"/>
  <c r="M35" i="24"/>
  <c r="I35" i="24"/>
  <c r="H35" i="24"/>
  <c r="M34" i="24"/>
  <c r="I34" i="24"/>
  <c r="H34" i="24"/>
  <c r="M33" i="24"/>
  <c r="I33" i="24"/>
  <c r="H33" i="24"/>
  <c r="M32" i="24"/>
  <c r="I32" i="24"/>
  <c r="H32" i="24"/>
  <c r="M31" i="24"/>
  <c r="I31" i="24"/>
  <c r="H31" i="24"/>
  <c r="M30" i="24"/>
  <c r="I30" i="24"/>
  <c r="H30" i="24"/>
  <c r="M29" i="24"/>
  <c r="I29" i="24"/>
  <c r="H29" i="24"/>
  <c r="M28" i="24"/>
  <c r="I28" i="24"/>
  <c r="H28" i="24"/>
  <c r="M27" i="24"/>
  <c r="I27" i="24"/>
  <c r="H27" i="24"/>
  <c r="M26" i="24"/>
  <c r="I26" i="24"/>
  <c r="H26" i="24"/>
  <c r="M25" i="24"/>
  <c r="I25" i="24"/>
  <c r="H25" i="24"/>
  <c r="M24" i="24"/>
  <c r="I24" i="24"/>
  <c r="H24" i="24"/>
  <c r="M23" i="24"/>
  <c r="I23" i="24"/>
  <c r="H23" i="24"/>
  <c r="M22" i="24"/>
  <c r="I22" i="24"/>
  <c r="H22" i="24"/>
  <c r="M21" i="24"/>
  <c r="I21" i="24"/>
  <c r="H21" i="24"/>
  <c r="M20" i="24"/>
  <c r="I20" i="24"/>
  <c r="H20" i="24"/>
  <c r="M19" i="24"/>
  <c r="I19" i="24"/>
  <c r="H19" i="24"/>
  <c r="M18" i="24"/>
  <c r="M17" i="24"/>
  <c r="M16" i="24"/>
  <c r="C16" i="24"/>
  <c r="E16" i="24" s="1"/>
  <c r="M15" i="24"/>
  <c r="H15" i="24"/>
  <c r="J15" i="24" s="1"/>
  <c r="H16" i="24" s="1"/>
  <c r="B15" i="24"/>
  <c r="D15" i="24" s="1"/>
  <c r="M14" i="24"/>
  <c r="B14" i="24"/>
  <c r="M13" i="24"/>
  <c r="B13" i="24"/>
  <c r="M12" i="24"/>
  <c r="B12" i="24"/>
  <c r="M11" i="24"/>
  <c r="H11" i="24"/>
  <c r="J11" i="24" s="1"/>
  <c r="D11" i="24"/>
  <c r="B11" i="24"/>
  <c r="Q10" i="24"/>
  <c r="B10" i="24"/>
  <c r="Q9" i="24"/>
  <c r="Q8" i="24"/>
  <c r="C8" i="24"/>
  <c r="Q7" i="24"/>
  <c r="C7" i="24"/>
  <c r="Q6" i="24"/>
  <c r="M6" i="24"/>
  <c r="K6" i="24"/>
  <c r="J6" i="24"/>
  <c r="I6" i="24"/>
  <c r="G6" i="24"/>
  <c r="H6" i="24" s="1"/>
  <c r="F6" i="24"/>
  <c r="E6" i="24"/>
  <c r="B6" i="24"/>
  <c r="Q5" i="24"/>
  <c r="M5" i="24"/>
  <c r="K5" i="24"/>
  <c r="J5" i="24"/>
  <c r="I5" i="24"/>
  <c r="G5" i="24"/>
  <c r="H5" i="24" s="1"/>
  <c r="F5" i="24"/>
  <c r="E5" i="24"/>
  <c r="Q4" i="24"/>
  <c r="M4" i="24"/>
  <c r="K4" i="24"/>
  <c r="J4" i="24"/>
  <c r="I4" i="24"/>
  <c r="G4" i="24"/>
  <c r="H4" i="24" s="1"/>
  <c r="F4" i="24"/>
  <c r="E4" i="24"/>
  <c r="Q3" i="24"/>
  <c r="M3" i="24"/>
  <c r="K3" i="24"/>
  <c r="J3" i="24"/>
  <c r="I3" i="24"/>
  <c r="G3" i="24"/>
  <c r="H3" i="24" s="1"/>
  <c r="F3" i="24"/>
  <c r="E3" i="24"/>
  <c r="M2" i="24"/>
  <c r="K2" i="24"/>
  <c r="J2" i="24"/>
  <c r="I2" i="24"/>
  <c r="G2" i="24"/>
  <c r="H2" i="24" s="1"/>
  <c r="F2" i="24"/>
  <c r="E2" i="24"/>
  <c r="Q3" i="23"/>
  <c r="M2" i="6"/>
  <c r="Q36" i="23"/>
  <c r="Q35" i="23"/>
  <c r="M28" i="23"/>
  <c r="Q9" i="23"/>
  <c r="M17" i="23"/>
  <c r="Q8" i="23" s="1"/>
  <c r="Q7" i="23"/>
  <c r="Q6" i="23"/>
  <c r="Q5" i="23"/>
  <c r="Q10" i="23"/>
  <c r="C8" i="23"/>
  <c r="C7" i="23"/>
  <c r="Q4" i="23"/>
  <c r="F9" i="12"/>
  <c r="I35" i="6"/>
  <c r="I34" i="6"/>
  <c r="I33" i="6"/>
  <c r="I32" i="6"/>
  <c r="I31" i="6"/>
  <c r="I30" i="6"/>
  <c r="I29" i="6"/>
  <c r="I28" i="6"/>
  <c r="I27" i="6"/>
  <c r="I26" i="6"/>
  <c r="I25" i="6"/>
  <c r="I24" i="6"/>
  <c r="K2" i="6"/>
  <c r="K6" i="6"/>
  <c r="K5" i="6"/>
  <c r="K4" i="6"/>
  <c r="K3" i="6"/>
  <c r="J2" i="6"/>
  <c r="M6" i="6"/>
  <c r="M5" i="6"/>
  <c r="M4" i="6"/>
  <c r="M3" i="6"/>
  <c r="B10" i="6"/>
  <c r="B15" i="6"/>
  <c r="D15" i="6" s="1"/>
  <c r="B14" i="6"/>
  <c r="H14" i="6" s="1"/>
  <c r="J14" i="6" s="1"/>
  <c r="B13" i="6"/>
  <c r="D13" i="6" s="1"/>
  <c r="B12" i="6"/>
  <c r="H12" i="6" s="1"/>
  <c r="J12" i="6" s="1"/>
  <c r="B11" i="6"/>
  <c r="H11" i="6" s="1"/>
  <c r="J11" i="6" s="1"/>
  <c r="C16" i="6"/>
  <c r="G6" i="6"/>
  <c r="H6" i="6" s="1"/>
  <c r="G5" i="6"/>
  <c r="H5" i="6" s="1"/>
  <c r="G4" i="6"/>
  <c r="H4" i="6" s="1"/>
  <c r="G3" i="6"/>
  <c r="H3" i="6" s="1"/>
  <c r="G2" i="6"/>
  <c r="H2" i="6" s="1"/>
  <c r="I1168" i="14"/>
  <c r="J1168" i="14" s="1"/>
  <c r="J1167" i="14"/>
  <c r="I1167" i="14"/>
  <c r="I1166" i="14"/>
  <c r="J1166" i="14" s="1"/>
  <c r="J1165" i="14"/>
  <c r="I1165" i="14"/>
  <c r="I1164" i="14"/>
  <c r="J1164" i="14" s="1"/>
  <c r="J1163" i="14"/>
  <c r="I1163" i="14"/>
  <c r="I1162" i="14"/>
  <c r="J1162" i="14" s="1"/>
  <c r="I1161" i="14"/>
  <c r="J1161" i="14" s="1"/>
  <c r="I1160" i="14"/>
  <c r="J1160" i="14" s="1"/>
  <c r="I1159" i="14"/>
  <c r="J1159" i="14" s="1"/>
  <c r="I1158" i="14"/>
  <c r="J1158" i="14" s="1"/>
  <c r="J1157" i="14"/>
  <c r="I1157" i="14"/>
  <c r="J1156" i="14"/>
  <c r="I1156" i="14"/>
  <c r="I1155" i="14"/>
  <c r="J1155" i="14" s="1"/>
  <c r="I1154" i="14"/>
  <c r="J1154" i="14" s="1"/>
  <c r="J1153" i="14"/>
  <c r="I1153" i="14"/>
  <c r="J1152" i="14"/>
  <c r="J1151" i="14"/>
  <c r="J1150" i="14"/>
  <c r="J1149" i="14"/>
  <c r="J1148" i="14"/>
  <c r="J1147" i="14"/>
  <c r="J1146" i="14"/>
  <c r="J1145" i="14"/>
  <c r="J1144" i="14"/>
  <c r="J1143" i="14"/>
  <c r="J1142" i="14"/>
  <c r="J1141" i="14"/>
  <c r="J1140" i="14"/>
  <c r="J1139" i="14"/>
  <c r="J1138" i="14"/>
  <c r="J1137" i="14"/>
  <c r="J1136" i="14"/>
  <c r="J1135" i="14"/>
  <c r="J1134" i="14"/>
  <c r="J1133" i="14"/>
  <c r="J1132" i="14"/>
  <c r="J1131" i="14"/>
  <c r="J1130" i="14"/>
  <c r="J1129" i="14"/>
  <c r="J1128" i="14"/>
  <c r="J1127" i="14"/>
  <c r="J1126" i="14"/>
  <c r="J1125" i="14"/>
  <c r="J1124" i="14"/>
  <c r="J1123" i="14"/>
  <c r="J1122" i="14"/>
  <c r="J1121" i="14"/>
  <c r="J1120" i="14"/>
  <c r="J1119" i="14"/>
  <c r="J1118" i="14"/>
  <c r="J1117" i="14"/>
  <c r="J1116" i="14"/>
  <c r="J1115" i="14"/>
  <c r="J1114" i="14"/>
  <c r="J1113" i="14"/>
  <c r="J1112" i="14"/>
  <c r="J1111" i="14"/>
  <c r="J1110" i="14"/>
  <c r="J1109" i="14"/>
  <c r="J1108" i="14"/>
  <c r="J1107" i="14"/>
  <c r="J1106" i="14"/>
  <c r="J1105" i="14"/>
  <c r="J1104" i="14"/>
  <c r="J1103" i="14"/>
  <c r="J1102" i="14"/>
  <c r="J1101" i="14"/>
  <c r="J1100" i="14"/>
  <c r="J1099" i="14"/>
  <c r="J1098" i="14"/>
  <c r="J1097" i="14"/>
  <c r="J1096" i="14"/>
  <c r="J1095" i="14"/>
  <c r="J1094" i="14"/>
  <c r="J1093" i="14"/>
  <c r="J1092" i="14"/>
  <c r="J1091" i="14"/>
  <c r="J1090" i="14"/>
  <c r="J1089" i="14"/>
  <c r="J1088" i="14"/>
  <c r="J1087" i="14"/>
  <c r="J1086" i="14"/>
  <c r="J1085" i="14"/>
  <c r="J1084" i="14"/>
  <c r="J1083" i="14"/>
  <c r="J1082" i="14"/>
  <c r="J1081" i="14"/>
  <c r="J1080" i="14"/>
  <c r="J1079" i="14"/>
  <c r="J1078" i="14"/>
  <c r="J1077" i="14"/>
  <c r="J1076" i="14"/>
  <c r="J1075" i="14"/>
  <c r="J1074" i="14"/>
  <c r="J1073" i="14"/>
  <c r="J1072" i="14"/>
  <c r="J1071" i="14"/>
  <c r="J1070" i="14"/>
  <c r="J1069" i="14"/>
  <c r="J1068" i="14"/>
  <c r="J1067" i="14"/>
  <c r="J1066" i="14"/>
  <c r="J1065" i="14"/>
  <c r="J1064" i="14"/>
  <c r="J1063" i="14"/>
  <c r="J1062" i="14"/>
  <c r="J1061" i="14"/>
  <c r="J1060" i="14"/>
  <c r="J1059" i="14"/>
  <c r="J1058" i="14"/>
  <c r="J1057" i="14"/>
  <c r="J1056" i="14"/>
  <c r="J1055" i="14"/>
  <c r="J1054" i="14"/>
  <c r="J1053" i="14"/>
  <c r="J1052" i="14"/>
  <c r="J1051" i="14"/>
  <c r="J1050" i="14"/>
  <c r="J1049" i="14"/>
  <c r="J1048" i="14"/>
  <c r="J1047" i="14"/>
  <c r="J1046" i="14"/>
  <c r="J1045" i="14"/>
  <c r="J1044" i="14"/>
  <c r="J1043" i="14"/>
  <c r="J1042" i="14"/>
  <c r="J1041" i="14"/>
  <c r="J1040" i="14"/>
  <c r="J1039" i="14"/>
  <c r="J1038" i="14"/>
  <c r="J1037" i="14"/>
  <c r="J1036" i="14"/>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C3" i="12"/>
  <c r="B3" i="12"/>
  <c r="B4" i="12" s="1"/>
  <c r="B5" i="12" s="1"/>
  <c r="B6" i="12" s="1"/>
  <c r="B7" i="12" s="1"/>
  <c r="B8" i="12" s="1"/>
  <c r="B9" i="12" s="1"/>
  <c r="B10" i="12" s="1"/>
  <c r="B11" i="12" s="1"/>
  <c r="B12" i="12" s="1"/>
  <c r="B13" i="12" s="1"/>
  <c r="B14" i="12" s="1"/>
  <c r="B15" i="12" s="1"/>
  <c r="B16" i="12" s="1"/>
  <c r="B17" i="12" s="1"/>
  <c r="B18" i="12" s="1"/>
  <c r="B19" i="12" s="1"/>
  <c r="B20" i="12" s="1"/>
  <c r="B21" i="12" s="1"/>
  <c r="B22" i="12" s="1"/>
  <c r="B23" i="12" s="1"/>
  <c r="B24" i="12" s="1"/>
  <c r="B25" i="12" s="1"/>
  <c r="B26" i="12" s="1"/>
  <c r="B27" i="12" s="1"/>
  <c r="B28" i="12" s="1"/>
  <c r="B29" i="12" s="1"/>
  <c r="B30" i="12" s="1"/>
  <c r="B31" i="12" s="1"/>
  <c r="B32" i="12" s="1"/>
  <c r="B33" i="12" s="1"/>
  <c r="B34" i="12" s="1"/>
  <c r="B35" i="12" s="1"/>
  <c r="B36" i="12" s="1"/>
  <c r="B37" i="12" s="1"/>
  <c r="B38" i="12" s="1"/>
  <c r="B39" i="12" s="1"/>
  <c r="B40" i="12" s="1"/>
  <c r="B41" i="12" s="1"/>
  <c r="B42" i="12" s="1"/>
  <c r="B43" i="12" s="1"/>
  <c r="B44" i="12" s="1"/>
  <c r="B45" i="12" s="1"/>
  <c r="B46" i="12" s="1"/>
  <c r="B47" i="12" s="1"/>
  <c r="B48" i="12" s="1"/>
  <c r="B49" i="12" s="1"/>
  <c r="B50" i="12" s="1"/>
  <c r="B51" i="12" s="1"/>
  <c r="B52" i="12" s="1"/>
  <c r="B53" i="12" s="1"/>
  <c r="B54" i="12" s="1"/>
  <c r="B55" i="12" s="1"/>
  <c r="B56" i="12" s="1"/>
  <c r="B57" i="12" s="1"/>
  <c r="B58" i="12" s="1"/>
  <c r="B59" i="12" s="1"/>
  <c r="B60" i="12" s="1"/>
  <c r="B61" i="12" s="1"/>
  <c r="B62" i="12" s="1"/>
  <c r="B63" i="12" s="1"/>
  <c r="B64" i="12" s="1"/>
  <c r="C2" i="12"/>
  <c r="Q36" i="6"/>
  <c r="Q35" i="6"/>
  <c r="M35" i="6"/>
  <c r="H35" i="6"/>
  <c r="M34" i="6"/>
  <c r="H34" i="6"/>
  <c r="M33" i="6"/>
  <c r="H33" i="6"/>
  <c r="M32" i="6"/>
  <c r="H32" i="6"/>
  <c r="M31" i="6"/>
  <c r="H31" i="6"/>
  <c r="M30" i="6"/>
  <c r="H30" i="6"/>
  <c r="M29" i="6"/>
  <c r="H29" i="6"/>
  <c r="M28" i="6"/>
  <c r="H28" i="6"/>
  <c r="M27" i="6"/>
  <c r="H27" i="6"/>
  <c r="M26" i="6"/>
  <c r="H26" i="6"/>
  <c r="M25" i="6"/>
  <c r="H25" i="6"/>
  <c r="M24" i="6"/>
  <c r="H24" i="6"/>
  <c r="M23" i="6"/>
  <c r="I23" i="6"/>
  <c r="H23" i="6"/>
  <c r="M22" i="6"/>
  <c r="I22" i="6"/>
  <c r="H22" i="6"/>
  <c r="M21" i="6"/>
  <c r="I21" i="6"/>
  <c r="H21" i="6"/>
  <c r="M20" i="6"/>
  <c r="I20" i="6"/>
  <c r="H20" i="6"/>
  <c r="M19" i="6"/>
  <c r="Q10" i="6" s="1"/>
  <c r="I19" i="6"/>
  <c r="H19" i="6"/>
  <c r="M18" i="6"/>
  <c r="Q9" i="6" s="1"/>
  <c r="M17" i="6"/>
  <c r="Q8" i="6" s="1"/>
  <c r="M16" i="6"/>
  <c r="Q7" i="6" s="1"/>
  <c r="M15" i="6"/>
  <c r="Q6" i="6" s="1"/>
  <c r="M14" i="6"/>
  <c r="M13" i="6"/>
  <c r="M12" i="6"/>
  <c r="Q3" i="6" s="1"/>
  <c r="M11" i="6"/>
  <c r="C8" i="6"/>
  <c r="C7" i="6"/>
  <c r="J6" i="6"/>
  <c r="I6" i="6"/>
  <c r="F6" i="6"/>
  <c r="E6" i="6"/>
  <c r="Q5" i="6"/>
  <c r="J5" i="6"/>
  <c r="I5" i="6"/>
  <c r="F5" i="6"/>
  <c r="E5" i="6"/>
  <c r="Q4" i="6"/>
  <c r="J4" i="6"/>
  <c r="I4" i="6"/>
  <c r="F4" i="6"/>
  <c r="E4" i="6"/>
  <c r="J3" i="6"/>
  <c r="I3" i="6"/>
  <c r="F3" i="6"/>
  <c r="E3" i="6"/>
  <c r="I2" i="6"/>
  <c r="F2" i="6"/>
  <c r="E2" i="6"/>
  <c r="H14" i="24" l="1"/>
  <c r="J14" i="24" s="1"/>
  <c r="D14" i="24"/>
  <c r="D13" i="24"/>
  <c r="H13" i="24"/>
  <c r="J13" i="24" s="1"/>
  <c r="H12" i="24"/>
  <c r="J12" i="24" s="1"/>
  <c r="D12" i="24"/>
  <c r="D24" i="24"/>
  <c r="C10" i="24"/>
  <c r="D10" i="24" s="1"/>
  <c r="H10" i="24" s="1"/>
  <c r="J10" i="24" s="1"/>
  <c r="H13" i="6"/>
  <c r="J13" i="6" s="1"/>
  <c r="D14" i="6"/>
  <c r="B65" i="12"/>
  <c r="B66" i="12" s="1"/>
  <c r="B67" i="12" s="1"/>
  <c r="B68" i="12" s="1"/>
  <c r="B69" i="12" s="1"/>
  <c r="B70" i="12" s="1"/>
  <c r="B71" i="12" s="1"/>
  <c r="B72" i="12" s="1"/>
  <c r="B73" i="12" s="1"/>
  <c r="B74" i="12" s="1"/>
  <c r="B75" i="12" s="1"/>
  <c r="B76" i="12" s="1"/>
  <c r="B77" i="12" s="1"/>
  <c r="B78" i="12" s="1"/>
  <c r="B79" i="12" s="1"/>
  <c r="B80" i="12" s="1"/>
  <c r="B81" i="12" s="1"/>
  <c r="B82" i="12" s="1"/>
  <c r="B83" i="12" s="1"/>
  <c r="B84" i="12" s="1"/>
  <c r="B85" i="12" s="1"/>
  <c r="B86" i="12" s="1"/>
  <c r="B87" i="12" s="1"/>
  <c r="B88" i="12" s="1"/>
  <c r="B89" i="12" s="1"/>
  <c r="B90" i="12" s="1"/>
  <c r="B91" i="12" s="1"/>
  <c r="B92" i="12" s="1"/>
  <c r="B93" i="12" s="1"/>
  <c r="B94" i="12" s="1"/>
  <c r="B95" i="12" s="1"/>
  <c r="B96" i="12" s="1"/>
  <c r="B97" i="12" s="1"/>
  <c r="B98" i="12" s="1"/>
  <c r="B99" i="12" s="1"/>
  <c r="B100" i="12" s="1"/>
  <c r="B101" i="12" s="1"/>
  <c r="E16" i="6"/>
  <c r="D11" i="6"/>
  <c r="D12" i="6"/>
  <c r="H15" i="6"/>
  <c r="J15" i="6" s="1"/>
  <c r="H16" i="6" s="1"/>
  <c r="D24" i="6" l="1"/>
</calcChain>
</file>

<file path=xl/sharedStrings.xml><?xml version="1.0" encoding="utf-8"?>
<sst xmlns="http://schemas.openxmlformats.org/spreadsheetml/2006/main" count="10909" uniqueCount="5134">
  <si>
    <t>DEFINITIONS</t>
  </si>
  <si>
    <t>Rules/Policies/Other Stuff</t>
  </si>
  <si>
    <t>General</t>
  </si>
  <si>
    <t>Determine Initiative</t>
  </si>
  <si>
    <t>Everyone rollds d(SPD)</t>
  </si>
  <si>
    <t>Player Name</t>
  </si>
  <si>
    <t>This is your name. Like, your actual name.</t>
  </si>
  <si>
    <t>Players take actions in the order that was rolled</t>
  </si>
  <si>
    <t>SPE correlates to how far you can travel comfortably in a day (12 hrs)</t>
  </si>
  <si>
    <t>Character Name</t>
  </si>
  <si>
    <t>When traveling as a group, you can comfortably travel = slowest SPE</t>
  </si>
  <si>
    <t>Pokemon</t>
  </si>
  <si>
    <t>This is the PKMN you are playing as. Extremely important to fill this out, as it auto-fills a bunch of other things.</t>
  </si>
  <si>
    <t>Belly drops by 1 for every hour you travel.</t>
  </si>
  <si>
    <t>Total EXP</t>
  </si>
  <si>
    <t>1.5x slowest person -&gt; Belly drops by 2 per hour</t>
  </si>
  <si>
    <t>Level</t>
  </si>
  <si>
    <t>2x slowest person -&gt; Belly drops by 4 per hour</t>
  </si>
  <si>
    <t>Ability (1, 2, etc.)</t>
  </si>
  <si>
    <t>Your ability/abilities. Must be updated manually.</t>
  </si>
  <si>
    <t>Struggle</t>
  </si>
  <si>
    <t>Damage base 5 typeless move, you take 1/2 recoil damage.</t>
  </si>
  <si>
    <t>If your SPE &gt; ^, belly drops normally</t>
  </si>
  <si>
    <t>Held Item</t>
  </si>
  <si>
    <t>The item you are personally holding (does not count in bag). Must be updated manually.</t>
  </si>
  <si>
    <t>Bag</t>
  </si>
  <si>
    <t>Your team's bag of items. Depending on rank, the size of the bag varies.</t>
  </si>
  <si>
    <t>Current Belly</t>
  </si>
  <si>
    <t>Base Stats</t>
  </si>
  <si>
    <t>Lists your base stats. This is before adjustments (BONUS)</t>
  </si>
  <si>
    <t>E.g. Slowest person has SPE 5, you have SPE 12.</t>
  </si>
  <si>
    <t>Max Belly</t>
  </si>
  <si>
    <t>Total Stats</t>
  </si>
  <si>
    <t>These are the stats you use for calculations. Adjustments are to the right.</t>
  </si>
  <si>
    <t>Normally travel 5 units a day, but you have to go to [place] quick.</t>
  </si>
  <si>
    <t>Move Level</t>
  </si>
  <si>
    <t>The power of your moves. This increases with repeated usage.</t>
  </si>
  <si>
    <t>IQ</t>
  </si>
  <si>
    <t>Your IQ Points. See IQ page for more information.</t>
  </si>
  <si>
    <t>Going 2x SPE, slow's belly drops by 4 an hour, yours drops by 1.</t>
  </si>
  <si>
    <t>Moves</t>
  </si>
  <si>
    <t>Gummi</t>
  </si>
  <si>
    <t>One Gummi increases belly by 3</t>
  </si>
  <si>
    <t>Name</t>
  </si>
  <si>
    <t>Names of your moves. Must be updated manually.</t>
  </si>
  <si>
    <t>Matches your primary type, +10 IQ</t>
  </si>
  <si>
    <t>Short rest - nap time. Belly increases by 1 per hour (7 max).</t>
  </si>
  <si>
    <t>Type</t>
  </si>
  <si>
    <t>The type of your move.</t>
  </si>
  <si>
    <t xml:space="preserve">Strong against your primarytype, +8 IQ </t>
  </si>
  <si>
    <t>Long rest - sleepy time (8+). Belly increases to max</t>
  </si>
  <si>
    <t xml:space="preserve">Neutral against your primary type, +6 IQ </t>
  </si>
  <si>
    <t>Negative priority moves become lingering stauses based on their description</t>
  </si>
  <si>
    <t>Cat.</t>
  </si>
  <si>
    <t>States if your move is Physical (attack), Special (special attack), or Status (N/A)</t>
  </si>
  <si>
    <t>Weak against your primary type, +4 IQ</t>
  </si>
  <si>
    <t>(e.g. Counter takes effect next time user is attacked)</t>
  </si>
  <si>
    <t>Power</t>
  </si>
  <si>
    <t>The power of your move. This creates the damage dice rolled.</t>
  </si>
  <si>
    <t>Ineffective/Immune against your primary type, +2</t>
  </si>
  <si>
    <t>Battle Rules</t>
  </si>
  <si>
    <t>Damage Dice</t>
  </si>
  <si>
    <t>Roll the resulting die/dice if your move hits.</t>
  </si>
  <si>
    <t>Throwing Seeds</t>
  </si>
  <si>
    <t>Roll d20, 6+ success, nat 1 fails</t>
  </si>
  <si>
    <t>Roll initiative (roll d[SPE])</t>
  </si>
  <si>
    <t>Acc.</t>
  </si>
  <si>
    <r>
      <rPr>
        <sz val="11"/>
        <color theme="1"/>
        <rFont val="Calibri"/>
        <family val="2"/>
      </rPr>
      <t xml:space="preserve">Roll d20 before dealing damage. If result is </t>
    </r>
    <r>
      <rPr>
        <u/>
        <sz val="11"/>
        <color theme="1"/>
        <rFont val="Calibri"/>
        <family val="2"/>
      </rPr>
      <t>&gt;</t>
    </r>
    <r>
      <rPr>
        <sz val="11"/>
        <color theme="1"/>
        <rFont val="Calibri"/>
        <family val="2"/>
      </rPr>
      <t xml:space="preserve"> acc, the attack hits. If nat 20, it is a critical hit.</t>
    </r>
  </si>
  <si>
    <t>Status</t>
  </si>
  <si>
    <t>Determine order of attack</t>
  </si>
  <si>
    <t>Effect</t>
  </si>
  <si>
    <t>The effect of the move, if applicable. Not all moves have an effect.</t>
  </si>
  <si>
    <t>Petrified</t>
  </si>
  <si>
    <t>Cannot move or attack until you are damaged</t>
  </si>
  <si>
    <t>Pre-battle abilities</t>
  </si>
  <si>
    <t>You scrolled to the right because you were curious if there was another secret. Well, you're correct. There is one more secret in this excel file.</t>
  </si>
  <si>
    <t>Effect Roll</t>
  </si>
  <si>
    <r>
      <rPr>
        <sz val="11"/>
        <color theme="1"/>
        <rFont val="Calibri"/>
        <family val="2"/>
      </rPr>
      <t xml:space="preserve">If the move hits, make a SEPARATE roll after damage. If your roll is </t>
    </r>
    <r>
      <rPr>
        <u/>
        <sz val="11"/>
        <color theme="1"/>
        <rFont val="Calibri"/>
        <family val="2"/>
      </rPr>
      <t>&gt;</t>
    </r>
    <r>
      <rPr>
        <sz val="11"/>
        <color theme="1"/>
        <rFont val="Calibri"/>
        <family val="2"/>
      </rPr>
      <t xml:space="preserve"> listed number, the effect happens.</t>
    </r>
  </si>
  <si>
    <t>Cross-Eyed</t>
  </si>
  <si>
    <t>A cross-eyed PKMN cannot see properly. Roll d4. If result is even, action works as intended. Else, GM decides what happens.</t>
  </si>
  <si>
    <t>Pre-battle IQ</t>
  </si>
  <si>
    <t>Burn</t>
  </si>
  <si>
    <t>You are burned. Take d4 damage per round. Final ATT is halved until burn is resolved.</t>
  </si>
  <si>
    <t>Pre-battle items</t>
  </si>
  <si>
    <t>PKMN Attributes</t>
  </si>
  <si>
    <t>Used for/Similar to (roll d20 and add modifier).</t>
  </si>
  <si>
    <t>Freeze</t>
  </si>
  <si>
    <t>You are frozen, and cannot move or attack. Roll d10. If result is 9 or 10, you are thawed.</t>
  </si>
  <si>
    <t>P1 Ability (if applicable)</t>
  </si>
  <si>
    <t>Tough</t>
  </si>
  <si>
    <t>Strength (Athletics, Constitution)</t>
  </si>
  <si>
    <t>Paralysis</t>
  </si>
  <si>
    <t>You are paralyzed. Each of your turns, roll d20. If 10+, you can attack. If 16+, paralysis is healed.</t>
  </si>
  <si>
    <t>P1 IQ (if applicable)</t>
  </si>
  <si>
    <t>Cool</t>
  </si>
  <si>
    <t>Dexterity (Acrobatics, Sleight of Hand, Stealth)</t>
  </si>
  <si>
    <t>Poison</t>
  </si>
  <si>
    <t>You are poisoned. Roll d4 and take damage equal to result per turn.</t>
  </si>
  <si>
    <t>P1 Item/Move</t>
  </si>
  <si>
    <t>Cute</t>
  </si>
  <si>
    <t>Charisma (Deception, Intimidation, Performance, Persuasion)</t>
  </si>
  <si>
    <t>Badly poisoned</t>
  </si>
  <si>
    <t>You are badly poisoned. Roll d4 and take damage equal to result x turns since being poisoned.</t>
  </si>
  <si>
    <t>P2 Ability (if applicable)</t>
  </si>
  <si>
    <t>Smart</t>
  </si>
  <si>
    <t>Intelligence (Arcana, History, Investigation, Nature, Religion)</t>
  </si>
  <si>
    <t>Sleep</t>
  </si>
  <si>
    <t>You are asleep for d6 turns. You can attack on the turn you wake up.</t>
  </si>
  <si>
    <t>P2 IQ (if applicable)</t>
  </si>
  <si>
    <t>Beauty</t>
  </si>
  <si>
    <t>Wisdom (Perception, Animal Handling, Insight, Medicine, Survival)</t>
  </si>
  <si>
    <t>Bound</t>
  </si>
  <si>
    <t>You are bound by a PKMN. See move effect for duration and effect.</t>
  </si>
  <si>
    <t>P2 Item/Move</t>
  </si>
  <si>
    <t>Confusion</t>
  </si>
  <si>
    <t>You are confused for d6 turns. Roll dice when you attack. If result = even, attack works. If odd, roll damage and take half (do NOT add ATT/SPA, etc.)</t>
  </si>
  <si>
    <t>etc.</t>
  </si>
  <si>
    <t>Curse</t>
  </si>
  <si>
    <t>You have been cursed. Each turn, take d6+4 damage.</t>
  </si>
  <si>
    <t>Move Effectiveness</t>
  </si>
  <si>
    <t>Embargo</t>
  </si>
  <si>
    <t>You cannot use items for d6 turns.</t>
  </si>
  <si>
    <t>Immune</t>
  </si>
  <si>
    <t>The effect of these moves do very little. 0.1x</t>
  </si>
  <si>
    <t>Encore</t>
  </si>
  <si>
    <t>You must use the last move you used for d4 turns.</t>
  </si>
  <si>
    <t>Bonus Actions</t>
  </si>
  <si>
    <t>E.g. Electric move on a Ground Pokemon</t>
  </si>
  <si>
    <t>Flinch/Cringe</t>
  </si>
  <si>
    <t>Skip your next turn.</t>
  </si>
  <si>
    <t>A bonus action is a move that can be used once per turn as long as the</t>
  </si>
  <si>
    <t>Barely effective</t>
  </si>
  <si>
    <t>Both of your dual types think of this as "not very effective". 0.25x</t>
  </si>
  <si>
    <t>Heal Block</t>
  </si>
  <si>
    <t>You cannot heal for d6 turns.</t>
  </si>
  <si>
    <t xml:space="preserve"> move follows these criteria:</t>
  </si>
  <si>
    <t>E.g  Normal move on a Rock-Steel Pokemon</t>
  </si>
  <si>
    <t>Identified</t>
  </si>
  <si>
    <t>If you are a ghost type, you can now be hit by immune moves for neutral damage.</t>
  </si>
  <si>
    <t>Not very effective</t>
  </si>
  <si>
    <t>The effect of these moves aren't great. 0.5x</t>
  </si>
  <si>
    <t>Infatuation</t>
  </si>
  <si>
    <t>Roll d4 each turn. If even, you can attack. If odd, your turn is skipped.</t>
  </si>
  <si>
    <t xml:space="preserve"> - Base power after move level-ups is equal to or less than 4</t>
  </si>
  <si>
    <t>E.g. Normal move on a Rock Pokemon</t>
  </si>
  <si>
    <t>Leech Seed</t>
  </si>
  <si>
    <t>The seeded PKMN loses d6 health per turn and the seeder gains the same amount each turn.</t>
  </si>
  <si>
    <t xml:space="preserve"> - Is not a multi-attack move</t>
  </si>
  <si>
    <t>Neutral</t>
  </si>
  <si>
    <t>These moves do what they are meant to. 1x</t>
  </si>
  <si>
    <t>Nightmare</t>
  </si>
  <si>
    <t>While asleep, you take d8 damage.</t>
  </si>
  <si>
    <t xml:space="preserve"> Moves used as bonus actions deal only half damage or take half effect.</t>
  </si>
  <si>
    <t>E.g. Normal move on a Normal Pokemon</t>
  </si>
  <si>
    <t>Perish Song</t>
  </si>
  <si>
    <t>If you hear this song, you have 3 turns before you auto-faint.</t>
  </si>
  <si>
    <t>(Roll damage, Divide by 2)   (e.g. Counter only does x1 damge instead of x2)</t>
  </si>
  <si>
    <t>Super Effective</t>
  </si>
  <si>
    <t>These moves are really effective! 2x</t>
  </si>
  <si>
    <t>Taunt</t>
  </si>
  <si>
    <t>Taunted PKMN cannot use status moves for d4 turns.</t>
  </si>
  <si>
    <t>Ralph Rule</t>
  </si>
  <si>
    <t>E.g. Electric move on a Flying Pokemon</t>
  </si>
  <si>
    <t>Telekinesis</t>
  </si>
  <si>
    <t>You are immune to ground-type attacks, as well as traps and spike-like items.</t>
  </si>
  <si>
    <t>In the Post-Level Up column, your highest number (not including HP) should</t>
  </si>
  <si>
    <t>Quad Effective</t>
  </si>
  <si>
    <t>Both of your dual types think of this as "super effective". 4x</t>
  </si>
  <si>
    <t>Torment</t>
  </si>
  <si>
    <t>You cannot use use the same move twice in a row. If you are forced to, you use Struggle instead.</t>
  </si>
  <si>
    <t>be no more than 3x your lowest number. For example, if your highest stat is</t>
  </si>
  <si>
    <t>E.g. Electric move on a Flying-Water Pokemon</t>
  </si>
  <si>
    <t>Mini-counter</t>
  </si>
  <si>
    <t>When hit by a physical move, you counter with 1/4 damage.</t>
  </si>
  <si>
    <t>21, your lowest stat must be at least 7.</t>
  </si>
  <si>
    <t>Move Level Up</t>
  </si>
  <si>
    <t xml:space="preserve">Moves level up after being used 5 times. Must be updated manually. </t>
  </si>
  <si>
    <t>Every other Lvl up, +1 damage dice, starting from Lvl 1 &gt; 2</t>
  </si>
  <si>
    <t>Every Lvl up, +2 Flat damage bonus</t>
  </si>
  <si>
    <t>Why U Scrollin?</t>
  </si>
  <si>
    <t>MOVES</t>
  </si>
  <si>
    <t>Item</t>
  </si>
  <si>
    <t>Character Name:</t>
  </si>
  <si>
    <t xml:space="preserve">               |          1</t>
  </si>
  <si>
    <t/>
  </si>
  <si>
    <t>Starter Bag</t>
  </si>
  <si>
    <t xml:space="preserve">               |          2</t>
  </si>
  <si>
    <t xml:space="preserve">               |          3</t>
  </si>
  <si>
    <t>Total Exp</t>
  </si>
  <si>
    <t xml:space="preserve">               |          4</t>
  </si>
  <si>
    <t>Level:</t>
  </si>
  <si>
    <t>Effect   |          5</t>
  </si>
  <si>
    <t>Ability:</t>
  </si>
  <si>
    <t xml:space="preserve">Held Item: </t>
  </si>
  <si>
    <t>Level Up Bonus</t>
  </si>
  <si>
    <t>Post LVL Up</t>
  </si>
  <si>
    <t>Temp. Bonus</t>
  </si>
  <si>
    <t>Perm. Bonus</t>
  </si>
  <si>
    <t>Total Stats (MAX)</t>
  </si>
  <si>
    <t>Changes in battle</t>
  </si>
  <si>
    <t>Current Stats</t>
  </si>
  <si>
    <t>Normal Bag</t>
  </si>
  <si>
    <t>HP</t>
  </si>
  <si>
    <t>Attack</t>
  </si>
  <si>
    <t>Defense</t>
  </si>
  <si>
    <t>Special Attack</t>
  </si>
  <si>
    <t>Special Defense</t>
  </si>
  <si>
    <t>Silver Bag</t>
  </si>
  <si>
    <t>Speed</t>
  </si>
  <si>
    <t>LEGAL CHECK</t>
  </si>
  <si>
    <t>SPEED ROLL</t>
  </si>
  <si>
    <t>Human Stats</t>
  </si>
  <si>
    <t>IQ Skills</t>
  </si>
  <si>
    <t>Cost</t>
  </si>
  <si>
    <t>Course Checker</t>
  </si>
  <si>
    <t>Platinum Bag</t>
  </si>
  <si>
    <t>Exclusive Move-User</t>
  </si>
  <si>
    <t>Escapist</t>
  </si>
  <si>
    <t>Item Catcher</t>
  </si>
  <si>
    <t>Item Master</t>
  </si>
  <si>
    <t>Ace Bag</t>
  </si>
  <si>
    <t>IQ Points</t>
  </si>
  <si>
    <t>Poke (money)</t>
  </si>
  <si>
    <t>Hyper Bag</t>
  </si>
  <si>
    <t>defense curl</t>
  </si>
  <si>
    <t>Bonus Action Applicable?</t>
  </si>
  <si>
    <t>Number of Uses</t>
  </si>
  <si>
    <t># of Items</t>
  </si>
  <si>
    <t>Acrobatics, Sleight of Hand, Stealth</t>
  </si>
  <si>
    <t>Deception, Intimidation, Performance, Persuasion</t>
  </si>
  <si>
    <t>Arcana, History, Investigation, Nature, Religion</t>
  </si>
  <si>
    <t>Perception, Animal Handling, Insight, Medicine, Survival</t>
  </si>
  <si>
    <t>Athletics, Constitution</t>
  </si>
  <si>
    <t>Spearow</t>
  </si>
  <si>
    <t>Iron Defense</t>
  </si>
  <si>
    <t>Spheal</t>
  </si>
  <si>
    <t>Ice</t>
  </si>
  <si>
    <t>5 PKMN Attributes</t>
  </si>
  <si>
    <t>Used for/Similar to</t>
  </si>
  <si>
    <t>Strength</t>
  </si>
  <si>
    <t>Water</t>
  </si>
  <si>
    <t>Dexterity</t>
  </si>
  <si>
    <t>Fire</t>
  </si>
  <si>
    <t>Charisma</t>
  </si>
  <si>
    <t>Grass</t>
  </si>
  <si>
    <t>Intelligence</t>
  </si>
  <si>
    <t>Electric</t>
  </si>
  <si>
    <t>Wisdom</t>
  </si>
  <si>
    <t>Psychic</t>
  </si>
  <si>
    <t>Dark</t>
  </si>
  <si>
    <t>Starting attributes are based on type.</t>
  </si>
  <si>
    <t>(+2,+1,0,0,-1)</t>
  </si>
  <si>
    <t>Fairy</t>
  </si>
  <si>
    <t>Then you choose where extra point goes.</t>
  </si>
  <si>
    <t>Normal</t>
  </si>
  <si>
    <t>If dual type, player chooses one to go with</t>
  </si>
  <si>
    <t>Dragon</t>
  </si>
  <si>
    <t>Flying</t>
  </si>
  <si>
    <t>Fighting</t>
  </si>
  <si>
    <t>Rock</t>
  </si>
  <si>
    <t>Ground</t>
  </si>
  <si>
    <t>Steel</t>
  </si>
  <si>
    <t>Bug</t>
  </si>
  <si>
    <t>Ghost</t>
  </si>
  <si>
    <t>Rolled Damage</t>
  </si>
  <si>
    <t>Damage Base</t>
  </si>
  <si>
    <t>Dice Damage</t>
  </si>
  <si>
    <t># of Dice</t>
  </si>
  <si>
    <t>Die Type</t>
  </si>
  <si>
    <t>Flat Bonus</t>
  </si>
  <si>
    <t>1d6+1</t>
  </si>
  <si>
    <t>1d6+3</t>
  </si>
  <si>
    <t>1d6+5</t>
  </si>
  <si>
    <t>1d8+6</t>
  </si>
  <si>
    <t>1d8+8</t>
  </si>
  <si>
    <t>2d6+8</t>
  </si>
  <si>
    <t>2d6+10</t>
  </si>
  <si>
    <t>2d8+10</t>
  </si>
  <si>
    <t>2d10+10</t>
  </si>
  <si>
    <t>3d8+10</t>
  </si>
  <si>
    <t>3d10+10</t>
  </si>
  <si>
    <t>3d12+10</t>
  </si>
  <si>
    <t>4d10+10</t>
  </si>
  <si>
    <t>4d10+15</t>
  </si>
  <si>
    <t>4d10+20</t>
  </si>
  <si>
    <t>5d10+20</t>
  </si>
  <si>
    <t>5d12+25</t>
  </si>
  <si>
    <t>6d12+25</t>
  </si>
  <si>
    <t>6d12+30</t>
  </si>
  <si>
    <t>6d12+35</t>
  </si>
  <si>
    <t>6d12+40</t>
  </si>
  <si>
    <t>6d12+45</t>
  </si>
  <si>
    <t>6d12+50</t>
  </si>
  <si>
    <t>6d12+55</t>
  </si>
  <si>
    <t>6d12+60</t>
  </si>
  <si>
    <t>7d12+65</t>
  </si>
  <si>
    <t>8d12+70</t>
  </si>
  <si>
    <t>8d12+80</t>
  </si>
  <si>
    <t>POW.</t>
  </si>
  <si>
    <t>New Effect</t>
  </si>
  <si>
    <t>Prob. (%)</t>
  </si>
  <si>
    <t>10,000,000 Volt Thunderbolt</t>
  </si>
  <si>
    <t>ELECTRIC</t>
  </si>
  <si>
    <t>Spe.</t>
  </si>
  <si>
    <t>-</t>
  </si>
  <si>
    <t>—</t>
  </si>
  <si>
    <t>Pikachu-exclusive Z-Move. High critical hit ratio.</t>
  </si>
  <si>
    <t>Pikachu-exclusive Z-Move. Crits are 19 or 20.</t>
  </si>
  <si>
    <t>Absorb</t>
  </si>
  <si>
    <t>GRASS</t>
  </si>
  <si>
    <t>User recovers half the HP inflicted on opponent.</t>
  </si>
  <si>
    <t>You recover roughly 1/2 damage dealt to foe.</t>
  </si>
  <si>
    <t>Accelerock</t>
  </si>
  <si>
    <t>ROCK</t>
  </si>
  <si>
    <t>Phy.</t>
  </si>
  <si>
    <t>User attacks first.</t>
  </si>
  <si>
    <t>Next turn, you go first.</t>
  </si>
  <si>
    <t>Acid</t>
  </si>
  <si>
    <t>POISON</t>
  </si>
  <si>
    <t>May lower opponent's Special Defense.</t>
  </si>
  <si>
    <t>Roll d20. If roll &gt;= Effect Roll, lower foe's SD by 2.</t>
  </si>
  <si>
    <t>Acid Armor</t>
  </si>
  <si>
    <t>Sta.</t>
  </si>
  <si>
    <t>Sharply raises user's Defense.</t>
  </si>
  <si>
    <t>Sharply Your DEF +2.</t>
  </si>
  <si>
    <t>Acid Downpour</t>
  </si>
  <si>
    <t>Poison type Z-Move.</t>
  </si>
  <si>
    <t>Acid Spray</t>
  </si>
  <si>
    <t>Sharply lowers opponent's Special Defense.</t>
  </si>
  <si>
    <t>Foe SPD -4.</t>
  </si>
  <si>
    <t>Acrobatics</t>
  </si>
  <si>
    <t>FLYING</t>
  </si>
  <si>
    <t>Stronger when the user does not have a held item.</t>
  </si>
  <si>
    <t>If you are not holding an item, damage base +2.</t>
  </si>
  <si>
    <t>Acupressure</t>
  </si>
  <si>
    <t>NORMAL</t>
  </si>
  <si>
    <t>Sharply raises a random stat.</t>
  </si>
  <si>
    <t>Roll d4+1. That stat +4 (ATT, DEF, SPA, SPD, SPE)</t>
  </si>
  <si>
    <t>Aerial Ace</t>
  </si>
  <si>
    <t>Ignores Accuracy and Evasiveness.</t>
  </si>
  <si>
    <t>Will always hit, roll for crit.</t>
  </si>
  <si>
    <t>Aeroblast</t>
  </si>
  <si>
    <t>High critical hit ratio.</t>
  </si>
  <si>
    <t>Crits are 19 or 20.</t>
  </si>
  <si>
    <t>After You</t>
  </si>
  <si>
    <t>Gives target priority in the next turn.</t>
  </si>
  <si>
    <t>Foe goes first next turn.</t>
  </si>
  <si>
    <t>Agility</t>
  </si>
  <si>
    <t>PSYCHIC</t>
  </si>
  <si>
    <t>Sharply raises user's Speed.</t>
  </si>
  <si>
    <t>SPE +4.</t>
  </si>
  <si>
    <t>Air Cutter</t>
  </si>
  <si>
    <t>Air Slash</t>
  </si>
  <si>
    <t>May cause flinching.</t>
  </si>
  <si>
    <t>Roll d20. If result &gt;= Effect Roll, foe is flinched.</t>
  </si>
  <si>
    <t>All-Out Pummeling</t>
  </si>
  <si>
    <t>FIGHTING</t>
  </si>
  <si>
    <t>Fighting type Z-Move.</t>
  </si>
  <si>
    <t>Alluring Voice</t>
  </si>
  <si>
    <t>FAIRY</t>
  </si>
  <si>
    <t>Ally Switch</t>
  </si>
  <si>
    <t>User switches with opposite teammate.</t>
  </si>
  <si>
    <t>Switch places with an ally.</t>
  </si>
  <si>
    <t>Amnesia</t>
  </si>
  <si>
    <t>Sharply raises user's Special Defense.</t>
  </si>
  <si>
    <t>Your SPD +4.</t>
  </si>
  <si>
    <t>Anchor Shot</t>
  </si>
  <si>
    <t>STEEL</t>
  </si>
  <si>
    <t>The user entangles the target with its anchor chain while attacking. The target becomes unable to flee.</t>
  </si>
  <si>
    <t>Foe cannot move.</t>
  </si>
  <si>
    <t>Ancient Power</t>
  </si>
  <si>
    <t>May raise all user's stats at once.</t>
  </si>
  <si>
    <t>Roll d20. If result &gt;= Effect Roll, all stats (except HP) +2.</t>
  </si>
  <si>
    <t>Apple Acid</t>
  </si>
  <si>
    <t>Lowers target's Special Defense.</t>
  </si>
  <si>
    <t>Foe's SPD -2.</t>
  </si>
  <si>
    <t>Aqua Cutter</t>
  </si>
  <si>
    <t>WATER</t>
  </si>
  <si>
    <t>Aqua Jet</t>
  </si>
  <si>
    <t>Aqua Ring</t>
  </si>
  <si>
    <t>Restores a little HP each turn.</t>
  </si>
  <si>
    <t>Heal d4 HP each turn.</t>
  </si>
  <si>
    <t>Aqua Step</t>
  </si>
  <si>
    <t>Raises user's Speed.</t>
  </si>
  <si>
    <t>SPE +2.</t>
  </si>
  <si>
    <t>Aqua Tail</t>
  </si>
  <si>
    <t>Arm Thrust</t>
  </si>
  <si>
    <t>Hits 2-5 times in one turn.</t>
  </si>
  <si>
    <t>Roll d4+1. This is how many chances you have. Roll accuracy for each chance. For each hit, apply damage.</t>
  </si>
  <si>
    <t>Armor Cannon</t>
  </si>
  <si>
    <t>FIRE</t>
  </si>
  <si>
    <t>Lowers user's Defense and Special Defense.</t>
  </si>
  <si>
    <t>DEF, SPD -2.</t>
  </si>
  <si>
    <t>Aromatherapy</t>
  </si>
  <si>
    <t>Cures all status problems in your party.</t>
  </si>
  <si>
    <t>Cures all status problems in team.</t>
  </si>
  <si>
    <t>Aromatic Mist</t>
  </si>
  <si>
    <t>Raises Special Defense of an ally.</t>
  </si>
  <si>
    <t>All ally SPD +2.</t>
  </si>
  <si>
    <t>Assist</t>
  </si>
  <si>
    <t>User performs a move known by its allies at random.</t>
  </si>
  <si>
    <t>Sum up how many moves allies know. Roll d[that] and use that move.</t>
  </si>
  <si>
    <t>Assurance</t>
  </si>
  <si>
    <t>DARK</t>
  </si>
  <si>
    <t>Power doubles if opponent already took damage in the same turn.</t>
  </si>
  <si>
    <t>If foe has taken damage already this turn, Damage Base +3.</t>
  </si>
  <si>
    <t>Astonish</t>
  </si>
  <si>
    <t>GHOST</t>
  </si>
  <si>
    <t>Astral Barrage</t>
  </si>
  <si>
    <t>The user attacks by sending a frightful amount of small ghosts at opposing Pokémon.</t>
  </si>
  <si>
    <t>Attack Order</t>
  </si>
  <si>
    <t>BUG</t>
  </si>
  <si>
    <t>Attract</t>
  </si>
  <si>
    <t>If opponent is the opposite gender, it's less likely to attack.</t>
  </si>
  <si>
    <t>Foe Acc rolls have +1. (harder)</t>
  </si>
  <si>
    <t>Aura Sphere</t>
  </si>
  <si>
    <t>Aura Wheel</t>
  </si>
  <si>
    <t>Changes type based on Morpeko's Mode.</t>
  </si>
  <si>
    <t>Aurora Beam</t>
  </si>
  <si>
    <t>ICE</t>
  </si>
  <si>
    <t>May lower opponent's Attack.</t>
  </si>
  <si>
    <t>Roll d20. If result &gt;= Effect Roll, foe ATT -2.</t>
  </si>
  <si>
    <t>Aurora Veil</t>
  </si>
  <si>
    <t>Halves damage from Physical and Special attacks for five turns.</t>
  </si>
  <si>
    <t>Damage from Phy. and Spe. moves for d6 turns.</t>
  </si>
  <si>
    <t>Autotomize</t>
  </si>
  <si>
    <t>Reduces weight and sharply raises Speed.</t>
  </si>
  <si>
    <t>Avalanche</t>
  </si>
  <si>
    <t>Power doubles if user took damage first.</t>
  </si>
  <si>
    <t>If you were hit this round, damage base +3.</t>
  </si>
  <si>
    <t>Axe Kick</t>
  </si>
  <si>
    <t>May confuse opponent. If it misses, the user loses HP.</t>
  </si>
  <si>
    <t xml:space="preserve">If miss, take recoil damage. If hit, roll d20. If roll is 15+, foe is confused. </t>
  </si>
  <si>
    <t>Baby-Doll Eyes</t>
  </si>
  <si>
    <t>Always goes first. Lowers the target's attack.</t>
  </si>
  <si>
    <t>Next turn, you go first. Foe's ATT -2.</t>
  </si>
  <si>
    <t>Baddy Bad</t>
  </si>
  <si>
    <t>Reduces damage from Physical attacks.</t>
  </si>
  <si>
    <t>Until next turn, you take d6 less damage from Physical attacks.</t>
  </si>
  <si>
    <t>Baneful Bunker</t>
  </si>
  <si>
    <t>Protects the user and poisons opponent on contact.</t>
  </si>
  <si>
    <t>You gain "Protect". If foe attacks you, they become poisoned.</t>
  </si>
  <si>
    <t>Barb Barrage</t>
  </si>
  <si>
    <t>Inflicts double damage if the target has a status condition.</t>
  </si>
  <si>
    <t>If foe has status condition, damage base +2.</t>
  </si>
  <si>
    <t>Barrage</t>
  </si>
  <si>
    <t>Barrier</t>
  </si>
  <si>
    <t>Your DEF +4.</t>
  </si>
  <si>
    <t>Baton Pass</t>
  </si>
  <si>
    <t>User switches out and gives stat changes to the incoming Pokémon.</t>
  </si>
  <si>
    <t>Switch places with ally. Switch stat changes as well.</t>
  </si>
  <si>
    <t>Beak Blast</t>
  </si>
  <si>
    <t>The user first heats up its beak, and then it attacks the target. Making direct contact with the Pokémon while it's heating up its beak results in a burn.</t>
  </si>
  <si>
    <t xml:space="preserve">Heat your beak at beginning of battle turn, then deal damage on your turn. If attacked while "heating beak", foe is burned. </t>
  </si>
  <si>
    <t>Beat Up</t>
  </si>
  <si>
    <t>Each Pokémon in user's party attacks.</t>
  </si>
  <si>
    <t>For each ally, +2 damage base.</t>
  </si>
  <si>
    <t>Behemoth Bash</t>
  </si>
  <si>
    <t>Damage doubles if target is Dynamaxed.</t>
  </si>
  <si>
    <t>If you are dynamaxed, damage base +3.</t>
  </si>
  <si>
    <t>Behemoth Blade</t>
  </si>
  <si>
    <t>Belch</t>
  </si>
  <si>
    <t>User must have consumed a Berry.</t>
  </si>
  <si>
    <t>You must have consumed an edible item during battle.</t>
  </si>
  <si>
    <t>Belly Drum</t>
  </si>
  <si>
    <t>User loses 50% of its max HP, but Attack raises to maximum.</t>
  </si>
  <si>
    <t>Lose 1/2 of max HP. ATT + (base ATT * d6)</t>
  </si>
  <si>
    <t>Bestow</t>
  </si>
  <si>
    <t>Gives the user's held item to the target.</t>
  </si>
  <si>
    <t>Give held item to foe.</t>
  </si>
  <si>
    <t>Bide</t>
  </si>
  <si>
    <t>User takes damage for two turns then strikes back double.</t>
  </si>
  <si>
    <t>Skip your next turn. On following turn, deal damage to equal to damage you took *2.</t>
  </si>
  <si>
    <t>Bind</t>
  </si>
  <si>
    <t>Traps opponent, damaging them for 4-5 turns.</t>
  </si>
  <si>
    <t>Foe cannot move. Foe takes d6 damage for d2+3 turns.</t>
  </si>
  <si>
    <t>Bite</t>
  </si>
  <si>
    <t>Bitter Blade</t>
  </si>
  <si>
    <t>Bitter Malice</t>
  </si>
  <si>
    <t>Black Hole Eclipse</t>
  </si>
  <si>
    <t>Dark type Z-Move.</t>
  </si>
  <si>
    <t>Blast Burn</t>
  </si>
  <si>
    <t>User must recharge next turn.</t>
  </si>
  <si>
    <t>You cannot attack on your next turn.</t>
  </si>
  <si>
    <t>Blaze Kick</t>
  </si>
  <si>
    <t>High critical hit ratio. May burn opponent.</t>
  </si>
  <si>
    <t>Crits are 19 or 20. Roll d20. If result &gt;= Effect Roll, foe is burned.</t>
  </si>
  <si>
    <t>Blazing Torque</t>
  </si>
  <si>
    <t>Bleakwind Storm</t>
  </si>
  <si>
    <t>May cause frostbite.</t>
  </si>
  <si>
    <t>Roll d20. If 15+, foe SPE -2.</t>
  </si>
  <si>
    <t>Blizzard</t>
  </si>
  <si>
    <t>May freeze opponent.</t>
  </si>
  <si>
    <t>Roll d20. If roll &gt;= Effect Roll, foe is frozen.</t>
  </si>
  <si>
    <t>Block</t>
  </si>
  <si>
    <t>Opponent cannot flee or switch.</t>
  </si>
  <si>
    <t>Foes cannot flee or switch.</t>
  </si>
  <si>
    <t>Blood Moon</t>
  </si>
  <si>
    <t>Cannot be used twice in a row.</t>
  </si>
  <si>
    <t>Bloom Doom</t>
  </si>
  <si>
    <t>Grass type Z-Move.</t>
  </si>
  <si>
    <t>Blue Flare</t>
  </si>
  <si>
    <t>May burn opponent.</t>
  </si>
  <si>
    <t>Roll d20. If result &gt;= Effect Roll, foe is burned.</t>
  </si>
  <si>
    <t>Body Press</t>
  </si>
  <si>
    <t>The higher the user's Defense, the stronger the attack.</t>
  </si>
  <si>
    <t>+1 damage base for every 4 DEF.</t>
  </si>
  <si>
    <t>Body Slam</t>
  </si>
  <si>
    <t>May paralyze opponent.</t>
  </si>
  <si>
    <t>Roll d20. If result &gt;= Effect Roll, foe is paralyzed.</t>
  </si>
  <si>
    <t>Bolt Beak</t>
  </si>
  <si>
    <t>If the user attacks before the target, the power of this move is doubled.</t>
  </si>
  <si>
    <t>If you attack before target, damage base +3.</t>
  </si>
  <si>
    <t>Bolt Strike</t>
  </si>
  <si>
    <t>Bone Club</t>
  </si>
  <si>
    <t>GROUND</t>
  </si>
  <si>
    <t>Bone Rush</t>
  </si>
  <si>
    <t>Bonemerang</t>
  </si>
  <si>
    <t>Hits twice in one turn.</t>
  </si>
  <si>
    <t>Boomburst</t>
  </si>
  <si>
    <t>Hits all adjacent Pokémon.</t>
  </si>
  <si>
    <t>Bounce</t>
  </si>
  <si>
    <t>Springs up on first turn, attacks on second. May paralyze opponent.</t>
  </si>
  <si>
    <t>Springs up on first turn, attacks on second. Roll d20. If result &gt;= Effect Roll, foe is paralyzed.</t>
  </si>
  <si>
    <t>Bouncy Bubble</t>
  </si>
  <si>
    <t>Branch Poke</t>
  </si>
  <si>
    <t>Brave Bird</t>
  </si>
  <si>
    <t>User receives recoil damage.</t>
  </si>
  <si>
    <t>Take d[damage base] recoil damage.</t>
  </si>
  <si>
    <t>Breaking Swipe</t>
  </si>
  <si>
    <t>DRAGON</t>
  </si>
  <si>
    <t>Hits multiple opponents and lowers their attack.</t>
  </si>
  <si>
    <t>Hits foes next to target. Foe(s) ATT -2.</t>
  </si>
  <si>
    <t>Breakneck Blitz</t>
  </si>
  <si>
    <t>Normal type Z-Move.</t>
  </si>
  <si>
    <t>Brick Break</t>
  </si>
  <si>
    <t>Breaks through Reflect and Light Screen barriers.</t>
  </si>
  <si>
    <t>Reflect &amp; Light Screen are broken.</t>
  </si>
  <si>
    <t>Brine</t>
  </si>
  <si>
    <t>Power doubles if opponent's HP is less than 50%.</t>
  </si>
  <si>
    <t>If foe's HP &lt;50%, damage base +3.</t>
  </si>
  <si>
    <t>Brutal Swing</t>
  </si>
  <si>
    <t>The user swings its body around violently to inflict damage on everything in its vicinity.</t>
  </si>
  <si>
    <t>All PKMN next to you are hit.</t>
  </si>
  <si>
    <t>Bubble</t>
  </si>
  <si>
    <t>May lower opponent's Speed.</t>
  </si>
  <si>
    <t>Roll d20. If result &gt;= Effect Roll, foe's SPE -2.</t>
  </si>
  <si>
    <t>Bubble Beam</t>
  </si>
  <si>
    <t>Bug Bite</t>
  </si>
  <si>
    <t>Receives the effect from the opponent's held berry.</t>
  </si>
  <si>
    <t>If foe has edible item, take that effect.</t>
  </si>
  <si>
    <t>Bug Buzz</t>
  </si>
  <si>
    <t>Bulk Up</t>
  </si>
  <si>
    <t>Raises user's Attack and Defense.</t>
  </si>
  <si>
    <t>ATT &amp; DEF +2.</t>
  </si>
  <si>
    <t>Bulldoze</t>
  </si>
  <si>
    <t>Lowers opponent's Speed.</t>
  </si>
  <si>
    <t>Foe's SPE -2.</t>
  </si>
  <si>
    <t>Bullet Punch</t>
  </si>
  <si>
    <t>Bullet Seed</t>
  </si>
  <si>
    <t>Burn Up</t>
  </si>
  <si>
    <t>To inflict massive damage, the user burns itself out. After using this move, the user will no longer be Fire type.</t>
  </si>
  <si>
    <t>Can only be used by fire type PKMN. Following move, you are no longer a fire type.</t>
  </si>
  <si>
    <t>Burning Bulwark</t>
  </si>
  <si>
    <t>Burning Jealousy</t>
  </si>
  <si>
    <t>Hits all opponents, and burns any that have had their stats boosted.</t>
  </si>
  <si>
    <t>Buzzy Buzz</t>
  </si>
  <si>
    <t>Paralyzes the opponent.</t>
  </si>
  <si>
    <t>Foe is paralyzed</t>
  </si>
  <si>
    <t>Calm Mind</t>
  </si>
  <si>
    <t>Raises user's Special Attack and Special Defense.</t>
  </si>
  <si>
    <t>Your SPA &amp; SPD +2.</t>
  </si>
  <si>
    <t>Camouflage</t>
  </si>
  <si>
    <t>Changes user's type according to the location.</t>
  </si>
  <si>
    <t>Your type changes based on location (ask GM).</t>
  </si>
  <si>
    <t>Captivate</t>
  </si>
  <si>
    <t>Sharply lowers opponent's Special Attack if opposite gender.</t>
  </si>
  <si>
    <t>Roll d4. If even, foe's SPA -4.</t>
  </si>
  <si>
    <t>Catastropika</t>
  </si>
  <si>
    <t>Pikachu-exclusive Z-Move.</t>
  </si>
  <si>
    <t>Ceaseless Edge</t>
  </si>
  <si>
    <t>High critical hit ratio. Damages target with splinters each turn.</t>
  </si>
  <si>
    <t>Crits are 19 or 20. At the end of each turn, foe takes d6 damage.</t>
  </si>
  <si>
    <t>Celebrate</t>
  </si>
  <si>
    <t>The Pokémon congratulates you on your special day. No battle effect.</t>
  </si>
  <si>
    <t>The entire battle stops, and we realize it's one of the foe's birthday. [In other words, no effect].</t>
  </si>
  <si>
    <t>Charge</t>
  </si>
  <si>
    <t>Raises user's Special Defense and next Electric move's power increases.</t>
  </si>
  <si>
    <t>SPD +2. Your next electric move +1 damage base.</t>
  </si>
  <si>
    <t>Charge Beam</t>
  </si>
  <si>
    <t>May raise user's Special Attack.</t>
  </si>
  <si>
    <t>Roll d20. If result &gt;= Effect Roll, your SPA +2.</t>
  </si>
  <si>
    <t>Charm</t>
  </si>
  <si>
    <t>Sharply lowers opponent's Attack.</t>
  </si>
  <si>
    <t>Foe's ATT -4.</t>
  </si>
  <si>
    <t>Chatter</t>
  </si>
  <si>
    <t>Confuses opponent.</t>
  </si>
  <si>
    <t>Foe is confused.</t>
  </si>
  <si>
    <t>Chilling Water</t>
  </si>
  <si>
    <t>Lowers opponent's Attack.</t>
  </si>
  <si>
    <t>Foe ATT -2.</t>
  </si>
  <si>
    <t>Chilly Reception</t>
  </si>
  <si>
    <t>Switches out and summons a snowstorm lasting 5 turns.</t>
  </si>
  <si>
    <t>Move to end of initiative order on next turn. Weather is now snow.</t>
  </si>
  <si>
    <t>Chip Away</t>
  </si>
  <si>
    <t>Ignores opponent's stat changes.</t>
  </si>
  <si>
    <t>Ignores foe's temp stat changes.</t>
  </si>
  <si>
    <t>Chloroblast</t>
  </si>
  <si>
    <t>Take recoil damage.</t>
  </si>
  <si>
    <t>Circle Throw</t>
  </si>
  <si>
    <t>In battles, the opponent switches. In the wild, the Pokémon runs.</t>
  </si>
  <si>
    <t>The foe is pushed back until they hit a wall.</t>
  </si>
  <si>
    <t>Clamp</t>
  </si>
  <si>
    <t>Clanging Scales</t>
  </si>
  <si>
    <t>Lowers user's Defense.</t>
  </si>
  <si>
    <t>Your DEF -2.</t>
  </si>
  <si>
    <t>Clangorous Soul</t>
  </si>
  <si>
    <t>Raises all user's stats but loses HP.</t>
  </si>
  <si>
    <t>Take d10 damage. Increase all stats (not HP) +2.</t>
  </si>
  <si>
    <t>Clangorous Soulblaze</t>
  </si>
  <si>
    <t>Kommo-o exclusive Z-Move.</t>
  </si>
  <si>
    <t>Clear Smog</t>
  </si>
  <si>
    <t>Removes all of the target's stat changes.</t>
  </si>
  <si>
    <t>Remove all of foe's stat changes.</t>
  </si>
  <si>
    <t>Close Combat</t>
  </si>
  <si>
    <t>Your DEF &amp; SPD -2.</t>
  </si>
  <si>
    <t>Coaching</t>
  </si>
  <si>
    <t>Boosts Attack and Defense of a teammate.</t>
  </si>
  <si>
    <t>Boosts ATT and DEF of a teammate.</t>
  </si>
  <si>
    <t>Coil</t>
  </si>
  <si>
    <t>Raises user's Attack, Defense and Accuracy.</t>
  </si>
  <si>
    <t>Your ATT, DEF +2. Acc roll -1.</t>
  </si>
  <si>
    <t>Collision Course</t>
  </si>
  <si>
    <t>Boosted even more if it's super-effective.</t>
  </si>
  <si>
    <t>If super-effective, damage base +2.</t>
  </si>
  <si>
    <t>Combat Torque</t>
  </si>
  <si>
    <t>Comet Punch</t>
  </si>
  <si>
    <t>Comeuppance</t>
  </si>
  <si>
    <t>Deals more damage to the opponent that last inflicted damage on it.</t>
  </si>
  <si>
    <t>If foe was the last to deal damage to you, damage base +2.</t>
  </si>
  <si>
    <t>Confide</t>
  </si>
  <si>
    <t>Lowers opponent's Special Attack.</t>
  </si>
  <si>
    <t>Foe SPA -2.</t>
  </si>
  <si>
    <t>Confuse Ray</t>
  </si>
  <si>
    <t>May confuse opponent.</t>
  </si>
  <si>
    <t>Roll d20. If result &gt;= Effect roll, foe is confused.</t>
  </si>
  <si>
    <t>Constrict</t>
  </si>
  <si>
    <t>May lower opponent's Speed by one stage.</t>
  </si>
  <si>
    <t>Continental Crush</t>
  </si>
  <si>
    <t>Rock type Z-Move.</t>
  </si>
  <si>
    <t>Conversion</t>
  </si>
  <si>
    <t>Changes user's type to that of its first move.</t>
  </si>
  <si>
    <t>Change your type to that of first move.</t>
  </si>
  <si>
    <t>Conversion 2</t>
  </si>
  <si>
    <t>User changes type to become resistant to opponent's last move.</t>
  </si>
  <si>
    <t>Change your type to be resistant to opponent's last move (your choice).</t>
  </si>
  <si>
    <t>Copycat</t>
  </si>
  <si>
    <t>Copies opponent's last move.</t>
  </si>
  <si>
    <t>Core Enforcer</t>
  </si>
  <si>
    <t>Suppresses the target's ability if the target has already moved.</t>
  </si>
  <si>
    <t>Scorches a 'Z' pattern on the ground.</t>
  </si>
  <si>
    <t>Corkscrew Crash</t>
  </si>
  <si>
    <t>Steel type Z-Move.</t>
  </si>
  <si>
    <t>Corrosive Gas</t>
  </si>
  <si>
    <t>Removes opponent's items.</t>
  </si>
  <si>
    <t>Cosmic Power</t>
  </si>
  <si>
    <t>Raises user's Defense and Special Defense.</t>
  </si>
  <si>
    <t>Add +2 DEF &amp; +2 SPD</t>
  </si>
  <si>
    <t>Cotton Guard</t>
  </si>
  <si>
    <t>Drastically raises user's Defense.</t>
  </si>
  <si>
    <t>Cotton Spore</t>
  </si>
  <si>
    <t>Sharply lowers opponent's Speed.</t>
  </si>
  <si>
    <t>Foe SPE -4.</t>
  </si>
  <si>
    <t>Counter</t>
  </si>
  <si>
    <t>When hit by a Physical Attack, user strikes back with 2x power.</t>
  </si>
  <si>
    <t>Court Change</t>
  </si>
  <si>
    <t>Swaps the effects on either side of the field.</t>
  </si>
  <si>
    <t>Covet</t>
  </si>
  <si>
    <t>Opponent's item is stolen by the user.</t>
  </si>
  <si>
    <t>Foe's item is stolen by user.</t>
  </si>
  <si>
    <t>Crabhammer</t>
  </si>
  <si>
    <t>Crafty Shield</t>
  </si>
  <si>
    <t>Protects the Pokémon from status moves.</t>
  </si>
  <si>
    <t>You cannot be hit by status move until next turn.</t>
  </si>
  <si>
    <t>Cross Chop</t>
  </si>
  <si>
    <t>Cross Poison</t>
  </si>
  <si>
    <t>High critical hit ratio. May poison opponent.</t>
  </si>
  <si>
    <t>Crits are 19 or 20. Roll d20. If result &gt;= Effect Roll, foe is poisoned.</t>
  </si>
  <si>
    <t>Crunch</t>
  </si>
  <si>
    <t>May lower opponent's Defense.</t>
  </si>
  <si>
    <t>Roll d20. If result &gt;= Effect Roll, foe DEF -2.</t>
  </si>
  <si>
    <t>Crush Claw</t>
  </si>
  <si>
    <t>Crush Grip</t>
  </si>
  <si>
    <t>More powerful when opponent has higher HP.</t>
  </si>
  <si>
    <t>Damage Base = 12 × (Foe's Current HP/Foe's Max HP)</t>
  </si>
  <si>
    <t>Ghosts lose 50% of max HP and curse the opponent; Non-Ghosts raise Attack, Defense and lower Speed.</t>
  </si>
  <si>
    <t>If Ghost type, lose 50% max HP and "curse" foe. If not, ATT +2, DEF +2, SPE -2.</t>
  </si>
  <si>
    <t>Cut</t>
  </si>
  <si>
    <t>Dark Pulse</t>
  </si>
  <si>
    <t>Dark Void</t>
  </si>
  <si>
    <t>Puts all adjacent opponents to sleep.</t>
  </si>
  <si>
    <t>All foes next to you fall asleep.</t>
  </si>
  <si>
    <t>Darkest Lariat</t>
  </si>
  <si>
    <t>Dazzling Gleam</t>
  </si>
  <si>
    <t>Hits all adjacent opponents.</t>
  </si>
  <si>
    <t>Hits all adjacent foes.</t>
  </si>
  <si>
    <t>Decorate</t>
  </si>
  <si>
    <t>Sharply raises target's Attack and Special Attack.</t>
  </si>
  <si>
    <t>Target's ATT &amp; SPA +4.</t>
  </si>
  <si>
    <t>Defend Order</t>
  </si>
  <si>
    <t>Defense Curl</t>
  </si>
  <si>
    <t>Raises user's Defense.</t>
  </si>
  <si>
    <t>Your DEF +2.</t>
  </si>
  <si>
    <t>Defog</t>
  </si>
  <si>
    <t>Lowers opponent's Evasiveness and clears fog.</t>
  </si>
  <si>
    <t>Acc returns to normal. Fog clears.</t>
  </si>
  <si>
    <t>Destiny Bond</t>
  </si>
  <si>
    <t>If the user faints, the opponent also faints.</t>
  </si>
  <si>
    <t>If you faint in d4 turns, foe that KO you also faints.</t>
  </si>
  <si>
    <t>Detect</t>
  </si>
  <si>
    <t>Protects the user, but may fail if used consecutively.</t>
  </si>
  <si>
    <t>Protects the user, but may fail if used consecutively. Roll d4. Result must be &gt; #of times used in a row.</t>
  </si>
  <si>
    <t>Devastating Drake</t>
  </si>
  <si>
    <t>Dragon type Z-Move.</t>
  </si>
  <si>
    <t>Diamond Storm</t>
  </si>
  <si>
    <t>May sharply raise user's Defense.</t>
  </si>
  <si>
    <t>Roll d20. If result &gt;= Effect Roll, your DEF +2.</t>
  </si>
  <si>
    <t>Dig</t>
  </si>
  <si>
    <t>Digs underground on first turn, attacks on second. Can also escape from caves.</t>
  </si>
  <si>
    <t>Dire Claw</t>
  </si>
  <si>
    <t>May poison, paralyze or make the opponent drowsy.</t>
  </si>
  <si>
    <t>Roll d20. 11-13, foe is poisoned. 14-16, foe is paralyzed. 17-19, foe is drowsy. 20, you choose.</t>
  </si>
  <si>
    <t>Disable</t>
  </si>
  <si>
    <t>Opponent can't use its last attack for a few turns.</t>
  </si>
  <si>
    <t>Foe cannot use their last used attack for d6 turns.</t>
  </si>
  <si>
    <t>Disarming Voice</t>
  </si>
  <si>
    <t>Discharge</t>
  </si>
  <si>
    <t>Dive</t>
  </si>
  <si>
    <t>Dives underwater on first turn, attacks on second turn.</t>
  </si>
  <si>
    <t>Dizzy Punch</t>
  </si>
  <si>
    <t>Doodle</t>
  </si>
  <si>
    <t>Changes the abilities of the user and its teammates to that of the target.</t>
  </si>
  <si>
    <t>Changes your ability and allies ability to that of target.</t>
  </si>
  <si>
    <t>Doom Desire</t>
  </si>
  <si>
    <t>Damage occurs 2 turns later.</t>
  </si>
  <si>
    <t>Double Hit</t>
  </si>
  <si>
    <t>Double Iron Bash</t>
  </si>
  <si>
    <t>Hits twice in one turn; may cause flinching.</t>
  </si>
  <si>
    <t>Hits twice in one turn; Roll d20. If result &gt;= Effect Roll, foe is flinched.</t>
  </si>
  <si>
    <t>Double Kick</t>
  </si>
  <si>
    <t>Double Shock</t>
  </si>
  <si>
    <t>After using this move, the user will no longer be Electric type.</t>
  </si>
  <si>
    <t>After successfully using this move, you are no longer electric type.</t>
  </si>
  <si>
    <t>Double Slap</t>
  </si>
  <si>
    <t>Double Team</t>
  </si>
  <si>
    <t>Raises user's Evasiveness.</t>
  </si>
  <si>
    <t>Foe Acc +1 (harder).</t>
  </si>
  <si>
    <t>Double-Edge</t>
  </si>
  <si>
    <t>Draco Meteor</t>
  </si>
  <si>
    <t>Sharply lowers user's Special Attack.</t>
  </si>
  <si>
    <t>Your SPA -4.</t>
  </si>
  <si>
    <t>Dragon Ascent</t>
  </si>
  <si>
    <t>Dragon Breath</t>
  </si>
  <si>
    <t>Roll d20. If result &gt;= Effect Roll, foe is paraylzed.</t>
  </si>
  <si>
    <t>Dragon Cheer</t>
  </si>
  <si>
    <t>Dragon Claw</t>
  </si>
  <si>
    <t>Dragon Dance</t>
  </si>
  <si>
    <t>Raises user's Attack and Speed.</t>
  </si>
  <si>
    <t>ATT &amp; SPE +2.</t>
  </si>
  <si>
    <t>Dragon Darts</t>
  </si>
  <si>
    <t>User attacks twice.</t>
  </si>
  <si>
    <t>You attack twice.</t>
  </si>
  <si>
    <t>Dragon Energy</t>
  </si>
  <si>
    <t>The higher the user's HP, the higher the power.</t>
  </si>
  <si>
    <t>Damage Base = (Current HP / Max HP) *15</t>
  </si>
  <si>
    <t>Dragon Hammer</t>
  </si>
  <si>
    <t>The user uses its body like a hammer to attack the target and inflict damage.</t>
  </si>
  <si>
    <t>Dragon Pulse</t>
  </si>
  <si>
    <t>Dragon Rage</t>
  </si>
  <si>
    <t>Always inflicts 40 HP.</t>
  </si>
  <si>
    <t>Dragon Rush</t>
  </si>
  <si>
    <t>Dragon Tail</t>
  </si>
  <si>
    <t>Drain Punch</t>
  </si>
  <si>
    <t>Draining Kiss</t>
  </si>
  <si>
    <t>User recovers most the HP inflicted on opponent.</t>
  </si>
  <si>
    <t>You recover roughly 3/4 damage dealt to foe.</t>
  </si>
  <si>
    <t>Dream Eater</t>
  </si>
  <si>
    <t>User recovers half the HP inflicted on a sleeping opponent.</t>
  </si>
  <si>
    <t>You recover roughly 1/2 damage dealt to sleeping foe.</t>
  </si>
  <si>
    <t>Drill Peck</t>
  </si>
  <si>
    <t>Drill Run</t>
  </si>
  <si>
    <t>Drum Beating</t>
  </si>
  <si>
    <t>Dual Chop</t>
  </si>
  <si>
    <t>Dual Wingbeat</t>
  </si>
  <si>
    <t>The user slams the target with its wings. The target is hit twice in a row.</t>
  </si>
  <si>
    <t>The user slams the target with its wings. The target is hit twice in a row (Roll Damage twice for one accuracy roll)</t>
  </si>
  <si>
    <t>Dynamax Cannon</t>
  </si>
  <si>
    <t>Damage doubles if opponent is Dynamaxed.</t>
  </si>
  <si>
    <t>Dynamic Punch</t>
  </si>
  <si>
    <t>Earth Power</t>
  </si>
  <si>
    <t>Earthquake</t>
  </si>
  <si>
    <t>Power is doubled if opponent is underground from using Dig.</t>
  </si>
  <si>
    <t>If foe is using Dig, damage base +3.</t>
  </si>
  <si>
    <t>Echoed Voice</t>
  </si>
  <si>
    <t>Power increases each turn.</t>
  </si>
  <si>
    <t>+1 Damage Base for each time using this move in a row.</t>
  </si>
  <si>
    <t>Eerie Impulse</t>
  </si>
  <si>
    <t>Sharply lowers opponent's Special Attack.</t>
  </si>
  <si>
    <t>Foe SPA -3.</t>
  </si>
  <si>
    <t>Eerie Spell</t>
  </si>
  <si>
    <t>Deals damage and reduces opponent's PP.</t>
  </si>
  <si>
    <t>Egg Bomb</t>
  </si>
  <si>
    <t>Electric Terrain</t>
  </si>
  <si>
    <t>Prevents all Pokémon from falling asleep for 5 turns.</t>
  </si>
  <si>
    <t>Field changes. PKMN cannot fall asleep for d6 turns.</t>
  </si>
  <si>
    <t>Electrify</t>
  </si>
  <si>
    <t>Changes the target's move to Electric type.</t>
  </si>
  <si>
    <t>Foe's move becomes electric type.</t>
  </si>
  <si>
    <t>Electro Ball</t>
  </si>
  <si>
    <t>The faster the user, the stronger the attack.</t>
  </si>
  <si>
    <t xml:space="preserve">SPE/2 = Damage Base. </t>
  </si>
  <si>
    <t>Electro Drift</t>
  </si>
  <si>
    <t>Electro Shot</t>
  </si>
  <si>
    <t>Charges on first turn, attacks on second.</t>
  </si>
  <si>
    <t>Charges on first turn, attack on second.</t>
  </si>
  <si>
    <t>Electroweb</t>
  </si>
  <si>
    <t>Opponent cannot use items.</t>
  </si>
  <si>
    <t>Foe cannot use items.</t>
  </si>
  <si>
    <t>Ember</t>
  </si>
  <si>
    <t>Forces opponent to keep using its last move for 3 turns.</t>
  </si>
  <si>
    <t>Forces foe to use its last used move for d4 turns.</t>
  </si>
  <si>
    <t>Endeavor</t>
  </si>
  <si>
    <t>Reduces opponent's HP to same as user's.</t>
  </si>
  <si>
    <t>Reduces foe's HP to same as yours.</t>
  </si>
  <si>
    <t>Endure</t>
  </si>
  <si>
    <t>Always left with at least 1 HP, but may fail if used consecutively.</t>
  </si>
  <si>
    <t>You will be left with at least 1 HP. Will fail if used twice in a row.</t>
  </si>
  <si>
    <t>Energy Ball</t>
  </si>
  <si>
    <t>Entrainment</t>
  </si>
  <si>
    <t>Makes target's ability same as user's.</t>
  </si>
  <si>
    <t>Foe's ability changes to yours.</t>
  </si>
  <si>
    <t>Eruption</t>
  </si>
  <si>
    <t>Stronger when the user's HP is higher.</t>
  </si>
  <si>
    <t>Esper Wing</t>
  </si>
  <si>
    <t>High critical hit ratio. Raises user's Speed.</t>
  </si>
  <si>
    <t>Crits are 19 or 20. SPE +2.</t>
  </si>
  <si>
    <t>Eternabeam</t>
  </si>
  <si>
    <t>User can't move on the next turn.</t>
  </si>
  <si>
    <t>You cannot do anything on your next turn.</t>
  </si>
  <si>
    <t>Expanding Force</t>
  </si>
  <si>
    <t>Increases power and hits all opponents on Psychic Terrain.</t>
  </si>
  <si>
    <t>Increases power base +2 and hits all opponents on Psychic Terrain.</t>
  </si>
  <si>
    <t>Explosion</t>
  </si>
  <si>
    <t>User faints.</t>
  </si>
  <si>
    <t>Extrasensory</t>
  </si>
  <si>
    <t>Extreme Evoboost</t>
  </si>
  <si>
    <t>Eevee-exclusive Z-Move. Sharply raises all stats.</t>
  </si>
  <si>
    <t>Eevee-exclusive Z-Move. All stats (except HP) +4.</t>
  </si>
  <si>
    <t>Extreme Speed</t>
  </si>
  <si>
    <t>Facade</t>
  </si>
  <si>
    <t>Power doubles if user is burned, poisoned, or paralyzed.</t>
  </si>
  <si>
    <t>If you are burned, poisoned, or paralyzed, damage base +3.</t>
  </si>
  <si>
    <t>Fairy Lock</t>
  </si>
  <si>
    <t>Prevents fleeing in the next turn.</t>
  </si>
  <si>
    <t>Foe cannot flee for one full turn.</t>
  </si>
  <si>
    <t>Fairy Wind</t>
  </si>
  <si>
    <t>Fake Out</t>
  </si>
  <si>
    <t>User attacks first, foe flinches. Only usable on first turn.</t>
  </si>
  <si>
    <t>You attack first, and foe flinches. Only usable on first turn.</t>
  </si>
  <si>
    <t>Fake Tears</t>
  </si>
  <si>
    <t>False Surrender</t>
  </si>
  <si>
    <t>False Swipe</t>
  </si>
  <si>
    <t>Always leaves opponent with at least 1 HP.</t>
  </si>
  <si>
    <t>Leaves foe with at least 1 HP.</t>
  </si>
  <si>
    <t>Feather Dance</t>
  </si>
  <si>
    <t>Feint</t>
  </si>
  <si>
    <t>Only hits if opponent uses Protect or Detect in the same turn.</t>
  </si>
  <si>
    <t>Hits only if foe has "Protect" or "Detect" active.</t>
  </si>
  <si>
    <t>Feint Attack</t>
  </si>
  <si>
    <t>Fell Stinger</t>
  </si>
  <si>
    <t>Drastically raises user's Attack if target is KO'd.</t>
  </si>
  <si>
    <t>If you KO foe with this move, +4 ATT</t>
  </si>
  <si>
    <t>Fickle Beam</t>
  </si>
  <si>
    <t>Fiery Dance</t>
  </si>
  <si>
    <t>Fiery Wrath</t>
  </si>
  <si>
    <t>Fillet Away</t>
  </si>
  <si>
    <t>Lowers HP but sharply boosts Attack, Special Attack, and Speed.</t>
  </si>
  <si>
    <t>Take max HP/2 damage. ATT, SPA, SPE +4.</t>
  </si>
  <si>
    <t>Final Gambit</t>
  </si>
  <si>
    <t>Inflicts damage equal to the user's remaining HP. User faints.</t>
  </si>
  <si>
    <t>Fire Blast</t>
  </si>
  <si>
    <t>Fire Fang</t>
  </si>
  <si>
    <t>May cause flinching and/or burn opponent.</t>
  </si>
  <si>
    <t>Roll d20. If 18, foe flinches. If 19, foe is burned. If 20, both.</t>
  </si>
  <si>
    <t>Fire Lash</t>
  </si>
  <si>
    <t>The user strikes the target with a burning lash. This also lowers the target's Defense stat.</t>
  </si>
  <si>
    <t>The user strikes the target with a burning lash. Foe's DEF -2.</t>
  </si>
  <si>
    <t>Fire Pledge</t>
  </si>
  <si>
    <t>Added effects appear if combined with Grass Pledge or Water Pledge.</t>
  </si>
  <si>
    <t>Fire Punch</t>
  </si>
  <si>
    <t>Fire Spin</t>
  </si>
  <si>
    <t>First Impression</t>
  </si>
  <si>
    <t>Although this move has great power, it only works the first turn the user is in battle.</t>
  </si>
  <si>
    <t>This move can only be used on Turn 1</t>
  </si>
  <si>
    <t>Fishious Rend</t>
  </si>
  <si>
    <t>Fissure</t>
  </si>
  <si>
    <t>One-Hit-KO, if it hits.</t>
  </si>
  <si>
    <t>You and foe roll d4. If your roll &gt; foe's roll +1, One-Hit-KO</t>
  </si>
  <si>
    <t>Flail</t>
  </si>
  <si>
    <t>The lower the user's HP, the higher the power.</t>
  </si>
  <si>
    <t>(Max HP - Current HP)/2 = Damage Base.</t>
  </si>
  <si>
    <t>Flame Burst</t>
  </si>
  <si>
    <t>May also injure nearby Pokémon.</t>
  </si>
  <si>
    <t>PKMN next to target take d6 damage.</t>
  </si>
  <si>
    <t>Flame Charge</t>
  </si>
  <si>
    <t>Flame Wheel</t>
  </si>
  <si>
    <t>Flamethrower</t>
  </si>
  <si>
    <t>Flare Blitz</t>
  </si>
  <si>
    <t>User receives recoil damage. May burn opponent.</t>
  </si>
  <si>
    <t>Take d[damage base] recoil damage. Roll d20. If result &gt;= Effect Roll, foe is burned.</t>
  </si>
  <si>
    <t>Flash</t>
  </si>
  <si>
    <t>Lowers opponent's Accuracy.</t>
  </si>
  <si>
    <t>Foe ACC +1.</t>
  </si>
  <si>
    <t>Flash Cannon</t>
  </si>
  <si>
    <t>Flatter</t>
  </si>
  <si>
    <t>Confuses opponent, but raises its Special Attack.</t>
  </si>
  <si>
    <t>Foe is confused &amp; foe +2 SPA</t>
  </si>
  <si>
    <t>Fleur Cannon</t>
  </si>
  <si>
    <t>Fling</t>
  </si>
  <si>
    <t>Power depends on held item.</t>
  </si>
  <si>
    <t>Depends on held item (GM).</t>
  </si>
  <si>
    <t>Flip Turn</t>
  </si>
  <si>
    <t>After making its attack, the user rushes back to switch places with a party Pokémon in waiting.</t>
  </si>
  <si>
    <t>After making your attack, you rush back to switch places with an ally in waiting. You and ally switch initiative next round</t>
  </si>
  <si>
    <t>Floaty Fall</t>
  </si>
  <si>
    <t>Floral Healing</t>
  </si>
  <si>
    <t>The user restores the target's HP by up to half of its max HP. It restores more HP when the terrain is grass.</t>
  </si>
  <si>
    <t>You heal up to 1/2 of max HP. If grass terrain, heal up to 3/4 max HP.</t>
  </si>
  <si>
    <t>Flower Shield</t>
  </si>
  <si>
    <t>Sharply raises Defense of all Grass-type Pokémon on the field.</t>
  </si>
  <si>
    <t>All Grass PKMN get +4 DEF.</t>
  </si>
  <si>
    <t>Flower Trick</t>
  </si>
  <si>
    <t>Never misses; always results in a critical hit.</t>
  </si>
  <si>
    <t>Does not miss. Apply critical hit damage.</t>
  </si>
  <si>
    <t>Fly</t>
  </si>
  <si>
    <t>Flies up on first turn, attacks on second turn.</t>
  </si>
  <si>
    <t>Flying Press</t>
  </si>
  <si>
    <t>Deals Fighting and Flying type damage.</t>
  </si>
  <si>
    <t>Focus Blast</t>
  </si>
  <si>
    <t>Focus Energy</t>
  </si>
  <si>
    <t>Increases critical hit ratio.</t>
  </si>
  <si>
    <t>Crits are 19 or 20 for you for rest of battle.</t>
  </si>
  <si>
    <t>Focus Punch</t>
  </si>
  <si>
    <t>If the user is hit before attacking, it flinches instead.</t>
  </si>
  <si>
    <t>If you are hit before attacking, you flinch.</t>
  </si>
  <si>
    <t>Follow Me</t>
  </si>
  <si>
    <t>In Double Battle, the user takes all the attacks.</t>
  </si>
  <si>
    <t>Until your next turn, you take all attacks.</t>
  </si>
  <si>
    <t>Force Palm</t>
  </si>
  <si>
    <t>Foresight</t>
  </si>
  <si>
    <t>Resets opponent's Evasiveness, and allows Normal- and Fighting-type attacks to hit Ghosts.</t>
  </si>
  <si>
    <t>Resets your negative Acc changes. Normal &amp; Fighting do neutral to Ghost. Ghost attacks do neutral to Normal.</t>
  </si>
  <si>
    <t>Forest's Curse</t>
  </si>
  <si>
    <t>Adds Grass type to opponent.</t>
  </si>
  <si>
    <t>Foe gains Grass type.</t>
  </si>
  <si>
    <t>Foul Play</t>
  </si>
  <si>
    <t>Uses the opponent's Attack stat.</t>
  </si>
  <si>
    <t>Uses foe's ATT.</t>
  </si>
  <si>
    <t>Freeze Shock</t>
  </si>
  <si>
    <t>Charges on first turn, attacks on second. May paralyze opponent.</t>
  </si>
  <si>
    <t>Charges on first turn, attacks on second. Roll d20. If result &gt;= Effect Roll, foe is paralyzed.</t>
  </si>
  <si>
    <t>Freeze-Dry</t>
  </si>
  <si>
    <t>May freeze opponent. Super-effective against Water types.</t>
  </si>
  <si>
    <t>Roll d20. If roll &gt;= Effect Roll, foe is frozen. Super-effective against Water types.</t>
  </si>
  <si>
    <t>Freezing Glare</t>
  </si>
  <si>
    <t>Freezy Frost</t>
  </si>
  <si>
    <t>Resets all stat changes.</t>
  </si>
  <si>
    <t>Resets all in-battle stat changes.</t>
  </si>
  <si>
    <t>Frenzy Plant</t>
  </si>
  <si>
    <t>Frost Breath</t>
  </si>
  <si>
    <t>Always results in a critical hit.</t>
  </si>
  <si>
    <t>Always a crit.</t>
  </si>
  <si>
    <t>Frustration</t>
  </si>
  <si>
    <t>Power decreases with higher Friendship.</t>
  </si>
  <si>
    <t>Count shortest route to ally. Damage base is result.</t>
  </si>
  <si>
    <t>Fury Attack</t>
  </si>
  <si>
    <t>Fury Cutter</t>
  </si>
  <si>
    <t>Fury Swipes</t>
  </si>
  <si>
    <t>Fusion Bolt</t>
  </si>
  <si>
    <t>Power increases if Fusion Flare is used in the same turn.</t>
  </si>
  <si>
    <t>If Fusion Flare is used in same turn, damage base +2.</t>
  </si>
  <si>
    <t>Fusion Flare</t>
  </si>
  <si>
    <t>Power increases if Fusion Bolt is used in the same turn.</t>
  </si>
  <si>
    <t>If Fusion Bolt is used in same turn, damage base +2.</t>
  </si>
  <si>
    <t>Future Sight</t>
  </si>
  <si>
    <t>G-Max Befuddle</t>
  </si>
  <si>
    <t>Butterfree-exclusive G-Max Move. Poisons, paralyzes, or puts opponent to sleep.</t>
  </si>
  <si>
    <t>Butterfree-exclusive G-Max Move. Roll d4. 1: Poison. 2: Paralyze. 3. Sleep. 4. You choose.</t>
  </si>
  <si>
    <t>G-Max Cannonade</t>
  </si>
  <si>
    <t>Blastoise-exclusive G-Max Move. Damages non-Water types for 4 turns.</t>
  </si>
  <si>
    <t>G-Max Centiferno</t>
  </si>
  <si>
    <t>Centiskorch-exclusive G-Max Move. Traps opponents for 4-5 turns.</t>
  </si>
  <si>
    <t>Centiskorch-exclusive G-Max Move. Foe is trapped for d6 turns.</t>
  </si>
  <si>
    <t>G-Max Chi Strike</t>
  </si>
  <si>
    <t>Machamp-exclusive G-Max Move. Increases critical hit ratio.</t>
  </si>
  <si>
    <t>Machamp-exclusive G-Max Move. Crits are 19 or 20 for you for rest of battle.</t>
  </si>
  <si>
    <t>G-Max Cuddle</t>
  </si>
  <si>
    <t>Eevee-exclusive G-Max Move. Infatuates opponents.</t>
  </si>
  <si>
    <t>Eevee-exclusive G-Max Move. Foe is infatuated.</t>
  </si>
  <si>
    <t>G-Max Depletion</t>
  </si>
  <si>
    <t>Duraludon-exclusive G-Max Move. Reduces opponent's PP.</t>
  </si>
  <si>
    <t>Duraludon-exclusive G-Max Move. Roll d6. Foe loses [result] PP on last move used..</t>
  </si>
  <si>
    <t>G-Max Drum Solo</t>
  </si>
  <si>
    <t>Rillaboom-exclusive G-Max Move. Ignores target's ability.</t>
  </si>
  <si>
    <t>G-Max Finale</t>
  </si>
  <si>
    <t>Alcremie-exclusive G-Max Move. Heals the user's team.</t>
  </si>
  <si>
    <t>Alcremie-exclusive G-Max Move. All allies heal d12 HP.</t>
  </si>
  <si>
    <t>G-Max Fireball</t>
  </si>
  <si>
    <t>Cinderace-exclusive G-Max Move. Ignores target's ability.</t>
  </si>
  <si>
    <t>G-Max Foam Burst</t>
  </si>
  <si>
    <t>Kingler-exclusive G-Max Move. Harshly lowers opponents' Speed.</t>
  </si>
  <si>
    <t>Kingler-exclusive G-Max Move. Foe's SPE -6.</t>
  </si>
  <si>
    <t>G-Max Gold Rush</t>
  </si>
  <si>
    <t>Meowth-exclusive G-Max Move. Confuses opponents and earns more money.</t>
  </si>
  <si>
    <t>Meowth-exclusive G-Max Move. Foe is confused. You also find d100 * d4 Poke.</t>
  </si>
  <si>
    <t>G-Max Gravitas</t>
  </si>
  <si>
    <t>Orbeetle-exclusive G-Max Move. Summons Gravity for 5 turns.</t>
  </si>
  <si>
    <t>Orbeetle-exclusive G-Max Move. Summons Gravity for d6 turns.</t>
  </si>
  <si>
    <t>G-Max Hydrosnipe</t>
  </si>
  <si>
    <t>Inteleon-exclusive G-Max Move. Ignores target's ability.</t>
  </si>
  <si>
    <t>G-Max Malodor</t>
  </si>
  <si>
    <t>Garbodor-exclusive G-Max Move. Poisons opponents.</t>
  </si>
  <si>
    <t>Garbodor-exclusive G-Max Move. Poisons foes.</t>
  </si>
  <si>
    <t>G-Max Meltdown</t>
  </si>
  <si>
    <t>Melmetal-exclusive G-Max Move. Prevents opponents using the same move twice in a row.</t>
  </si>
  <si>
    <t>Melmetal-exclusive G-Max Move. Foes cannot use the same move twice in a row.</t>
  </si>
  <si>
    <t>G-Max One Blow</t>
  </si>
  <si>
    <t>Urshifu Single-Strike Style-exclusive G-Max Move. Strikes through Max Guard and Protect.</t>
  </si>
  <si>
    <t>G-Max Rapid Flow</t>
  </si>
  <si>
    <t>Urshifu Rapid-Strike Style-exclusive G-Max Move. Strikes through Max Guard and Protect.</t>
  </si>
  <si>
    <t>G-Max Replenish</t>
  </si>
  <si>
    <t>Snorlax-exclusive G-Max Move. Recycles Berries.</t>
  </si>
  <si>
    <t>Snorlax-exclusive G-Max Move. Any berries used in battle appear in your bag (until bag is full, your choice)</t>
  </si>
  <si>
    <t>G-Max Resonance</t>
  </si>
  <si>
    <t>Lapras-exclusive G-Max Move. Reduces damage for 5 turns.</t>
  </si>
  <si>
    <t>Lapras-exclusive G-Max Move. Damage for next d6 turns is reduced by d10.</t>
  </si>
  <si>
    <t>G-Max Sandblast</t>
  </si>
  <si>
    <t>Sandaconda-exclusive G-Max Move. Traps opponents for 4-5 turns.</t>
  </si>
  <si>
    <t>Sandaconda-exclusive G-Max Move. Foe is trapped for d6 turns.</t>
  </si>
  <si>
    <t>G-Max Smite</t>
  </si>
  <si>
    <t>Hatterene-exclusive G-Max Move. Confuses opponents.</t>
  </si>
  <si>
    <t>Hatterene-exclusive G-Max Move. All foes are confused.</t>
  </si>
  <si>
    <t>G-Max Snooze</t>
  </si>
  <si>
    <t>Grimmsnarl-exclusive G-Max Move. Makes opponents drowsy.</t>
  </si>
  <si>
    <t>Grimmsnarl-exclusive G-Max Move. Makes foes drowsy.</t>
  </si>
  <si>
    <t>G-Max Steelsurge</t>
  </si>
  <si>
    <t>Copperajah-exclusive G-Max Move. Sets up Spikes on the field.</t>
  </si>
  <si>
    <t>G-Max Stonesurge</t>
  </si>
  <si>
    <t>Drednaw-exclusive G-Max Move. Sets up Stealth Rock.</t>
  </si>
  <si>
    <t>G-Max Stun Shock</t>
  </si>
  <si>
    <t>Toxtricity-exclusive G-Max Move. Poisons or paralyzes opponents.</t>
  </si>
  <si>
    <t>Toxtricity-exclusive G-Max Move. Roll d4. If odd, poison foe. If even, paralyze foe.</t>
  </si>
  <si>
    <t>G-Max Sweetness</t>
  </si>
  <si>
    <t>Appletun-exclusive G-Max Move. Heals status conditions of user's team.</t>
  </si>
  <si>
    <t>Appletun-exclusive G-Max Move. Cures all status problems in team.</t>
  </si>
  <si>
    <t>G-Max Tartness</t>
  </si>
  <si>
    <t>Flapple-exclusive G-Max Move. Reduces opponents' evasiveness.</t>
  </si>
  <si>
    <t>Flapple-exclusive G-Max Move. If Acc changed to make it harder for you, reset them.</t>
  </si>
  <si>
    <t>G-Max Terror</t>
  </si>
  <si>
    <t>Gengar-exclusive G-Max Move. Prevents opponent from switching out.</t>
  </si>
  <si>
    <t>Gengar-exclusive G-Max Move. Foe cannot switch.</t>
  </si>
  <si>
    <t>G-Max Vine Lash</t>
  </si>
  <si>
    <t>Venusaur-exclusive G-Max Move. Damages non-Grass types for 4 turns.</t>
  </si>
  <si>
    <t>G-Max Volcalith</t>
  </si>
  <si>
    <t>Coalossal-exclusive G-Max Move. Deals damage for 4 turns.</t>
  </si>
  <si>
    <t>Coalossal-exclusive G-Max Move. Foe takes d6 damage for 4 turns.</t>
  </si>
  <si>
    <t>G-Max Volt Crash</t>
  </si>
  <si>
    <t>Pikachu-exclusive G-Max Move. Paralyzes opponents.</t>
  </si>
  <si>
    <t>Pikachu-exclusive G-Max Move. Foe is paralyzed.</t>
  </si>
  <si>
    <t>G-Max Wildfire</t>
  </si>
  <si>
    <t>Charizard-exclusive G-Max Move. Damages non-Fire types for 4 turns.</t>
  </si>
  <si>
    <t>Charizard-exclusive G-Max Move. If foe is not fire type, foe takes d6 damage for d4 turns.</t>
  </si>
  <si>
    <t>G-Max Wind Rage</t>
  </si>
  <si>
    <t>Corviknight-exclusive G-Max Move. Removes battlefield hazards.</t>
  </si>
  <si>
    <t>Gastro Acid</t>
  </si>
  <si>
    <t>Cancels out the effect of the opponent's Ability.</t>
  </si>
  <si>
    <t>Gear Grind</t>
  </si>
  <si>
    <t>Gear Up</t>
  </si>
  <si>
    <t>The user engages its gears to raise the Attack and Sp. Atk stats of ally Pokémon with the Plus or Minus Ability.</t>
  </si>
  <si>
    <t>If ally has "Plus" or "Minus" ability, their ATT &amp; SPA +2.</t>
  </si>
  <si>
    <t>Genesis Supernova</t>
  </si>
  <si>
    <t>Mew-exclusive Z-Move.</t>
  </si>
  <si>
    <t>Geomancy</t>
  </si>
  <si>
    <t>Charges on first turn, sharply raises user's Sp. Attack, Sp. Defense and Speed on the second.</t>
  </si>
  <si>
    <t>Charges on first turn, then +4 SPA, SPD, SPE on second.</t>
  </si>
  <si>
    <t>Giga Drain</t>
  </si>
  <si>
    <t>Giga Impact</t>
  </si>
  <si>
    <t>Gigaton Hammer</t>
  </si>
  <si>
    <t>Gigavolt Havoc</t>
  </si>
  <si>
    <t>Electric type Z-Move.</t>
  </si>
  <si>
    <t>Glacial Lance</t>
  </si>
  <si>
    <t>The user attacks by hurling a blizzard-cloaked icicle lance at opposing Pokémon.</t>
  </si>
  <si>
    <t>Glaciate</t>
  </si>
  <si>
    <t>Glaive Rush</t>
  </si>
  <si>
    <t>Attacks from opposing Pokémon during the next turn cannot miss and will inflict double damage.</t>
  </si>
  <si>
    <t>Until your next turn, attacks on you by foes will always hit and deals double damage (after calc)</t>
  </si>
  <si>
    <t>Glare</t>
  </si>
  <si>
    <t>Paralyzes opponent.</t>
  </si>
  <si>
    <t>Foe is paralyzed.</t>
  </si>
  <si>
    <t>Glitzy Glow</t>
  </si>
  <si>
    <t>Reduces damage from Special attacks.</t>
  </si>
  <si>
    <t>If foe uses Spe. attack, damage base -1.</t>
  </si>
  <si>
    <t>Grass Knot</t>
  </si>
  <si>
    <t>The heavier the opponent, the stronger the attack.</t>
  </si>
  <si>
    <t>Grass Pledge</t>
  </si>
  <si>
    <t>Added effects appear if preceded by Water Pledge or succeeded by Fire Pledge.</t>
  </si>
  <si>
    <t>Grass Whistle</t>
  </si>
  <si>
    <t>Puts opponent to sleep.</t>
  </si>
  <si>
    <t>Foe falls asleep.</t>
  </si>
  <si>
    <t>Grassy Glide</t>
  </si>
  <si>
    <t>High priority during Grassy Terrain.</t>
  </si>
  <si>
    <t>Grassy Terrain</t>
  </si>
  <si>
    <t>Restores a little HP of all Pokémon for 5 turns.</t>
  </si>
  <si>
    <t>All PKMN gain d4 health for d6 turns.</t>
  </si>
  <si>
    <t>Grav Apple</t>
  </si>
  <si>
    <t>Lowers the opponent's Defense stat.</t>
  </si>
  <si>
    <t>Foe's DEF -2.</t>
  </si>
  <si>
    <t>Gravity</t>
  </si>
  <si>
    <t>Prevents moves like Fly and Bounce and the Ability Levitate for 5 turns.</t>
  </si>
  <si>
    <t>Prevents moves like Fly, Bounce and Ability Levitate for d6 turns.</t>
  </si>
  <si>
    <t>Growl</t>
  </si>
  <si>
    <t>Growth</t>
  </si>
  <si>
    <t>Raises user's Attack and Special Attack.</t>
  </si>
  <si>
    <t>Your ATT &amp; SPA +2.</t>
  </si>
  <si>
    <t>Grudge</t>
  </si>
  <si>
    <t>If the users faints after using this move, the PP for the opponent's last move is depleted.</t>
  </si>
  <si>
    <t>If you faint before your next turn, foe's last move loses all PP.</t>
  </si>
  <si>
    <t>Guard Split</t>
  </si>
  <si>
    <t>Averages Defense and Special Defense with the target.</t>
  </si>
  <si>
    <t>Your DEF and SPD are averaged with foe.</t>
  </si>
  <si>
    <t>Guard Swap</t>
  </si>
  <si>
    <t>User and opponent swap Defense and Special Defense.</t>
  </si>
  <si>
    <t>You and foe swap DEF and SPD.</t>
  </si>
  <si>
    <t>Guardian of Alola</t>
  </si>
  <si>
    <t>Tapu-exclusive Z-move. Cuts opponent's HP by 75%.</t>
  </si>
  <si>
    <t>Tapu-exclusive Z-move. Foe loses 75% of current HP.</t>
  </si>
  <si>
    <t>Guillotine</t>
  </si>
  <si>
    <t>Gunk Shot</t>
  </si>
  <si>
    <t>May poison opponent.</t>
  </si>
  <si>
    <t>Roll d20. If result &gt;= Effect Roll, foe is poisoned.</t>
  </si>
  <si>
    <t>Gust</t>
  </si>
  <si>
    <t>Hits Pokémon using Fly/Bounce/Sky Drop with double power.</t>
  </si>
  <si>
    <t>If foe is using Fly/Bounce, damage base +3.</t>
  </si>
  <si>
    <t>Gyro Ball</t>
  </si>
  <si>
    <t>The slower the user, the stronger the attack.</t>
  </si>
  <si>
    <t>Number of battlers * 2 is max Damage Base. -2 depending on order (1st gets full, 2nd gets max-2, etc.)</t>
  </si>
  <si>
    <t>Hail</t>
  </si>
  <si>
    <t>Non-Ice types are damaged for 5 turns.</t>
  </si>
  <si>
    <t>Non-ice types take d6 damage for d6 turns.</t>
  </si>
  <si>
    <t>Hammer Arm</t>
  </si>
  <si>
    <t>Lowers user's Speed.</t>
  </si>
  <si>
    <t>Your SPE -2.</t>
  </si>
  <si>
    <t>Happy Hour</t>
  </si>
  <si>
    <t>Doubles prize money from trainer battles.</t>
  </si>
  <si>
    <t>Any Poke found in battle is doubled.</t>
  </si>
  <si>
    <t>Hard Press</t>
  </si>
  <si>
    <t>Harden</t>
  </si>
  <si>
    <t>Haze</t>
  </si>
  <si>
    <t>Head Charge</t>
  </si>
  <si>
    <t>Head Smash</t>
  </si>
  <si>
    <t>Headbutt</t>
  </si>
  <si>
    <t>Headlong Rush</t>
  </si>
  <si>
    <t>DEF -2.</t>
  </si>
  <si>
    <t>Heal Bell</t>
  </si>
  <si>
    <t>Heals the user's party's status conditions.</t>
  </si>
  <si>
    <t>Heals team's status conditions.</t>
  </si>
  <si>
    <t>Prevents the opponent from restoring HP for 5 turns.</t>
  </si>
  <si>
    <t>Foe cannot heal for d6 turns.</t>
  </si>
  <si>
    <t>Heal Order</t>
  </si>
  <si>
    <t>User recovers half its max HP.</t>
  </si>
  <si>
    <t>You recover 1/2 max HP</t>
  </si>
  <si>
    <t>Heal Pulse</t>
  </si>
  <si>
    <t>Restores half the target's max HP.</t>
  </si>
  <si>
    <t>Heals half of foe's max HP.</t>
  </si>
  <si>
    <t>Healing Wish</t>
  </si>
  <si>
    <t>The user faints and the next Pokémon released is fully healed.</t>
  </si>
  <si>
    <t>You faint, and one of your allies heals fully.</t>
  </si>
  <si>
    <t>Heart Stamp</t>
  </si>
  <si>
    <t>Heart Swap</t>
  </si>
  <si>
    <t>Stat changes are swapped with the opponent.</t>
  </si>
  <si>
    <t>Stat changes are swapped with foe.</t>
  </si>
  <si>
    <t>Heat Crash</t>
  </si>
  <si>
    <t>The heavier the user, the stronger the attack.</t>
  </si>
  <si>
    <t>Heat Wave</t>
  </si>
  <si>
    <t>Heavy Slam</t>
  </si>
  <si>
    <t>Helping Hand</t>
  </si>
  <si>
    <t>In Double Battles, boosts the power of the partner's move.</t>
  </si>
  <si>
    <t>If next to ally, ally damage base +2 on their next turn.</t>
  </si>
  <si>
    <t>Hex</t>
  </si>
  <si>
    <t>Inflicts more damage if the target has a status condition.</t>
  </si>
  <si>
    <t>Hidden Power</t>
  </si>
  <si>
    <t>Type and power depends on user's IVs.</t>
  </si>
  <si>
    <t>When this move is learned, tell GM. GM will tell you what type it is.</t>
  </si>
  <si>
    <t>High Horsepower</t>
  </si>
  <si>
    <t>The user fiercely attacks the target using its entire body.</t>
  </si>
  <si>
    <t>High Jump Kick</t>
  </si>
  <si>
    <t>If it misses, the user loses half their HP.</t>
  </si>
  <si>
    <t>If it misses, you take 1/2 damage you would have dealt.</t>
  </si>
  <si>
    <t>Hold Back</t>
  </si>
  <si>
    <t>Hold Hands</t>
  </si>
  <si>
    <t>Makes the user and an ally very happy.</t>
  </si>
  <si>
    <t>Hone Claws</t>
  </si>
  <si>
    <t>Raises user's Attack and Accuracy.</t>
  </si>
  <si>
    <t>Your ATT +2 &amp; ACC rolls are 1 easier.</t>
  </si>
  <si>
    <t>Horn Attack</t>
  </si>
  <si>
    <t>Horn Drill</t>
  </si>
  <si>
    <t>Horn Leech</t>
  </si>
  <si>
    <t>Howl</t>
  </si>
  <si>
    <t>Raises Attack of allies.</t>
  </si>
  <si>
    <t>Your ATT +2.</t>
  </si>
  <si>
    <t>Hurricane</t>
  </si>
  <si>
    <t>Hydro Cannon</t>
  </si>
  <si>
    <t>Hydro Pump</t>
  </si>
  <si>
    <t>Hydro Steam</t>
  </si>
  <si>
    <t>Power increases in harsh sunlight.</t>
  </si>
  <si>
    <t>If harsh sunlight, damage base +2.</t>
  </si>
  <si>
    <t>Hydro Vortex</t>
  </si>
  <si>
    <t>Water type Z-Move.</t>
  </si>
  <si>
    <t>Hyper Beam</t>
  </si>
  <si>
    <t>Hyper Drill</t>
  </si>
  <si>
    <t>Can strike through Protect/Detect.</t>
  </si>
  <si>
    <t>Ignore the effects of Protect/Detect</t>
  </si>
  <si>
    <t>Hyper Fang</t>
  </si>
  <si>
    <t>Hyper Voice</t>
  </si>
  <si>
    <t>Hyperspace Fury</t>
  </si>
  <si>
    <t>Lowers user's Defense. Can strike through Protect/Detect.</t>
  </si>
  <si>
    <t>Your DEF -2. Can hit through Protect/Detect/Counter/etc.</t>
  </si>
  <si>
    <t>Hyperspace Hole</t>
  </si>
  <si>
    <t>Hypnosis</t>
  </si>
  <si>
    <t>Ice Ball</t>
  </si>
  <si>
    <t>Doubles in power each turn for 5 turns.</t>
  </si>
  <si>
    <t>Damage base +3 for each succes in a row (3,6,9,12,15). Max 15.</t>
  </si>
  <si>
    <t>Ice Beam</t>
  </si>
  <si>
    <t>Ice Burn</t>
  </si>
  <si>
    <t>Charges on first turn, attacks on second. May burn opponent.</t>
  </si>
  <si>
    <t>Charges on first turn, attacks on second. Roll d20. If result &gt;= Effect Roll, foe is burned.</t>
  </si>
  <si>
    <t>Ice Fang</t>
  </si>
  <si>
    <t>May cause flinching and/or freeze opponent.</t>
  </si>
  <si>
    <t>Roll d20. If 18, foe flinches. If 19, foe freezes. If 20, both.</t>
  </si>
  <si>
    <t>Ice Hammer</t>
  </si>
  <si>
    <t>The user swings and hits with its strong, heavy fist. It lowers the user's Speed, however.</t>
  </si>
  <si>
    <t>The user swings and hits with its strong, heavy fist. Your SPE -2.</t>
  </si>
  <si>
    <t>Ice Punch</t>
  </si>
  <si>
    <t>Ice Shard</t>
  </si>
  <si>
    <t>Ice Spinner</t>
  </si>
  <si>
    <t>Removes effects of Terrain.</t>
  </si>
  <si>
    <t>Remove any "Terrain" on the field.</t>
  </si>
  <si>
    <t>Icicle Crash</t>
  </si>
  <si>
    <t>Icicle Spear</t>
  </si>
  <si>
    <t>Icy Wind</t>
  </si>
  <si>
    <t>Imprison</t>
  </si>
  <si>
    <t>Opponent is unable to use moves that the user also knows.</t>
  </si>
  <si>
    <t>Foes cannot use moves that you know.</t>
  </si>
  <si>
    <t>Incinerate</t>
  </si>
  <si>
    <t>Destroys the target's held berry.</t>
  </si>
  <si>
    <t>Foe's edible item is destroyed.</t>
  </si>
  <si>
    <t>Infernal Parade</t>
  </si>
  <si>
    <t>Inferno</t>
  </si>
  <si>
    <t>Burns opponent.</t>
  </si>
  <si>
    <t>Foe is burned.</t>
  </si>
  <si>
    <t>Inferno Overdrive</t>
  </si>
  <si>
    <t>Fire type Z-Move.</t>
  </si>
  <si>
    <t>Infestation</t>
  </si>
  <si>
    <t>Ingrain</t>
  </si>
  <si>
    <t>User restores HP each turn. User cannot escape/switch.</t>
  </si>
  <si>
    <t>Instruct</t>
  </si>
  <si>
    <t>Allows an ally to use a move instead.</t>
  </si>
  <si>
    <t>An ally will use a move instead.</t>
  </si>
  <si>
    <t>Ion Deluge</t>
  </si>
  <si>
    <t>Changes Normal-type moves to Electric-type.</t>
  </si>
  <si>
    <t>Until your next turn, Normal moves become Electric.</t>
  </si>
  <si>
    <t>Iron Head</t>
  </si>
  <si>
    <t>Iron Tail</t>
  </si>
  <si>
    <t>Ivy Cudgel</t>
  </si>
  <si>
    <t>High critical hit ratio. Type changes based on form.</t>
  </si>
  <si>
    <t>Crits are 19 or 20. Type is based on Mask.</t>
  </si>
  <si>
    <t>Jaw Lock</t>
  </si>
  <si>
    <t>Prevents user and opponent from switching out.</t>
  </si>
  <si>
    <t>You and foe cannot switch.</t>
  </si>
  <si>
    <t>Jet Punch</t>
  </si>
  <si>
    <t>Always goes first.</t>
  </si>
  <si>
    <t>Judgment</t>
  </si>
  <si>
    <t>Type depends on the Arceus Plate being held.</t>
  </si>
  <si>
    <t>Jump Kick</t>
  </si>
  <si>
    <t>Jungle Healing</t>
  </si>
  <si>
    <t>Restores team's HP and cures status conditions.</t>
  </si>
  <si>
    <t>Karate Chop</t>
  </si>
  <si>
    <t>Kinesis</t>
  </si>
  <si>
    <t>King's Shield</t>
  </si>
  <si>
    <t>Protects the user and lowers opponent's Attack on contact.</t>
  </si>
  <si>
    <t>You gain "Protect" status. If foe contacts you, foe ATT -2.</t>
  </si>
  <si>
    <t>Knock Off</t>
  </si>
  <si>
    <t>Removes opponent's held item for the rest of the battle.</t>
  </si>
  <si>
    <t>Foe drops held item for rest of battle.</t>
  </si>
  <si>
    <t>Kowtow Cleave</t>
  </si>
  <si>
    <t>Always hits.</t>
  </si>
  <si>
    <t>Land's Wrath</t>
  </si>
  <si>
    <t>Laser Focus</t>
  </si>
  <si>
    <t>User's next attack is guaranteed to result in a critical hit.</t>
  </si>
  <si>
    <t>Your next attack will be a crit.</t>
  </si>
  <si>
    <t>Lash Out</t>
  </si>
  <si>
    <t>Double power if stats were lowered during the turn.</t>
  </si>
  <si>
    <t>Last Resort</t>
  </si>
  <si>
    <t>Can only be used after all other moves are used.</t>
  </si>
  <si>
    <t>Last Respects</t>
  </si>
  <si>
    <t>Damages increases the more party Pokémon have been defeated.</t>
  </si>
  <si>
    <t>Damage base +2x for each fainted ally.</t>
  </si>
  <si>
    <t>Lava Plume</t>
  </si>
  <si>
    <t>Leaf Blade</t>
  </si>
  <si>
    <t>Leaf Storm</t>
  </si>
  <si>
    <t>Leaf Tornado</t>
  </si>
  <si>
    <t>May lower opponent's Accuracy.</t>
  </si>
  <si>
    <t>Roll d20. If result &gt;= Effect Roll, foe must roll 1 higher for ACC checks.</t>
  </si>
  <si>
    <t>Leafage</t>
  </si>
  <si>
    <t>Strikes opponent with leaves.</t>
  </si>
  <si>
    <t>Leech Life</t>
  </si>
  <si>
    <t>Drains HP from opponent each turn.</t>
  </si>
  <si>
    <t>The seeded PKMN loses d6 health and the seeder gains the same amount.</t>
  </si>
  <si>
    <t>Leer</t>
  </si>
  <si>
    <t>Lowers opponent's Defense.</t>
  </si>
  <si>
    <t>Let's Snuggle Forever</t>
  </si>
  <si>
    <t>Mimikyu-exclusive Z-Move.</t>
  </si>
  <si>
    <t>Lick</t>
  </si>
  <si>
    <t>Life Dew</t>
  </si>
  <si>
    <t>User and teammates recover HP.</t>
  </si>
  <si>
    <t>All of team gains d12+4 HP.</t>
  </si>
  <si>
    <t>Light of Ruin</t>
  </si>
  <si>
    <t>Light Screen</t>
  </si>
  <si>
    <t>Halves damage from Special attacks for 5 turns.</t>
  </si>
  <si>
    <t>Damage from Spe. attacks is 1/2 for d6 turns.</t>
  </si>
  <si>
    <t>Light That Burns the Sky</t>
  </si>
  <si>
    <t>Ultra Necrozma-exclusive Z-Move. Ignores target's ability; uses highest Attack stat.</t>
  </si>
  <si>
    <t>Ultra Necrozma-exclusive Z-Move. Ignores target's ability; uses higher stat (ATT or SPA).</t>
  </si>
  <si>
    <t>Liquidation</t>
  </si>
  <si>
    <t>The user slams into the target using a full-force blast of water. Roll d20. If result &gt;= Effect Roll, foe's DEF -2.</t>
  </si>
  <si>
    <t>Lock-On</t>
  </si>
  <si>
    <t>User's next attack is guaranteed to hit.</t>
  </si>
  <si>
    <t>Your next move will hit.</t>
  </si>
  <si>
    <t>Lovely Kiss</t>
  </si>
  <si>
    <t>Low Kick</t>
  </si>
  <si>
    <t>Low Sweep</t>
  </si>
  <si>
    <t>Lucky Chant</t>
  </si>
  <si>
    <t>Opponent cannot land critical hits for 5 turns.</t>
  </si>
  <si>
    <t>Foe cannot roll a crit for d6 turns.</t>
  </si>
  <si>
    <t>Lumina Crash</t>
  </si>
  <si>
    <t>Harshly lowers target’s Special Defense.</t>
  </si>
  <si>
    <t>Foe SPD -6.</t>
  </si>
  <si>
    <t>Lunar Blessing</t>
  </si>
  <si>
    <t>Heals user's status conditions and recovers HP.</t>
  </si>
  <si>
    <t>Heal all status conditions and d20 HP.</t>
  </si>
  <si>
    <t>Lunar Dance</t>
  </si>
  <si>
    <t>The user faints but the next Pokémon released is fully healed.</t>
  </si>
  <si>
    <t>Lunge</t>
  </si>
  <si>
    <t>The user makes a lunge at the target, attacking with full force. This also lowers the target's Attack stat.</t>
  </si>
  <si>
    <t>Foe -2 ATT.</t>
  </si>
  <si>
    <t>Luster Purge</t>
  </si>
  <si>
    <t>Mach Punch</t>
  </si>
  <si>
    <t>Magic Coat</t>
  </si>
  <si>
    <t>Reflects moves that cause status conditions back to the attacker.</t>
  </si>
  <si>
    <t>Magic Powder</t>
  </si>
  <si>
    <t>Changes target's type to Psychic.</t>
  </si>
  <si>
    <t>Magic Room</t>
  </si>
  <si>
    <t>Suppresses the effects of held items for five turns.</t>
  </si>
  <si>
    <t>Held items have no effects for d6 turns (all PKMN).</t>
  </si>
  <si>
    <t>Magical Leaf</t>
  </si>
  <si>
    <t>Magical Torque</t>
  </si>
  <si>
    <t>Magma Storm</t>
  </si>
  <si>
    <t>Magnet Bomb</t>
  </si>
  <si>
    <t>Magnet Rise</t>
  </si>
  <si>
    <t>User becomes immune to Ground-type moves for 5 turns.</t>
  </si>
  <si>
    <t>You take immune damage from Ground moves for d6 turns.</t>
  </si>
  <si>
    <t>Magnetic Flux</t>
  </si>
  <si>
    <t>Raises Defense and Sp. Defense of Plus/Minus Pokémon.</t>
  </si>
  <si>
    <t>"Plus"/"Minus" PKMN get +2 DEF &amp; SPD.</t>
  </si>
  <si>
    <t>Magnitude</t>
  </si>
  <si>
    <t>Hits with random power.</t>
  </si>
  <si>
    <t>Roll d6+5. Result is damage base.</t>
  </si>
  <si>
    <t>Make It Rain</t>
  </si>
  <si>
    <t>Lowers user's Special Attack. Money is earned after the battle.</t>
  </si>
  <si>
    <t>SPA - 2. Roll d100, take 2x Poke</t>
  </si>
  <si>
    <t>Malicious Moonsault</t>
  </si>
  <si>
    <t>Incineroar-exclusive Z-Move.</t>
  </si>
  <si>
    <t>Malignant Chain</t>
  </si>
  <si>
    <t>May poison the opponent.</t>
  </si>
  <si>
    <t>Roll d20. If 11+, foe is badly poisoned.</t>
  </si>
  <si>
    <t>Mat Block</t>
  </si>
  <si>
    <t>Protects teammates from damaging moves.</t>
  </si>
  <si>
    <t>Allies are protected from damage moves until next turn.</t>
  </si>
  <si>
    <t>Matcha Gotcha</t>
  </si>
  <si>
    <t>Deals damage, restored HP, may burn opponent.</t>
  </si>
  <si>
    <t>After damage, you recover roughly 1/2 of damage dealt. Roll d20. If 17+, foe is burned.</t>
  </si>
  <si>
    <t>Max Airstream</t>
  </si>
  <si>
    <t>Flying type Dynamax move. Raises the team's Speed.</t>
  </si>
  <si>
    <t>Flying type Dynamax move. All team +2 SPE.</t>
  </si>
  <si>
    <t>Max Darkness</t>
  </si>
  <si>
    <t>Dark type Dynamax move. Lowers the target's Special Defense.</t>
  </si>
  <si>
    <t>Dark type Dynamax move. Foe SPD -2.</t>
  </si>
  <si>
    <t>Max Flare</t>
  </si>
  <si>
    <t>Fire type Dynamax move. Summons harsh sunlight.</t>
  </si>
  <si>
    <t>Max Flutterby</t>
  </si>
  <si>
    <t>Bug type Dynamax move. Lowers the target's Special Attack.</t>
  </si>
  <si>
    <t>Bug type Danamax move. Foe takes -2 SPA</t>
  </si>
  <si>
    <t>Max Geyser</t>
  </si>
  <si>
    <t>Water type Dynamax move. Summons heavy rain.</t>
  </si>
  <si>
    <t>Max Guard</t>
  </si>
  <si>
    <t>Status category Dynamax move. Protects the user.</t>
  </si>
  <si>
    <t>Status category Dynamax move. You are "Protected".</t>
  </si>
  <si>
    <t>Max Hailstorm</t>
  </si>
  <si>
    <t>Ice type Dynamax move. Summons hail.</t>
  </si>
  <si>
    <t>Max Knuckle</t>
  </si>
  <si>
    <t>Fighting type Dynamax move. Increases the team's Attack.</t>
  </si>
  <si>
    <t>Fighting type Dynamax move. All allies (and you) +2 ATT.</t>
  </si>
  <si>
    <t>Max Lightning</t>
  </si>
  <si>
    <t>Electric type Dynamax move. Summons Electric Terrain.</t>
  </si>
  <si>
    <t>Max Mindstorm</t>
  </si>
  <si>
    <t>Psychic type Dynamax move. Summons Psychic Terrain.</t>
  </si>
  <si>
    <t>Max Ooze</t>
  </si>
  <si>
    <t>Poison type Dynamax move. Increases the team's Special Attack.</t>
  </si>
  <si>
    <t>Poison type Dynamax move. All team +2 SPA.</t>
  </si>
  <si>
    <t>Max Overgrowth</t>
  </si>
  <si>
    <t>Grass type Dynamax move. Summons Grassy Terrain.</t>
  </si>
  <si>
    <t>Max Phantasm</t>
  </si>
  <si>
    <t>Ghost type Dynamax move. Lowers the target's Defense.</t>
  </si>
  <si>
    <t>Ghost type Dynamax move. Foe's DEF -2.</t>
  </si>
  <si>
    <t>Max Quake</t>
  </si>
  <si>
    <t>Ground type Dynamax move. Increases the team's Special Defense.</t>
  </si>
  <si>
    <t>Ground type Dynamax move. All ally SPD +2.</t>
  </si>
  <si>
    <t>Max Rockfall</t>
  </si>
  <si>
    <t>Rock type Dynamax move. Summons a sandstorm.</t>
  </si>
  <si>
    <t>Max Starfall</t>
  </si>
  <si>
    <t>Fairy type Dynamax move. Summons Misty Terrain.</t>
  </si>
  <si>
    <t>Max Steelspike</t>
  </si>
  <si>
    <t>Steel type Dynamax move. Raises the team's Defense.</t>
  </si>
  <si>
    <t>Steel type Dynamax move. Team's DEF +2.</t>
  </si>
  <si>
    <t>Max Strike</t>
  </si>
  <si>
    <t>Normal type Dynamax move. Lowers the target's Speed.</t>
  </si>
  <si>
    <t>Normal type Dynamax move. Foe's SPE -2.</t>
  </si>
  <si>
    <t>Max Wyrmwind</t>
  </si>
  <si>
    <t>Dragon type Dynamax move. Lowers the target's Attack.</t>
  </si>
  <si>
    <t>Dragon type Dynamax move. Foe's ATT -2.</t>
  </si>
  <si>
    <t>Me First</t>
  </si>
  <si>
    <t>User copies the opponent's attack with 1.5× power.</t>
  </si>
  <si>
    <t>You attack foe with their move before they do, and damage base +1 for you.</t>
  </si>
  <si>
    <t>Mean Look</t>
  </si>
  <si>
    <t>Meditate</t>
  </si>
  <si>
    <t>Raises user's Attack.</t>
  </si>
  <si>
    <t>Mega Drain</t>
  </si>
  <si>
    <t>Mega Kick</t>
  </si>
  <si>
    <t>Mega Punch</t>
  </si>
  <si>
    <t>Megahorn</t>
  </si>
  <si>
    <t>Memento</t>
  </si>
  <si>
    <t>User faints, sharply lowers opponent's Attack and Special Attack.</t>
  </si>
  <si>
    <t>You faint. Foe's ATT &amp; SPA lose all temp bonus &amp; -6.</t>
  </si>
  <si>
    <t>Menacing Moonraze Maelstrom</t>
  </si>
  <si>
    <t>Lunala-exclusive Z-Move.</t>
  </si>
  <si>
    <t>Metal Burst</t>
  </si>
  <si>
    <t>Deals damage equal to 1.5x opponent's attack.</t>
  </si>
  <si>
    <t>Does damage = to 1.5*foe's ATT.</t>
  </si>
  <si>
    <t>Metal Claw</t>
  </si>
  <si>
    <t>May raise user's Attack.</t>
  </si>
  <si>
    <t>Roll d20. If result &gt;= Effect Roll, ATT +2.</t>
  </si>
  <si>
    <t>Metal Sound</t>
  </si>
  <si>
    <t>Meteor Assault</t>
  </si>
  <si>
    <t>Meteor Beam</t>
  </si>
  <si>
    <t>User gathers space power and boosts its Sp. Atk stat, then attacks the target on the next turn.</t>
  </si>
  <si>
    <t>Meteor Mash</t>
  </si>
  <si>
    <t>Metronome</t>
  </si>
  <si>
    <t>User performs almost any move in the game at random.</t>
  </si>
  <si>
    <t>GM will random number generate a move for you.</t>
  </si>
  <si>
    <t>Mighty Cleave</t>
  </si>
  <si>
    <t>Milk Drink</t>
  </si>
  <si>
    <t>Mimic</t>
  </si>
  <si>
    <t>Copies the opponent's last move.</t>
  </si>
  <si>
    <t xml:space="preserve">Copies foe's last move (replacing this one for rest of battle). </t>
  </si>
  <si>
    <t>Mind Blown</t>
  </si>
  <si>
    <t>Mind Reader</t>
  </si>
  <si>
    <t>Minimize</t>
  </si>
  <si>
    <t>Sharply raises user's Evasiveness.</t>
  </si>
  <si>
    <t>Foe Acc +2 (harder).</t>
  </si>
  <si>
    <t>Miracle Eye</t>
  </si>
  <si>
    <t>Resets opponent's Evasiveness, removes Dark's Psychic immunity.</t>
  </si>
  <si>
    <t>Resets opponent's Acc. removes Dark's Psychic immunity (neutral).</t>
  </si>
  <si>
    <t>Mirror Coat</t>
  </si>
  <si>
    <t>When hit by a Special Attack, user strikes back with 2x power.</t>
  </si>
  <si>
    <t>When hit by a Spe. Attack, you strike back with 2x power.</t>
  </si>
  <si>
    <t>Mirror Move</t>
  </si>
  <si>
    <t>User performs the opponent's last move.</t>
  </si>
  <si>
    <t>You perform foe's last move.</t>
  </si>
  <si>
    <t>Mirror Shot</t>
  </si>
  <si>
    <t>Mist</t>
  </si>
  <si>
    <t>User's stats cannot be changed for a period of time.</t>
  </si>
  <si>
    <t>Your stats cannot be changed for d4 turns.</t>
  </si>
  <si>
    <t>Mist Ball</t>
  </si>
  <si>
    <t>May lower opponent's Special Attack.</t>
  </si>
  <si>
    <t>Roll d20. If result &gt;= Effect Roll, foe SPA -2.</t>
  </si>
  <si>
    <t>Misty Explosion</t>
  </si>
  <si>
    <t>Power increases on Misty Terrain.</t>
  </si>
  <si>
    <t>Misty Terrain</t>
  </si>
  <si>
    <t>Protects the field from status conditions for 5 turns.</t>
  </si>
  <si>
    <t>No one can get a status condition for d6 turns.</t>
  </si>
  <si>
    <t>Moonblast</t>
  </si>
  <si>
    <t>Moongeist Beam</t>
  </si>
  <si>
    <t>Ignores the target's ability.</t>
  </si>
  <si>
    <t>Ignore foe's ability in regards to this move.</t>
  </si>
  <si>
    <t>Moonlight</t>
  </si>
  <si>
    <t>User recovers HP. Amount varies with the weather.</t>
  </si>
  <si>
    <t>Recover HP, based on weather.</t>
  </si>
  <si>
    <t>Morning Sun</t>
  </si>
  <si>
    <t>Mortal Spin</t>
  </si>
  <si>
    <t>Removes entry hazards and trap move effects, and poisons opposing Pokémon.</t>
  </si>
  <si>
    <t>Remove entry hazards + trap move effects. Foe is now poisoned.</t>
  </si>
  <si>
    <t>Mountain Gale</t>
  </si>
  <si>
    <t>SPE -2.</t>
  </si>
  <si>
    <t>Mud Bomb</t>
  </si>
  <si>
    <t>Mud Shot</t>
  </si>
  <si>
    <t>Mud Sport</t>
  </si>
  <si>
    <t>Weakens the power of Electric-type moves.</t>
  </si>
  <si>
    <t>All Electric moves lose 2 damage base.</t>
  </si>
  <si>
    <t>Mud-Slap</t>
  </si>
  <si>
    <t>Muddy Water</t>
  </si>
  <si>
    <t>Multi-Attack</t>
  </si>
  <si>
    <t>Type matches Memory item held.</t>
  </si>
  <si>
    <t>Type matches user's current type.</t>
  </si>
  <si>
    <t>Mystical Fire</t>
  </si>
  <si>
    <t>Mystical Power</t>
  </si>
  <si>
    <t>Raises user's Attack or Defense.</t>
  </si>
  <si>
    <t>Raise ATT &amp; SPA or DEF &amp; SPD +2 (raises the set that contains the highest value)</t>
  </si>
  <si>
    <t>Nasty Plot</t>
  </si>
  <si>
    <t>Sharply raises user's Special Attack.</t>
  </si>
  <si>
    <t>Your SPA +4.</t>
  </si>
  <si>
    <t>Natural Gift</t>
  </si>
  <si>
    <t>Power and type depend on the user's held berry.</t>
  </si>
  <si>
    <t>Depends on held item.</t>
  </si>
  <si>
    <t>Nature Power</t>
  </si>
  <si>
    <t>Uses a certain move based on the current terrain.</t>
  </si>
  <si>
    <t>Move based on current terrain.</t>
  </si>
  <si>
    <t>Nature's Madness</t>
  </si>
  <si>
    <t>Halves the foe's HP.</t>
  </si>
  <si>
    <t>Needle Arm</t>
  </si>
  <si>
    <t>Never-Ending Nightmare</t>
  </si>
  <si>
    <t>Ghost type Z-Move.</t>
  </si>
  <si>
    <t>Night Daze</t>
  </si>
  <si>
    <t>Night Shade</t>
  </si>
  <si>
    <t>Inflicts damage equal to user's level.</t>
  </si>
  <si>
    <t>Damage base = (level/6)</t>
  </si>
  <si>
    <t>Night Slash</t>
  </si>
  <si>
    <t>The sleeping opponent loses 25% of its max HP each turn.</t>
  </si>
  <si>
    <t>The sleeping foe loses d10 health each turn.</t>
  </si>
  <si>
    <t>No Retreat</t>
  </si>
  <si>
    <t>Raises all stats but user cannot switch out.</t>
  </si>
  <si>
    <t>All stats (except HP) +2. You cannot switch.</t>
  </si>
  <si>
    <t>Noble Roar</t>
  </si>
  <si>
    <t>Lowers opponent's Attack and Special Attack.</t>
  </si>
  <si>
    <t>Foe's ATT &amp; SPA -2.</t>
  </si>
  <si>
    <t>Noxious Torque</t>
  </si>
  <si>
    <t>Nuzzle</t>
  </si>
  <si>
    <t>Oblivion Wing</t>
  </si>
  <si>
    <t>User recovers most of the HP inflicted on opponent.</t>
  </si>
  <si>
    <t>You recover 3/4 HP damage to foe.</t>
  </si>
  <si>
    <t>Obstruct</t>
  </si>
  <si>
    <t>Protects the user and sharply lowers Defence on contact.</t>
  </si>
  <si>
    <t>You gain Protect status. If for hits with Phy. move, foe -4 DEF.</t>
  </si>
  <si>
    <t>Oceanic Operetta</t>
  </si>
  <si>
    <t>Primarina-exclusive Z-Move.</t>
  </si>
  <si>
    <t>Octazooka</t>
  </si>
  <si>
    <t>Octolock</t>
  </si>
  <si>
    <t>Lowers opponent's Defense and Special Defense every turn, and they cannot flee or switch out.</t>
  </si>
  <si>
    <t>Each turn, foe DEF &amp; SPD -2. Foe cannot flee or switch.</t>
  </si>
  <si>
    <t>Odor Sleuth</t>
  </si>
  <si>
    <t>Ominous Wind</t>
  </si>
  <si>
    <t>Order Up</t>
  </si>
  <si>
    <t>Origin Pulse</t>
  </si>
  <si>
    <t>Outrage</t>
  </si>
  <si>
    <t>User attacks for 2-3 turns but then becomes confused.</t>
  </si>
  <si>
    <t>Roll d4. You attack for [result] turns (use 1 PP), then become confused.</t>
  </si>
  <si>
    <t>Overdrive</t>
  </si>
  <si>
    <t>Overheat</t>
  </si>
  <si>
    <t>Pain Split</t>
  </si>
  <si>
    <t>The user's and opponent's HP becomes the average of both.</t>
  </si>
  <si>
    <t>You and foe's HP become average of both.</t>
  </si>
  <si>
    <t>Parabolic Charge</t>
  </si>
  <si>
    <t>Parting Shot</t>
  </si>
  <si>
    <t>Lowers opponent's Attack and Special Attack then switches out.</t>
  </si>
  <si>
    <t>Foe ATT -2, SPA -2. Then, you switch out.</t>
  </si>
  <si>
    <t>Pay Day</t>
  </si>
  <si>
    <t>Money is earned after the battle.</t>
  </si>
  <si>
    <t>After battle, you find d20*5 Poke.</t>
  </si>
  <si>
    <t>Payback</t>
  </si>
  <si>
    <t>Power doubles if the user was attacked first.</t>
  </si>
  <si>
    <t>If you have been attacked this turn, damage base +3.</t>
  </si>
  <si>
    <t>Peck</t>
  </si>
  <si>
    <t>Any Pokémon in play when this attack is used faints in 3 turns.</t>
  </si>
  <si>
    <t>You are hit with Perish Song.</t>
  </si>
  <si>
    <t>Petal Blizzard</t>
  </si>
  <si>
    <t>Petal Dance</t>
  </si>
  <si>
    <t>Phantom Force</t>
  </si>
  <si>
    <t>Disappears on first turn, attacks on second. Can strike through Protect/Detect.</t>
  </si>
  <si>
    <t>Photon Geyser</t>
  </si>
  <si>
    <t>Uses Attack or Special Attack stat, whichever is higher.</t>
  </si>
  <si>
    <t>Use ATT or SPA, whichever higher.</t>
  </si>
  <si>
    <t>Pika Papow</t>
  </si>
  <si>
    <t>Power increases when player's bond is stronger.</t>
  </si>
  <si>
    <t>Damage Base = Turns since battle began.</t>
  </si>
  <si>
    <t>Pin Missile</t>
  </si>
  <si>
    <t>Plasma Fists</t>
  </si>
  <si>
    <t>Changes Normal-type moves to Electric-type moves.</t>
  </si>
  <si>
    <t>Play Nice</t>
  </si>
  <si>
    <t>Lowers opponent's Attack. Always hits.</t>
  </si>
  <si>
    <t>Foe ATT -2. Always hits.</t>
  </si>
  <si>
    <t>Play Rough</t>
  </si>
  <si>
    <t>Pluck</t>
  </si>
  <si>
    <t>If the opponent is holding a berry, its effect is stolen by user.</t>
  </si>
  <si>
    <t>If foe is holding edible item, you steal its effect.</t>
  </si>
  <si>
    <t>Poison Fang</t>
  </si>
  <si>
    <t>May badly poison opponent.</t>
  </si>
  <si>
    <t>Roll d20. If result &gt;= Effect Roll, foe is badly poisoned.</t>
  </si>
  <si>
    <t>Poison Gas</t>
  </si>
  <si>
    <t>Poisons opponent.</t>
  </si>
  <si>
    <t>Poisons foe.</t>
  </si>
  <si>
    <t>Poison Jab</t>
  </si>
  <si>
    <t>Poison Powder</t>
  </si>
  <si>
    <t>Poison Sting</t>
  </si>
  <si>
    <t>Poison Tail</t>
  </si>
  <si>
    <t>Pollen Puff</t>
  </si>
  <si>
    <t>Deals damage to opponent or restores HP of teammate.</t>
  </si>
  <si>
    <t>Deals damage to foe or restores HP of ally.</t>
  </si>
  <si>
    <t>Poltergeist</t>
  </si>
  <si>
    <t>Fails if the target doesn’t have an item.</t>
  </si>
  <si>
    <t>Population Bomb</t>
  </si>
  <si>
    <t>Hits 1-10 times in a row.</t>
  </si>
  <si>
    <t>Ignore accuracy roll. Roll d20 until you get a 1 or 2. # of rolls = number of hits.</t>
  </si>
  <si>
    <t>Pounce</t>
  </si>
  <si>
    <t>Foe SPE -2.</t>
  </si>
  <si>
    <t>Pound</t>
  </si>
  <si>
    <t>Powder</t>
  </si>
  <si>
    <t>Damages Pokémon using Fire type moves.</t>
  </si>
  <si>
    <t>If foe uses Fire type move, deal d6 damage.</t>
  </si>
  <si>
    <t>Powder Snow</t>
  </si>
  <si>
    <t>Power Gem</t>
  </si>
  <si>
    <t>Power Shift</t>
  </si>
  <si>
    <t>Switches offensive and defensive stats.</t>
  </si>
  <si>
    <t>Switch ATT and SPA with DEF and SPD.</t>
  </si>
  <si>
    <t>Power Split</t>
  </si>
  <si>
    <t>Averages Attack and Special Attack with the target.</t>
  </si>
  <si>
    <t>Your ATT and SPA are averaged with foe.</t>
  </si>
  <si>
    <t>Power Swap</t>
  </si>
  <si>
    <t>User and opponent swap Attack and Special Attack.</t>
  </si>
  <si>
    <t>You and foe swap ATT and SPA.</t>
  </si>
  <si>
    <t>Power Trick</t>
  </si>
  <si>
    <t>User's own Attack and Defense switch.</t>
  </si>
  <si>
    <t>Switch your ATT and DEF.</t>
  </si>
  <si>
    <t>Power Trip</t>
  </si>
  <si>
    <t>The user boasts its strength and attacks the target. The more the user's stats are raised, the greater the move's power.</t>
  </si>
  <si>
    <t>For every 2 temp stat increase, damage base +1.</t>
  </si>
  <si>
    <t>Power Whip</t>
  </si>
  <si>
    <t>Power-Up Punch</t>
  </si>
  <si>
    <t>Raises Attack.</t>
  </si>
  <si>
    <t>ATT +2.</t>
  </si>
  <si>
    <t>Precipice Blades</t>
  </si>
  <si>
    <t>Present</t>
  </si>
  <si>
    <t>Either deals damage or heals.</t>
  </si>
  <si>
    <t>Roll d4. Damage base = (result-1)*3. If Damage base is 0, heals damage base 3.</t>
  </si>
  <si>
    <t>Prismatic Laser</t>
  </si>
  <si>
    <t>The user shoots powerful lasers using the power of a prism. The user can't move on the next turn.</t>
  </si>
  <si>
    <t>The user shoots powerful lasers using the power of a prism. You cannot do anything on your next turn.</t>
  </si>
  <si>
    <t>Protect</t>
  </si>
  <si>
    <t>Psybeam</t>
  </si>
  <si>
    <t>Psyblade</t>
  </si>
  <si>
    <t>Power increases on Electric Terrain.</t>
  </si>
  <si>
    <t>If Electric Terrain, damage base +2.</t>
  </si>
  <si>
    <t>Psych Up</t>
  </si>
  <si>
    <t>Copies the opponent's stat changes.</t>
  </si>
  <si>
    <t>Copies the foe's stat changes.</t>
  </si>
  <si>
    <t>Psychic Fangs</t>
  </si>
  <si>
    <t>The user bites the target with its psychic capabilities. This can also destroy Light Screen and Reflect.</t>
  </si>
  <si>
    <t>Psychic Noise</t>
  </si>
  <si>
    <t>Deals damage and prevents target from healing.</t>
  </si>
  <si>
    <t>Foe cannot heal with moves/abilities/berries.</t>
  </si>
  <si>
    <t>Psychic Terrain</t>
  </si>
  <si>
    <t>Prevents priority moves from being used for 5 turns.</t>
  </si>
  <si>
    <t>Initiative cannot change for d6 turns.</t>
  </si>
  <si>
    <t>Psycho Boost</t>
  </si>
  <si>
    <t>Psycho Cut</t>
  </si>
  <si>
    <t>Psycho Shift</t>
  </si>
  <si>
    <t>Transfers user's status condition to the opponent.</t>
  </si>
  <si>
    <t>Gives the foe your status condition, if it hits.</t>
  </si>
  <si>
    <t>Psyshield Bash</t>
  </si>
  <si>
    <t>DEF, SPD +2.</t>
  </si>
  <si>
    <t>Psyshock</t>
  </si>
  <si>
    <t>Inflicts damage based on the target's Defense, not Special Defense.</t>
  </si>
  <si>
    <t>Damage based on DEF, not SPD.</t>
  </si>
  <si>
    <t>Psystrike</t>
  </si>
  <si>
    <t>Psywave</t>
  </si>
  <si>
    <t>Inflicts damage 50-150% of user's level.</t>
  </si>
  <si>
    <t>Inflicts damage 50-150% of user's level. (Roll d100+50 for %).</t>
  </si>
  <si>
    <t>Pulverizing Pancake</t>
  </si>
  <si>
    <t>Snorlax-exclusive Normal type Z-Move.</t>
  </si>
  <si>
    <t>Punishment</t>
  </si>
  <si>
    <t>Power increases when opponent's stats have been raised.</t>
  </si>
  <si>
    <t>For every 2 of foe's stat increase, damage basse +1.</t>
  </si>
  <si>
    <t>Purify</t>
  </si>
  <si>
    <t>The user heals the target's status condition. If the move succeeds, it also restores the user's own HP.</t>
  </si>
  <si>
    <t>Heal foe's status condition. If successful, heal up to 1/2 max HP.</t>
  </si>
  <si>
    <t>Pursuit</t>
  </si>
  <si>
    <t>Double power if the opponent is switching out.</t>
  </si>
  <si>
    <t>If foe switches, damage base +3.</t>
  </si>
  <si>
    <t>Pyro Ball</t>
  </si>
  <si>
    <t>Quash</t>
  </si>
  <si>
    <t>Makes the target act last this turn.</t>
  </si>
  <si>
    <t>Target will go last next turn.</t>
  </si>
  <si>
    <t>Quick Attack</t>
  </si>
  <si>
    <t>Quick Guard</t>
  </si>
  <si>
    <t>Protects the user's team from high-priority moves.</t>
  </si>
  <si>
    <t>Allies go first next turn.</t>
  </si>
  <si>
    <t>Quiver Dance</t>
  </si>
  <si>
    <t>Raises user's Special Attack, Special Defense and Speed.</t>
  </si>
  <si>
    <t>Increase your SPA, SPD, SPE +2 each</t>
  </si>
  <si>
    <t>Rage</t>
  </si>
  <si>
    <t>Raises user's Attack when hit.</t>
  </si>
  <si>
    <t>Your ATT +2 each time you are hit for rest of battle (Rage does not stack).</t>
  </si>
  <si>
    <t>Rage Fist</t>
  </si>
  <si>
    <t>The more times the user has been hit by attacks, the greater the move's power.</t>
  </si>
  <si>
    <t>Damage base +1 for each time you have been hit by attack this battle.</t>
  </si>
  <si>
    <t>Rage Powder</t>
  </si>
  <si>
    <t>Forces attacks to hit user, not team-mates.</t>
  </si>
  <si>
    <t>Foes will target you on their next turn.</t>
  </si>
  <si>
    <t>Raging Bull</t>
  </si>
  <si>
    <t>Type depends on the user’s form. Breaks through Reflect and Light Screen barriers.</t>
  </si>
  <si>
    <t>Type based on user form. Ignores reflect &amp; light screen.</t>
  </si>
  <si>
    <t>Raging Fury</t>
  </si>
  <si>
    <t>User keeps repeating the same move over and over.</t>
  </si>
  <si>
    <t>You cannot choose another attack for the remainder of the battle (belly still applies)</t>
  </si>
  <si>
    <t>Rain Dance</t>
  </si>
  <si>
    <t>Makes it rain for 5 turns.</t>
  </si>
  <si>
    <t>Makes it rain for d6 turns.</t>
  </si>
  <si>
    <t>Rapid Spin</t>
  </si>
  <si>
    <t>Raises user's Speed and removes entry hazards and trap move effects.</t>
  </si>
  <si>
    <t>Removes effects of trap moves.</t>
  </si>
  <si>
    <t>Razor Leaf</t>
  </si>
  <si>
    <t>Razor Shell</t>
  </si>
  <si>
    <t>Razor Wind</t>
  </si>
  <si>
    <t>Charges on first turn, attacks on second. High critical hit ratio.</t>
  </si>
  <si>
    <t>Charges on first turn, attacks on second. Crits are 19 or 20.</t>
  </si>
  <si>
    <t>Recover</t>
  </si>
  <si>
    <t>Recycle</t>
  </si>
  <si>
    <t>User's used hold item is restored.</t>
  </si>
  <si>
    <t>Your used held item is restored.</t>
  </si>
  <si>
    <t>Reflect</t>
  </si>
  <si>
    <t>Halves damage from Physical attacks for 5 turns.</t>
  </si>
  <si>
    <t>Damage from Phy. attacks is 1/2 for d6 turns.</t>
  </si>
  <si>
    <t>Reflect Type</t>
  </si>
  <si>
    <t>User becomes the target's type.</t>
  </si>
  <si>
    <t>You change type to foe's.</t>
  </si>
  <si>
    <t>Refresh</t>
  </si>
  <si>
    <t>Cures paralysis, poison, and burns.</t>
  </si>
  <si>
    <t>Relic Song</t>
  </si>
  <si>
    <t>May put the target to sleep.</t>
  </si>
  <si>
    <t>Roll d20. If result &gt;= Effect Roll, foe is asleep.</t>
  </si>
  <si>
    <t>Rest</t>
  </si>
  <si>
    <t>User sleeps for 2 turns, but user is fully healed.</t>
  </si>
  <si>
    <t>Retaliate</t>
  </si>
  <si>
    <t>Inflicts double damage if a teammate fainted on the last turn.</t>
  </si>
  <si>
    <t>If ally fainted after your last turn, damage base +3.</t>
  </si>
  <si>
    <t>Return</t>
  </si>
  <si>
    <t>Power increases with higher Friendship.</t>
  </si>
  <si>
    <t>Count shortest route to ally. Damage base is 20-result.</t>
  </si>
  <si>
    <t>Revelation Dance</t>
  </si>
  <si>
    <t>Type changes based on Oricorio's form.</t>
  </si>
  <si>
    <t>Revenge</t>
  </si>
  <si>
    <t>Power increases if user was hit first.</t>
  </si>
  <si>
    <t>If you have been hit, damage base +2.</t>
  </si>
  <si>
    <t>Reversal</t>
  </si>
  <si>
    <t>Revival Blessing</t>
  </si>
  <si>
    <t>Revives a fainted party Pokémon to half HP.</t>
  </si>
  <si>
    <t>Heal fainted ally to 1/2 max HP.</t>
  </si>
  <si>
    <t>Rising Voltage</t>
  </si>
  <si>
    <t>Power doubles on Electric Terrain.</t>
  </si>
  <si>
    <t>Roar</t>
  </si>
  <si>
    <t>Roar of Time</t>
  </si>
  <si>
    <t>Rock Blast</t>
  </si>
  <si>
    <t>Rock Climb</t>
  </si>
  <si>
    <t>Rock Polish</t>
  </si>
  <si>
    <t>Rock Slide</t>
  </si>
  <si>
    <t>Rock Smash</t>
  </si>
  <si>
    <t>Rock Throw</t>
  </si>
  <si>
    <t>Rock Tomb</t>
  </si>
  <si>
    <t>Rock Wrecker</t>
  </si>
  <si>
    <t>Role Play</t>
  </si>
  <si>
    <t>User copies the opponent's Ability.</t>
  </si>
  <si>
    <t>User copies the foe's Ability.</t>
  </si>
  <si>
    <t>Rolling Kick</t>
  </si>
  <si>
    <t>Rollout</t>
  </si>
  <si>
    <t>Roost</t>
  </si>
  <si>
    <t>User recovers half of its max HP and loses the Flying type temporarily.</t>
  </si>
  <si>
    <t>Heal up to 1/2 max HP. You lose Flying type until your next turn.</t>
  </si>
  <si>
    <t>Rototiller</t>
  </si>
  <si>
    <t>Raises Attack and Special Attack of Grass-types.</t>
  </si>
  <si>
    <t>Grass types get +2 ATT &amp; SPA.</t>
  </si>
  <si>
    <t>Round</t>
  </si>
  <si>
    <t>Power increases if teammates use it in the same turn.</t>
  </si>
  <si>
    <t>Damage base +1 for each ally that has used this move this turn.</t>
  </si>
  <si>
    <t>Ruination</t>
  </si>
  <si>
    <t>Halves the opponent's HP.</t>
  </si>
  <si>
    <t>Foe's current HP is cut in half.</t>
  </si>
  <si>
    <t>Sacred Fire</t>
  </si>
  <si>
    <t>Sacred Sword</t>
  </si>
  <si>
    <t>Safeguard</t>
  </si>
  <si>
    <t>The user's party is protected from status conditions.</t>
  </si>
  <si>
    <t>Your team is protected from status conditions.</t>
  </si>
  <si>
    <t>Salt Cure</t>
  </si>
  <si>
    <t>Deals damage each turn; Steel and Water types are more affected.</t>
  </si>
  <si>
    <t>At end of foe's turn, foe takes d6 damage. If foe is Steel/Water type, foe takes d8 damage.</t>
  </si>
  <si>
    <t>Sand Attack</t>
  </si>
  <si>
    <t>Sand Tomb</t>
  </si>
  <si>
    <t>Sandsear Storm</t>
  </si>
  <si>
    <t>May burn target.</t>
  </si>
  <si>
    <t>Roll d20. If 15+, foe is burned.</t>
  </si>
  <si>
    <t>Sandstorm</t>
  </si>
  <si>
    <t>Creates a sandstorm for 5 turns.</t>
  </si>
  <si>
    <t>Sappy Seed</t>
  </si>
  <si>
    <t>Savage Spin-Out</t>
  </si>
  <si>
    <t>Bug type Z-Move.</t>
  </si>
  <si>
    <t>Scald</t>
  </si>
  <si>
    <t>Scale Shot</t>
  </si>
  <si>
    <t>Hits 2-5 times in one turn. Boosts user's Speed but lowers its Defense.</t>
  </si>
  <si>
    <t>Scary Face</t>
  </si>
  <si>
    <t>Scorching Sands</t>
  </si>
  <si>
    <t>May burn the target.</t>
  </si>
  <si>
    <t>Scratch</t>
  </si>
  <si>
    <t>Roll d100. Nat 100 blows up the universe</t>
  </si>
  <si>
    <t>Screech</t>
  </si>
  <si>
    <t>Sharply lowers opponent's Defense.</t>
  </si>
  <si>
    <t>Foe's DEF -4.</t>
  </si>
  <si>
    <t>Searing Shot</t>
  </si>
  <si>
    <t>Searing Sunraze Smash</t>
  </si>
  <si>
    <t>Solgaleo-exclusive Z-Move.</t>
  </si>
  <si>
    <t>Secret Power</t>
  </si>
  <si>
    <t>Effects of the attack vary with the location.</t>
  </si>
  <si>
    <t>Secret Sword</t>
  </si>
  <si>
    <t>Seed Bomb</t>
  </si>
  <si>
    <t>Seed Flare</t>
  </si>
  <si>
    <t>Seismic Toss</t>
  </si>
  <si>
    <t>Damage base = (level/4) + 3.</t>
  </si>
  <si>
    <t>Self-Destruct</t>
  </si>
  <si>
    <t>Shadow Ball</t>
  </si>
  <si>
    <t>Shadow Bone</t>
  </si>
  <si>
    <t>Shadow Claw</t>
  </si>
  <si>
    <t>Shadow Force</t>
  </si>
  <si>
    <t>Shadow Punch</t>
  </si>
  <si>
    <t>Shadow Sneak</t>
  </si>
  <si>
    <t>Sharpen</t>
  </si>
  <si>
    <t>Shattered Psyche</t>
  </si>
  <si>
    <t>Psychic type Z-Move.</t>
  </si>
  <si>
    <t>Shed Tail</t>
  </si>
  <si>
    <t>Creates a substitute, then swaps places with a party Pokémon in waiting.</t>
  </si>
  <si>
    <t>Use HP (choose #) to create a decoy. All foes will aim for that until it's defeated.</t>
  </si>
  <si>
    <t>Sheer Cold</t>
  </si>
  <si>
    <t>Shell Side Arm</t>
  </si>
  <si>
    <t>May poison opponent. Inflicts either Special or Physical damage, whichever is better.</t>
  </si>
  <si>
    <t>Shell Smash</t>
  </si>
  <si>
    <t>Sharply raises user's Attack, Special Attack and Speed but lowers Defense and Special Defense.</t>
  </si>
  <si>
    <t>ATT, SPA, SPE +4. DEF, SPD -2.</t>
  </si>
  <si>
    <t>Shell Trap</t>
  </si>
  <si>
    <t>Deals more damage to opponent if hit by a Physical move.</t>
  </si>
  <si>
    <t>If you have not been hit by a Phy. move, this move fails.</t>
  </si>
  <si>
    <t>Shelter</t>
  </si>
  <si>
    <t>Raises Defense and Evasion.</t>
  </si>
  <si>
    <t>DEF +2. Foe acc +1.</t>
  </si>
  <si>
    <t>Shift Gear</t>
  </si>
  <si>
    <t>Raises user's Attack and sharply raises Speed.</t>
  </si>
  <si>
    <t>ATT +2. SPE +4.</t>
  </si>
  <si>
    <t>Shock Wave</t>
  </si>
  <si>
    <t>Shore Up</t>
  </si>
  <si>
    <t>The user regains up to half of its max HP. It restores more HP in a sandstorm.</t>
  </si>
  <si>
    <t>Heal up to 1/2 of your max HP. If sandstorm, 3/4.</t>
  </si>
  <si>
    <t>Signal Beam</t>
  </si>
  <si>
    <t>Silk Trap</t>
  </si>
  <si>
    <t>Protects the user and lowers opponent's Speed on contact.</t>
  </si>
  <si>
    <t>Protects the user. If foe attempts to hit you, foe SPE -2. Cannot be used twice in a row.</t>
  </si>
  <si>
    <t>Silver Wind</t>
  </si>
  <si>
    <t>May raise all stats of user at once.</t>
  </si>
  <si>
    <t>Roll d20. If result &gt;= Effect Roll, +2 all stats (except HP)</t>
  </si>
  <si>
    <t>Simple Beam</t>
  </si>
  <si>
    <t>Changes target's ability to Simple.</t>
  </si>
  <si>
    <t>Foe's ability changes to Simple.</t>
  </si>
  <si>
    <t>Sing</t>
  </si>
  <si>
    <t>Sinister Arrow Raid</t>
  </si>
  <si>
    <t>Decidueye-exclusive Z-Move.</t>
  </si>
  <si>
    <t>Sizzly Slide</t>
  </si>
  <si>
    <t>Burns the opponent.</t>
  </si>
  <si>
    <t>Sketch</t>
  </si>
  <si>
    <t>Permanently copies the opponent's last move.</t>
  </si>
  <si>
    <t>Permanently Copies foe's last move.</t>
  </si>
  <si>
    <t>Skill Swap</t>
  </si>
  <si>
    <t>The user swaps Abilities with the opponent.</t>
  </si>
  <si>
    <t>Swap abilities with foe.</t>
  </si>
  <si>
    <t>Skitter Smack</t>
  </si>
  <si>
    <t>Lowers opponent's Sp. Attack.</t>
  </si>
  <si>
    <t>Skull Bash</t>
  </si>
  <si>
    <t>Raises Defense on first turn, attacks on second.</t>
  </si>
  <si>
    <t>DEF +2 on first turn. Attacks on second.</t>
  </si>
  <si>
    <t>Sky Attack</t>
  </si>
  <si>
    <t>Charges on first turn, attacks on second. May cause flinching. High critical hit ratio.</t>
  </si>
  <si>
    <t>Charges on first turn, attacks on second. Roll d20. If result &gt;= Effect Roll, foe is flinched.</t>
  </si>
  <si>
    <t>Sky Drop</t>
  </si>
  <si>
    <t>Takes opponent into the air on first turn, drops them on second turn.</t>
  </si>
  <si>
    <t>Takes foe into the air on first turn, drops them on second turn.</t>
  </si>
  <si>
    <t>Sky Uppercut</t>
  </si>
  <si>
    <t>Hits the opponent, even during Fly.</t>
  </si>
  <si>
    <t>Hits foe, even during Fly.</t>
  </si>
  <si>
    <t>Slack Off</t>
  </si>
  <si>
    <t>Slam</t>
  </si>
  <si>
    <t>Slash</t>
  </si>
  <si>
    <t>Sleep Powder</t>
  </si>
  <si>
    <t>Sleep Talk</t>
  </si>
  <si>
    <t>User performs one of its own moves while sleeping.</t>
  </si>
  <si>
    <t>You perform one of your moves (random) while asleep.</t>
  </si>
  <si>
    <t>Sludge</t>
  </si>
  <si>
    <t>Sludge Bomb</t>
  </si>
  <si>
    <t>Sludge Wave</t>
  </si>
  <si>
    <t>Smack Down</t>
  </si>
  <si>
    <t>Makes Flying-type Pokémon vulnerable to Ground moves.</t>
  </si>
  <si>
    <t>Flying type takes normal damage from Ground moves.</t>
  </si>
  <si>
    <t>Smart Strike</t>
  </si>
  <si>
    <t>The user stabs the target with a sharp horn. This attack never misses.</t>
  </si>
  <si>
    <t>Smelling Salts</t>
  </si>
  <si>
    <t>Power doubles if opponent is paralyzed, but cures it.</t>
  </si>
  <si>
    <t>If foe is paralyzed, damage base +3. Foe's paralysis is cured.</t>
  </si>
  <si>
    <t>Smog</t>
  </si>
  <si>
    <t>Smokescreen</t>
  </si>
  <si>
    <t>Snap Trap</t>
  </si>
  <si>
    <t>Foe is trapped for d6 turns.</t>
  </si>
  <si>
    <t>Snarl</t>
  </si>
  <si>
    <t>Snatch</t>
  </si>
  <si>
    <t>Steals the effects of the opponent's next move.</t>
  </si>
  <si>
    <t>Take effect of foe's next move.</t>
  </si>
  <si>
    <t>Snipe Shot</t>
  </si>
  <si>
    <t>Ignores moves and abilities that draw in moves. High critical hit ratio.</t>
  </si>
  <si>
    <t>Ignores moves and abilities that draw in moves.</t>
  </si>
  <si>
    <t>Snore</t>
  </si>
  <si>
    <t>Can only be used if asleep. May cause flinching.</t>
  </si>
  <si>
    <t>You must be asleep.. Roll d20. If result &gt;= Effect Roll, foe is flinched.</t>
  </si>
  <si>
    <t>Snowscape</t>
  </si>
  <si>
    <t>Raises Defense of Ice types for 5 turns.</t>
  </si>
  <si>
    <t>All Ice types gain +2 temp defense for d6 turns.</t>
  </si>
  <si>
    <t>Soak</t>
  </si>
  <si>
    <t>Changes the target's type to water.</t>
  </si>
  <si>
    <t>Changes foe's type to water.</t>
  </si>
  <si>
    <t>Soft-Boiled</t>
  </si>
  <si>
    <t>Solar Beam</t>
  </si>
  <si>
    <t>Solar Blade</t>
  </si>
  <si>
    <t>Sonic Boom</t>
  </si>
  <si>
    <t>Always inflicts 20 HP.</t>
  </si>
  <si>
    <t>Soul-Stealing 7-Star Strike</t>
  </si>
  <si>
    <t>Marshadow-exclusive Z-Move.</t>
  </si>
  <si>
    <t>Spacial Rend</t>
  </si>
  <si>
    <t>Spark</t>
  </si>
  <si>
    <t>Sparkling Aria</t>
  </si>
  <si>
    <t>Heals the burns of its target.</t>
  </si>
  <si>
    <t>Heals burns of foe.</t>
  </si>
  <si>
    <t>Sparkly Swirl</t>
  </si>
  <si>
    <t>Cures all status problems in the party Pokémon.</t>
  </si>
  <si>
    <t>All allies are cured of status problems.</t>
  </si>
  <si>
    <t>Spectral Thief</t>
  </si>
  <si>
    <t>The user hides in the target's shadow, steals the target's stat boosts, and then attacks.</t>
  </si>
  <si>
    <t>Take foe's stat boosts, apply to yourself (add on top of your temp), and then attack.</t>
  </si>
  <si>
    <t>Speed Swap</t>
  </si>
  <si>
    <t>The user exchanges Speed stats with the target.</t>
  </si>
  <si>
    <t>Swap SPE with foe.</t>
  </si>
  <si>
    <t>Spicy Extract</t>
  </si>
  <si>
    <t>Harshly lowers the opponent's Defense and sharply raises their Attack.</t>
  </si>
  <si>
    <t>Foe DEF -6, ATT +4.</t>
  </si>
  <si>
    <t>Spider Web</t>
  </si>
  <si>
    <t>Opponent cannot escape/switch.</t>
  </si>
  <si>
    <t>Foe cannot escape/switch.</t>
  </si>
  <si>
    <t>Spike Cannon</t>
  </si>
  <si>
    <t>Spikes</t>
  </si>
  <si>
    <t>Hurts opponents when they switch into battle.</t>
  </si>
  <si>
    <t>Foes take d6 damage when switched in.</t>
  </si>
  <si>
    <t>Spiky Shield</t>
  </si>
  <si>
    <t>Protects the user and inflicts damage on contact.</t>
  </si>
  <si>
    <t>Gain "Protect" status. If foe attempts to hit you, deal foe d6 damage.</t>
  </si>
  <si>
    <t>Spin Out</t>
  </si>
  <si>
    <t>Harshly lowers user’s Speed.</t>
  </si>
  <si>
    <t>SPE -6.</t>
  </si>
  <si>
    <t>Spirit Break</t>
  </si>
  <si>
    <t>Spirit Shackle</t>
  </si>
  <si>
    <t>Prevents the opponent from switching out.</t>
  </si>
  <si>
    <t>Foe cannot switch.</t>
  </si>
  <si>
    <t>Spit Up</t>
  </si>
  <si>
    <t>Power depends on how many times the user performed Stockpile.</t>
  </si>
  <si>
    <t>Damage base = Stockpile value * 3.</t>
  </si>
  <si>
    <t>Spite</t>
  </si>
  <si>
    <t>The opponent's last move loses 2-5 PP.</t>
  </si>
  <si>
    <t>Foe's last move loses d6 PP.</t>
  </si>
  <si>
    <t>Splash</t>
  </si>
  <si>
    <t>Doesn't do ANYTHING.</t>
  </si>
  <si>
    <t>Doesn't do ANYTHING. Roll 10d100 &amp; sum. If sum &gt;=999, you win the campaign.</t>
  </si>
  <si>
    <t>Splintered Stormshards</t>
  </si>
  <si>
    <t>Lycanroc-exclusive Z-Move.</t>
  </si>
  <si>
    <t>Splishy Splash</t>
  </si>
  <si>
    <t>Spore</t>
  </si>
  <si>
    <t>Spotlight</t>
  </si>
  <si>
    <t>The user shines a spotlight on the target so that only the target will be attacked during the turn.</t>
  </si>
  <si>
    <t>For the rest of the turn, all attacks will target foe (ally or foe moves).</t>
  </si>
  <si>
    <t>Springtide Storm</t>
  </si>
  <si>
    <t>Boosts user's stats in Incarnate Forme, or lowers opponent's stats in Therian Forme.</t>
  </si>
  <si>
    <t>If Incarnate Forme, +2 to ATT, DEF, SPA, SPD, SPE. If Therian Forme, -2 to foe's stats.</t>
  </si>
  <si>
    <t>Stealth Rock</t>
  </si>
  <si>
    <t>Damages opponent switching into battle.</t>
  </si>
  <si>
    <t>Damages foe that steps next to you.</t>
  </si>
  <si>
    <t>Steam Eruption</t>
  </si>
  <si>
    <t>Steamroller</t>
  </si>
  <si>
    <t>Steel Beam</t>
  </si>
  <si>
    <t>User loses 50% of its HP.</t>
  </si>
  <si>
    <t>User loses 50% of its max HP.</t>
  </si>
  <si>
    <t>Steel Roller</t>
  </si>
  <si>
    <t>Fails if no Terrain in effect.</t>
  </si>
  <si>
    <t>Steel Wing</t>
  </si>
  <si>
    <t>May raise user's Defense.</t>
  </si>
  <si>
    <t>Roll d20. If result &gt;= Effect Roll, your DEF +2..</t>
  </si>
  <si>
    <t>Sticky Web</t>
  </si>
  <si>
    <t>Lowers opponent's Speed when switching into battle.</t>
  </si>
  <si>
    <t>If new foe enters battle, -2 SPE to them.</t>
  </si>
  <si>
    <t>Stockpile</t>
  </si>
  <si>
    <t>Stores energy for use with Spit Up and Swallow.</t>
  </si>
  <si>
    <t>Stores energy for use. Increase "Stockpile" counter by 1.</t>
  </si>
  <si>
    <t>Stoked Sparksurfer</t>
  </si>
  <si>
    <t>Alolan Raichu-exclusive Electric type Z-Move.</t>
  </si>
  <si>
    <t>Stomp</t>
  </si>
  <si>
    <t>Stomping Tantrum</t>
  </si>
  <si>
    <t>Driven by frustration, the user attacks the target. If the user's previous move has failed, the power of this move doubles.</t>
  </si>
  <si>
    <t>If your last move failed, damage base +3.</t>
  </si>
  <si>
    <t>Stone Axe</t>
  </si>
  <si>
    <t>Stone Edge</t>
  </si>
  <si>
    <t>Stored Power</t>
  </si>
  <si>
    <t>Power increases when user's stats have been raised.</t>
  </si>
  <si>
    <t>For every +2 temp battle stat, damage base +1.</t>
  </si>
  <si>
    <t>Storm Throw</t>
  </si>
  <si>
    <t>Strange Steam</t>
  </si>
  <si>
    <t>Strength Sap</t>
  </si>
  <si>
    <t>The user restores its HP by the same amount as the target's Attack stat. It also lowers the target's Attack stat.</t>
  </si>
  <si>
    <t>Restore HP = foe's ATT. Then, foe ATT -2.</t>
  </si>
  <si>
    <t>String Shot</t>
  </si>
  <si>
    <t>Only usable when all PP are gone. Hurts the user.</t>
  </si>
  <si>
    <t>Only used when all PP are gone. You take 1/4 damage dealt.</t>
  </si>
  <si>
    <t>Struggle Bug</t>
  </si>
  <si>
    <t>Stuff Cheeks</t>
  </si>
  <si>
    <t>The user eats its held Berry, then sharply raises its Defense stat.</t>
  </si>
  <si>
    <t>You eat an item (must be edible), then DEF +4.</t>
  </si>
  <si>
    <t>Stun Spore</t>
  </si>
  <si>
    <t>Submission</t>
  </si>
  <si>
    <t>Substitute</t>
  </si>
  <si>
    <t>Uses HP to creates a decoy that takes hits.</t>
  </si>
  <si>
    <t>Subzero Slammer</t>
  </si>
  <si>
    <t>Ice type Z-Move.</t>
  </si>
  <si>
    <t>Sucker Punch</t>
  </si>
  <si>
    <t>User attacks first, but only works if opponent is readying an attack.</t>
  </si>
  <si>
    <t>If foe is going to attack, you go first between the two of you.</t>
  </si>
  <si>
    <t>Sunny Day</t>
  </si>
  <si>
    <t>Makes it sunny for 5 turns.</t>
  </si>
  <si>
    <t>Changes weather to sunny for d6 turns.</t>
  </si>
  <si>
    <t>Sunsteel Strike</t>
  </si>
  <si>
    <t>Super Fang</t>
  </si>
  <si>
    <t>Always takes off half of the opponent's HP.</t>
  </si>
  <si>
    <t>Always takes off half of the foe's HP.</t>
  </si>
  <si>
    <t>Supercell Slam</t>
  </si>
  <si>
    <t>Superpower</t>
  </si>
  <si>
    <t>Lowers user's Attack and Defense.</t>
  </si>
  <si>
    <t>Your ATT &amp; DEF -2.</t>
  </si>
  <si>
    <t>Supersonic</t>
  </si>
  <si>
    <t>Supersonic Skystrike</t>
  </si>
  <si>
    <t>Flying type Z-Move.</t>
  </si>
  <si>
    <t>Surf</t>
  </si>
  <si>
    <t>Surging Strikes</t>
  </si>
  <si>
    <t>Always results in a critical hit and ignores stat changes.</t>
  </si>
  <si>
    <t>Swagger</t>
  </si>
  <si>
    <t>Confuses opponent, but sharply raises its Attack.</t>
  </si>
  <si>
    <t>Foe is confused, but ATT +4 for foe.</t>
  </si>
  <si>
    <t>Swallow</t>
  </si>
  <si>
    <t>The more times the user has performed Stockpile, the more HP is recovered.</t>
  </si>
  <si>
    <t>For each Stockpile, roll d10. Heal HP equal to sum.</t>
  </si>
  <si>
    <t>Sweet Kiss</t>
  </si>
  <si>
    <t>Sweet Scent</t>
  </si>
  <si>
    <t>Lowers opponent's Evasiveness.</t>
  </si>
  <si>
    <t>If foe changed Acc rolls to make it harder to hit, reset.</t>
  </si>
  <si>
    <t>Swift</t>
  </si>
  <si>
    <t>Switcheroo</t>
  </si>
  <si>
    <t>Swaps held items with the opponent.</t>
  </si>
  <si>
    <t>Switch held item with foe.</t>
  </si>
  <si>
    <t>Swords Dance</t>
  </si>
  <si>
    <t>Sharply raises user's Attack.</t>
  </si>
  <si>
    <t>Your ATT +4.</t>
  </si>
  <si>
    <t>Synchronoise</t>
  </si>
  <si>
    <t>Hits any Pokémon that shares a type with the user.</t>
  </si>
  <si>
    <t>Synthesis</t>
  </si>
  <si>
    <t>Syrup Bomb</t>
  </si>
  <si>
    <t>Lowers opponent's Speed each turn for 3 turns.</t>
  </si>
  <si>
    <t>At the end of the next 3 turns for foe, -2 SPE</t>
  </si>
  <si>
    <t>Tachyon Cutter</t>
  </si>
  <si>
    <t>Guaranteed to hit twice in a row.</t>
  </si>
  <si>
    <t>Ignore accuracy roll. Roll damage dice twice.</t>
  </si>
  <si>
    <t>Tackle</t>
  </si>
  <si>
    <t>Tail Glow</t>
  </si>
  <si>
    <t>Drastically raises user's Special Attack.</t>
  </si>
  <si>
    <t>Tail Slap</t>
  </si>
  <si>
    <t>Tail Whip</t>
  </si>
  <si>
    <t>Tailwind</t>
  </si>
  <si>
    <t>Doubles Speed for 4 turns.</t>
  </si>
  <si>
    <t>Your SPE +6 for d6 turns.</t>
  </si>
  <si>
    <t>Take Down</t>
  </si>
  <si>
    <t>Take Heart</t>
  </si>
  <si>
    <t>Heals user's status conditions and raises its stats.</t>
  </si>
  <si>
    <t>Heal all status conditions and +2 SPA &amp; SPD.</t>
  </si>
  <si>
    <t>Tar Shot</t>
  </si>
  <si>
    <t>Lowers the opponent's Speed and makes them weaker to Fire-type moves.</t>
  </si>
  <si>
    <t>Foe's SPE -2. Foe also takes a level more effective damage from fire moves.</t>
  </si>
  <si>
    <t>Opponent can only use moves that attack.</t>
  </si>
  <si>
    <t>Foe can only use attacking moves.</t>
  </si>
  <si>
    <t>Tearful Look</t>
  </si>
  <si>
    <t>The user gets teary eyed to make the target lose its combative spirit. This lowers the target's Attack and Sp. Atk stats.</t>
  </si>
  <si>
    <t>Teatime</t>
  </si>
  <si>
    <t>Forces all Pokémon on the field to eat their berries.</t>
  </si>
  <si>
    <t>All PKMN must eat something now, if possible.</t>
  </si>
  <si>
    <t>Techno Blast</t>
  </si>
  <si>
    <t>Type depends on the Drive being held.</t>
  </si>
  <si>
    <t>Tectonic Rage</t>
  </si>
  <si>
    <t>Ground type Z-Move.</t>
  </si>
  <si>
    <t>Teeter Dance</t>
  </si>
  <si>
    <t>Confuses all Pokémon.</t>
  </si>
  <si>
    <t>All PKMN (but you) are confused.</t>
  </si>
  <si>
    <t>Ignores opponent's Evasiveness for three turns, add Ground immunity.</t>
  </si>
  <si>
    <t>Ignores foe's Evasiveness for three turns, add Ground immunity.</t>
  </si>
  <si>
    <t>Teleport</t>
  </si>
  <si>
    <t>Allows user to flee wild battles; also warps player to last PokéCenter.</t>
  </si>
  <si>
    <t>Can move from one place on the map to another.</t>
  </si>
  <si>
    <t>Temper Flare</t>
  </si>
  <si>
    <t>Tera Blast</t>
  </si>
  <si>
    <t>Changes type when the user has Terastallized.</t>
  </si>
  <si>
    <t>Type of move is based on Terastallized type, otherwise Normal type move.</t>
  </si>
  <si>
    <t>Tera Starstorm</t>
  </si>
  <si>
    <t>Terrain Pulse</t>
  </si>
  <si>
    <t>Type and power change depending on the Terrain in effect.</t>
  </si>
  <si>
    <t>Thief</t>
  </si>
  <si>
    <t>Also steals opponent's held item.</t>
  </si>
  <si>
    <t>Take foe's held item.</t>
  </si>
  <si>
    <t>Thousand Arrows</t>
  </si>
  <si>
    <t>Thousand Waves</t>
  </si>
  <si>
    <t>Thrash</t>
  </si>
  <si>
    <t>Throat Chop</t>
  </si>
  <si>
    <t>Prevents use of sound moves for two turns.</t>
  </si>
  <si>
    <t>Sound moves cannot be used for d2 turns.</t>
  </si>
  <si>
    <t>Thunder</t>
  </si>
  <si>
    <t>Thunder Cage</t>
  </si>
  <si>
    <t>Deals damage and traps opponent, damaging them for 4-5 turns.</t>
  </si>
  <si>
    <t>Thunder Fang</t>
  </si>
  <si>
    <t>May cause flinching and/or paralyze opponent.</t>
  </si>
  <si>
    <t>Roll d20. If =18, foe flinches. =19, foe is paralyzed. If =20, both.</t>
  </si>
  <si>
    <t>Thunder Punch</t>
  </si>
  <si>
    <t>Thunder Shock</t>
  </si>
  <si>
    <t>Thunder Wave</t>
  </si>
  <si>
    <t>Thunderbolt</t>
  </si>
  <si>
    <t>Thunderclap</t>
  </si>
  <si>
    <t>Strikes before a target's move.</t>
  </si>
  <si>
    <t>Thunderous Kick</t>
  </si>
  <si>
    <t>Tickle</t>
  </si>
  <si>
    <t>Lowers opponent's Attack and Defense.</t>
  </si>
  <si>
    <t>Foe's ATT, DEF -2.</t>
  </si>
  <si>
    <t>Tidy Up</t>
  </si>
  <si>
    <t>Removes the effects of entry hazards and Substitute, and boosts user’s Attack and Speed.</t>
  </si>
  <si>
    <t>Remove entry hazards + ATT &amp; SPE +2.</t>
  </si>
  <si>
    <t>Topsy-Turvy</t>
  </si>
  <si>
    <t>Reverses stat changes of opponent.</t>
  </si>
  <si>
    <t>Reverse stat changes of foe.</t>
  </si>
  <si>
    <t>Torch Song</t>
  </si>
  <si>
    <t>Raises user's Special Attack.</t>
  </si>
  <si>
    <t>SPA +2.</t>
  </si>
  <si>
    <t>Opponent cannot use the same move in a row.</t>
  </si>
  <si>
    <t>Foe cannot use same move in a row.</t>
  </si>
  <si>
    <t>Toxic</t>
  </si>
  <si>
    <t>Badly poisons opponent.</t>
  </si>
  <si>
    <t>Badly Poisons foe.</t>
  </si>
  <si>
    <t>Toxic Spikes</t>
  </si>
  <si>
    <t>Poisons opponents when they switch into battle.</t>
  </si>
  <si>
    <t>Poisons anyone that steps next to you.</t>
  </si>
  <si>
    <t>Toxic Thread</t>
  </si>
  <si>
    <t>Poisons opponent and lowers its Speed.</t>
  </si>
  <si>
    <t>Foe is poisoned &amp; foe SPE -2.</t>
  </si>
  <si>
    <t>Trailblaze</t>
  </si>
  <si>
    <t>Transform</t>
  </si>
  <si>
    <t>User takes on the form and attacks of the opponent.</t>
  </si>
  <si>
    <t>You change to be the foe, same attacks, stats, and all.</t>
  </si>
  <si>
    <t>Tri Attack</t>
  </si>
  <si>
    <t>May paralyze, burn or freeze opponent.</t>
  </si>
  <si>
    <t>Roll d20. If result is 17, paralyze. If 18, burn. If 19, freeze. If 20, you choose.</t>
  </si>
  <si>
    <t>Trick</t>
  </si>
  <si>
    <t>Trick Room</t>
  </si>
  <si>
    <t>Slower Pokémon move first in the turn for 5 turns.</t>
  </si>
  <si>
    <t>For d6 turns, initiative order goes backwards (starts at end of round).</t>
  </si>
  <si>
    <t>Trick-or-Treat</t>
  </si>
  <si>
    <t>Adds Ghost type to opponent.</t>
  </si>
  <si>
    <t>Foe gains Ghost type.</t>
  </si>
  <si>
    <t>Triple Arrows</t>
  </si>
  <si>
    <t>Raises critical hit ratio and lowers target's Defense.</t>
  </si>
  <si>
    <t>Critical hits are 19 and 20. Foe's DEF -2.</t>
  </si>
  <si>
    <t>Triple Axel</t>
  </si>
  <si>
    <t>Attacks thrice with more power each time.</t>
  </si>
  <si>
    <t>Triple Dive</t>
  </si>
  <si>
    <t>Hits 3 times in a row.</t>
  </si>
  <si>
    <t>If hits, roll damage dice 3 times.</t>
  </si>
  <si>
    <t>Triple Kick</t>
  </si>
  <si>
    <t>Hits thrice in one turn at increasing power.</t>
  </si>
  <si>
    <t>Hits up to 3 times. Roll seperate acc for each. Damage base is 1,2,3.</t>
  </si>
  <si>
    <t>Trop Kick</t>
  </si>
  <si>
    <t>Trump Card</t>
  </si>
  <si>
    <t>The lower the PP, the higher the power.</t>
  </si>
  <si>
    <t>Damage Base = 15/Current PP of move.</t>
  </si>
  <si>
    <t>Twin Beam</t>
  </si>
  <si>
    <t>Roll damage roll twice.</t>
  </si>
  <si>
    <t>Twineedle</t>
  </si>
  <si>
    <t>Hits twice in one turn. May poison opponent.</t>
  </si>
  <si>
    <t>Hits twice in one turn. Roll d20. If result &gt;= Effect Roll, foe is poisoned.</t>
  </si>
  <si>
    <t>Twinkle Tackle</t>
  </si>
  <si>
    <t>Fairy type Z-Move.</t>
  </si>
  <si>
    <t>Twister</t>
  </si>
  <si>
    <t>May cause flinching. Hits Pokémon using Fly/Bounce with double power.</t>
  </si>
  <si>
    <t>Roll d20. If result &gt;= Effect Roll, foe is flinched. If foe is using Fly/Bounce, damage base +3.</t>
  </si>
  <si>
    <t>U-turn</t>
  </si>
  <si>
    <t>User switches out immediately after attacking.</t>
  </si>
  <si>
    <t>You switch after attacking.</t>
  </si>
  <si>
    <t>Upper Hand</t>
  </si>
  <si>
    <t>Strikes before a target's priority move.</t>
  </si>
  <si>
    <t>Uproar</t>
  </si>
  <si>
    <t>User attacks for 3 turns and prevents sleep.</t>
  </si>
  <si>
    <t>Attack for 3 turns (1 PP), no one can sleep.</t>
  </si>
  <si>
    <t>V-create</t>
  </si>
  <si>
    <t>Lowers user's Defense, Special Defense and Speed.</t>
  </si>
  <si>
    <t>Your DEF, SPD, SPE -2.</t>
  </si>
  <si>
    <t>Vacuum Wave</t>
  </si>
  <si>
    <t>Veevee Volley</t>
  </si>
  <si>
    <t>Venom Drench</t>
  </si>
  <si>
    <t>Lowers poisoned opponent's Special Attack and Speed.</t>
  </si>
  <si>
    <t>If foe is poisoned, foe's SPA &amp; SPE -2.</t>
  </si>
  <si>
    <t>Venoshock</t>
  </si>
  <si>
    <t>Inflicts double damage if the target is poisoned.</t>
  </si>
  <si>
    <t>If foe is poisoned, damage base +3.</t>
  </si>
  <si>
    <t>Victory Dance</t>
  </si>
  <si>
    <t>Raises Attack and Defense.</t>
  </si>
  <si>
    <t>ATT, DEF +2.</t>
  </si>
  <si>
    <t>Vine Whip</t>
  </si>
  <si>
    <t>Vise Grip</t>
  </si>
  <si>
    <t>Vital Throw</t>
  </si>
  <si>
    <t>User attacks last, but ignores Accuracy and Evasiveness.</t>
  </si>
  <si>
    <t>User attacks last, but will always hit, roll for crit.</t>
  </si>
  <si>
    <t>Volt Switch</t>
  </si>
  <si>
    <t>User must switch out after attacking.</t>
  </si>
  <si>
    <t>You must switch after attacking.</t>
  </si>
  <si>
    <t>Volt Tackle</t>
  </si>
  <si>
    <t>User receives recoil damage. May paralyze opponent.</t>
  </si>
  <si>
    <t>Take d[damage base] recoil damage. Roll d20. If result &gt;= Effect Roll, foe is paralyzed.</t>
  </si>
  <si>
    <t>Wake-Up Slap</t>
  </si>
  <si>
    <t>Power doubles if opponent is asleep, but wakes it up.</t>
  </si>
  <si>
    <t>If foe is asleep, damage base 3. Foe is now awake.</t>
  </si>
  <si>
    <t>Water Gun</t>
  </si>
  <si>
    <t>Water Pledge</t>
  </si>
  <si>
    <t>Added effects appear if preceded by Fire Pledge or succeeded by Grass Pledge.</t>
  </si>
  <si>
    <t>Water Pulse</t>
  </si>
  <si>
    <t>Water Shuriken</t>
  </si>
  <si>
    <t>Water Sport</t>
  </si>
  <si>
    <t>Weakens the power of Fire-type moves.</t>
  </si>
  <si>
    <t>If fire move is used, damage base -1.</t>
  </si>
  <si>
    <t>Water Spout</t>
  </si>
  <si>
    <t>The higher the user's HP, the higher the damage caused.</t>
  </si>
  <si>
    <t>Waterfall</t>
  </si>
  <si>
    <t>Wave Crash</t>
  </si>
  <si>
    <t>Weather Ball</t>
  </si>
  <si>
    <t>Move's power and type changes with the weather.</t>
  </si>
  <si>
    <t>Whirlpool</t>
  </si>
  <si>
    <t>Whirlwind</t>
  </si>
  <si>
    <t>Wicked Blow</t>
  </si>
  <si>
    <t>Wicked Torque</t>
  </si>
  <si>
    <t>Wide Guard</t>
  </si>
  <si>
    <t>Protects the user's team from multi-target attacks.</t>
  </si>
  <si>
    <t>Allies cannot be hit by multi-target attacks.</t>
  </si>
  <si>
    <t>Wild Charge</t>
  </si>
  <si>
    <t>Wildbolt Storm</t>
  </si>
  <si>
    <t>May paralyze target.</t>
  </si>
  <si>
    <t>Roll d20. If 15+, foe is paralyzed.</t>
  </si>
  <si>
    <t>Will-O-Wisp</t>
  </si>
  <si>
    <t>Wing Attack</t>
  </si>
  <si>
    <t>Wish</t>
  </si>
  <si>
    <t>The user recovers HP in the following turn.</t>
  </si>
  <si>
    <t>You heal up to 1/2 max HP on your next turn.</t>
  </si>
  <si>
    <t>Withdraw</t>
  </si>
  <si>
    <t>Wonder Room</t>
  </si>
  <si>
    <t>Swaps every Pokémon's Defense and Special Defense for 5 turns.</t>
  </si>
  <si>
    <t>All PKMN's DEF and SPD switch for d6 turns.</t>
  </si>
  <si>
    <t>Wood Hammer</t>
  </si>
  <si>
    <t>Work Up</t>
  </si>
  <si>
    <t>Worry Seed</t>
  </si>
  <si>
    <t>Changes the opponent's Ability to Insomnia.</t>
  </si>
  <si>
    <t>Changes the foe's Ability to Insomnia.</t>
  </si>
  <si>
    <t>Wrap</t>
  </si>
  <si>
    <t>Wring Out</t>
  </si>
  <si>
    <t>The higher the opponent's HP, the higher the damage.</t>
  </si>
  <si>
    <t>Damage Base = ((Foe Current HP / Foe Max HP)*10)+3</t>
  </si>
  <si>
    <t>X-Scissor</t>
  </si>
  <si>
    <t>Yawn</t>
  </si>
  <si>
    <t>Puts opponent to sleep in the next turn.</t>
  </si>
  <si>
    <t>Foe falls asleep at start of your next turn.</t>
  </si>
  <si>
    <t>Zap Cannon</t>
  </si>
  <si>
    <t>Zen Headbutt</t>
  </si>
  <si>
    <t>Zing Zap</t>
  </si>
  <si>
    <t>A strong electric blast crashes down on the target, giving it an electric shock. Roll d20. If result &gt;= Effect Roll, foe flinches.</t>
  </si>
  <si>
    <t>Zippy Zap</t>
  </si>
  <si>
    <t>Adaptability</t>
  </si>
  <si>
    <t>If using STAB move, +2 damage base.</t>
  </si>
  <si>
    <t>Powers up moves of the same type as the Pokémon.</t>
  </si>
  <si>
    <t>Aerilate</t>
  </si>
  <si>
    <t>Normal type moves become Flying type moves, +1 damage base.</t>
  </si>
  <si>
    <t>Normal-type moves become Flying-type moves. The power of those moves is boosted a little.</t>
  </si>
  <si>
    <t>Aftermath</t>
  </si>
  <si>
    <t>When you faint, deal deal d10 damage to the foe that knocked you out.</t>
  </si>
  <si>
    <t>Damages the attacker if it contacts the Pokémon with a finishing hit.</t>
  </si>
  <si>
    <t>Air Lock</t>
  </si>
  <si>
    <t>Weather has no effect on you.</t>
  </si>
  <si>
    <t>Eliminates the effects of weather.</t>
  </si>
  <si>
    <t>Analytic</t>
  </si>
  <si>
    <t>If you go last, +2 damage base.</t>
  </si>
  <si>
    <t>Boosts move power when the Pokémon moves last.</t>
  </si>
  <si>
    <t>Anger Point</t>
  </si>
  <si>
    <t>ATT +12 if hit by Nat 20.</t>
  </si>
  <si>
    <t>The Pokémon is angered when it takes a critical hit, and that maxes its Attack stat.</t>
  </si>
  <si>
    <t>Anger Shell</t>
  </si>
  <si>
    <t>If HP &lt;=50%, DEF, SPD: -2. ATT, SPA, SPE: +2</t>
  </si>
  <si>
    <t>Anticipation</t>
  </si>
  <si>
    <t>When battle begins, GM shares one random move each foe knows.</t>
  </si>
  <si>
    <t>The Pokémon can sense an opposing Pokémon's dangerous moves.</t>
  </si>
  <si>
    <t>Arena Trap</t>
  </si>
  <si>
    <t>Foes cannot flee from you.</t>
  </si>
  <si>
    <t>Prevents opposing Pokémon from fleeing.</t>
  </si>
  <si>
    <t>Armor Tail</t>
  </si>
  <si>
    <t>Opponents cannot use priority moves against you or your allies</t>
  </si>
  <si>
    <t>Aroma Veil</t>
  </si>
  <si>
    <t>Moves that attempt to limit you or your allies move choices fail.</t>
  </si>
  <si>
    <t>Protects itself and its allies from attacks that limit their move choices.</t>
  </si>
  <si>
    <t>As One</t>
  </si>
  <si>
    <t>Unverve Ability + Chilling Neigh/Grim Neigh (depends on PKMN)</t>
  </si>
  <si>
    <t>Aura Break</t>
  </si>
  <si>
    <t>Reverses the effects of "Fairy Aura" or "Dark Aura"</t>
  </si>
  <si>
    <t>The effects of "Aura" Abilities are reversed to lower the power of affected moves.</t>
  </si>
  <si>
    <t>Bad Dreams</t>
  </si>
  <si>
    <t>If foes are asleep, they take d6 damage at end of their turn.</t>
  </si>
  <si>
    <t>Reduces the HP of sleeping opposing Pokémon.</t>
  </si>
  <si>
    <t>Ball Fetch</t>
  </si>
  <si>
    <t>At end of battle, if you do not have a held item, roll D100. GM gifts an item based on roll.</t>
  </si>
  <si>
    <t>If the Pokémon is not holding an item, it will fetch the Poké Ball from the first failed throw of the battle.</t>
  </si>
  <si>
    <t>Battery</t>
  </si>
  <si>
    <t>If an ally uses a special move, ally gets +2 damage base.</t>
  </si>
  <si>
    <t>Powers up ally Pokémon's special moves.</t>
  </si>
  <si>
    <t>Battle Armor</t>
  </si>
  <si>
    <t>You cannot get hit by a critical hit (does normal damage)</t>
  </si>
  <si>
    <t>Hard armor protects the Pokémon from critical hits.</t>
  </si>
  <si>
    <t>Battle Bond</t>
  </si>
  <si>
    <t>If Greninja, -&gt; Ash-Greninja + Water Shuriken +1 damage base. If other: after knocking out foe, ATT, SPA, SPE +2.</t>
  </si>
  <si>
    <t>Defeating an opposing Pokémon strengthens the Pokémon's bond with its Trainer, and it becomes Ash-Greninja. Water Shuriken gets more powerful.</t>
  </si>
  <si>
    <t>Beads of Ruin</t>
  </si>
  <si>
    <t>When battle begins, all Pokemon (except you) lose 2 SPD</t>
  </si>
  <si>
    <t>Beast Boost</t>
  </si>
  <si>
    <t>After knocking out foe, highest stat gains +2 temp.</t>
  </si>
  <si>
    <t>The Pokémon boosts its most proficient stat each time it knocks out a Pokémon.</t>
  </si>
  <si>
    <t>Berserk</t>
  </si>
  <si>
    <t xml:space="preserve">If your HP drops to &lt;=50% due to an attack, your SPA increases by 2 </t>
  </si>
  <si>
    <t>Boosts the Pokémon's Sp. Atk stat when it takes a hit that causes its HP to become half or less.</t>
  </si>
  <si>
    <t>Big Pecks</t>
  </si>
  <si>
    <t>Your DEF stat cannot be lowered.</t>
  </si>
  <si>
    <t>Protects the Pokémon from Defense-lowering effects.</t>
  </si>
  <si>
    <t>Blaze</t>
  </si>
  <si>
    <t>If your HP is &lt;25%, fire moves +2 damage base.</t>
  </si>
  <si>
    <t>Powers up Fire-type moves when the Pokémon's HP is low.</t>
  </si>
  <si>
    <t>Bulletproof</t>
  </si>
  <si>
    <t>If opponent uses "ball" or "bomb" moves, it has no effect.</t>
  </si>
  <si>
    <t>Protects the Pokémon from some ball and bomb moves.</t>
  </si>
  <si>
    <t>Cacophony</t>
  </si>
  <si>
    <t>You are immune to damage and effects from sound-based moves.</t>
  </si>
  <si>
    <t>Avoids sound-based moves.</t>
  </si>
  <si>
    <t>Cheek Pouch</t>
  </si>
  <si>
    <t>When you eat a berry, you also heal d6 health.</t>
  </si>
  <si>
    <t>Restores HP as well when the Pokémon eats a Berry.</t>
  </si>
  <si>
    <t>Chilling Neigh</t>
  </si>
  <si>
    <t>Your ATT increases by 2 each time you KO a foe.</t>
  </si>
  <si>
    <t>Chlorophyll</t>
  </si>
  <si>
    <t>If weather is harsh sunlight, SPE increases by 2.</t>
  </si>
  <si>
    <t>Boosts the Pokémon's Speed stat in harsh sunlight.</t>
  </si>
  <si>
    <t>Clear Body</t>
  </si>
  <si>
    <t>Other Pokemon's moves/abilities cannot lower your stats.</t>
  </si>
  <si>
    <t>Prevents other Pokémon's moves or Abilities from lowering the Pokémon's stats.</t>
  </si>
  <si>
    <t>Cloud Nine</t>
  </si>
  <si>
    <t>Color Change</t>
  </si>
  <si>
    <t>After being hit by damage dealing move, change your type to that type.</t>
  </si>
  <si>
    <t>The Pokémon's type becomes the type of the move used on it.</t>
  </si>
  <si>
    <t>Comatose</t>
  </si>
  <si>
    <t>You are considered asleep, but do not gain the status condition. You can still attack.</t>
  </si>
  <si>
    <t>It's always drowsing and will never wake up. It can attack without waking up.</t>
  </si>
  <si>
    <t>Commander</t>
  </si>
  <si>
    <t>Only if Dondozo is ally. You cannot attack, nor can you be attacked. Dondozo +4 to all stats.</t>
  </si>
  <si>
    <t>Competitive</t>
  </si>
  <si>
    <t>If a stat is lowered, SPA +4.</t>
  </si>
  <si>
    <t>Boosts the Sp. Atk stat sharply when a stat is lowered.</t>
  </si>
  <si>
    <t>Compound Eyes</t>
  </si>
  <si>
    <t>All accuracy rolls for you are -1.</t>
  </si>
  <si>
    <t>The Pokémon's compound eyes boost its accuracy.</t>
  </si>
  <si>
    <t>Contrary</t>
  </si>
  <si>
    <t>All stat changes via moves have the opposite effect.</t>
  </si>
  <si>
    <t>Makes stat changes have an opposite effect.</t>
  </si>
  <si>
    <t>Corrosion</t>
  </si>
  <si>
    <t>You can poison Steel and Poison type foes.</t>
  </si>
  <si>
    <t>The Pokémon can poison the target even if it's a Steel or Poison type.</t>
  </si>
  <si>
    <t>Costar</t>
  </si>
  <si>
    <t>When battle begins, copy random ally stat changes.</t>
  </si>
  <si>
    <t>Cotton Down</t>
  </si>
  <si>
    <t>If hit by a physical attack, all PKMN except you -1 SPE.</t>
  </si>
  <si>
    <t>When the Pokémon is hit by an attack, it scatters cotton fluff around and lowers the Speed stat of all Pokémon except itself.</t>
  </si>
  <si>
    <t>Cud Chew</t>
  </si>
  <si>
    <t>Activates after eating berry. At the end of your next turn, apply berry effect again.</t>
  </si>
  <si>
    <t>Curious Medicine</t>
  </si>
  <si>
    <t>When battle begins, remove all stat changes from allies (both good and bad)</t>
  </si>
  <si>
    <t>Cursed Body</t>
  </si>
  <si>
    <t>Roll d10 when hit by an attack. If result is 8,9,0, foe's move is disabled after damage.</t>
  </si>
  <si>
    <t>May disable a move used on the Pokémon.</t>
  </si>
  <si>
    <t>Cute Charm</t>
  </si>
  <si>
    <t>Roll d10 when hit by a physical attack. If result = 8,9,0, foe is infatuated.</t>
  </si>
  <si>
    <t>Contact with the Pokémon may cause infatuation.</t>
  </si>
  <si>
    <t>Damp</t>
  </si>
  <si>
    <t>Explosive moves fail to activate.</t>
  </si>
  <si>
    <t>Prevents the use of explosive moves, such as Self-Destruct, by dampening its surroundings.</t>
  </si>
  <si>
    <t>Dancer</t>
  </si>
  <si>
    <t>If a PKMN uses a dance move, you immediately copy and use that same move (belly applies, does not count as your move).</t>
  </si>
  <si>
    <t>When another Pokémon uses a dance move, it can use a dance move following it regardless of its Speed.</t>
  </si>
  <si>
    <t>Dark Aura</t>
  </si>
  <si>
    <t>All Dark moves increase damage base +2</t>
  </si>
  <si>
    <t>Powers up each Pokémon's Dark-type moves.</t>
  </si>
  <si>
    <t>Dauntless Shield</t>
  </si>
  <si>
    <t xml:space="preserve">At start of battle, DEF +2 </t>
  </si>
  <si>
    <t>Boosts the Pokémon's Defense stat when the Pokémon enters a battle.</t>
  </si>
  <si>
    <t>Dazzling</t>
  </si>
  <si>
    <t>Foe's acc rolls +1 (makes it more difficult to hit you)</t>
  </si>
  <si>
    <t>Surprises the opposing Pokémon, making it unable to attack using priority moves.</t>
  </si>
  <si>
    <t>Defeatist</t>
  </si>
  <si>
    <t>If HP &lt;=50%, your ATT and SPA -6.</t>
  </si>
  <si>
    <t>Halves the Pokémon's Attack and Sp. Atk stats when its HP becomes half or less.</t>
  </si>
  <si>
    <t>Defiant</t>
  </si>
  <si>
    <t>If one of your stats are lowered, ATT +4.</t>
  </si>
  <si>
    <t>Boosts the Pokémon's Attack stat sharply when its stats are lowered.</t>
  </si>
  <si>
    <t>Delta Stream</t>
  </si>
  <si>
    <t>Rock, Electric, and Ice damage do neutral damage to flying types.</t>
  </si>
  <si>
    <t>The Pokémon changes the weather to eliminate all of the Flying type's weaknesses.</t>
  </si>
  <si>
    <t>Desolate Land</t>
  </si>
  <si>
    <t>Water type moves instantly fail.</t>
  </si>
  <si>
    <t>The Pokémon changes the weather to nullify Water-type attacks.</t>
  </si>
  <si>
    <t>Disguise</t>
  </si>
  <si>
    <t>The first attack on you that would hit does no damage.</t>
  </si>
  <si>
    <t>Once per battle, the shroud that covers the Pokémon can protect it from an attack.</t>
  </si>
  <si>
    <t>Download</t>
  </si>
  <si>
    <t>Raises ATT/SPA by 2. Depends on foe's DEF/SPD (lower one boosts corresponding)</t>
  </si>
  <si>
    <t>Compares an opposing Pokémon's Defense and Sp. Def stats before raising its own Attack or Sp. Atk stat—whichever will be more effective.</t>
  </si>
  <si>
    <t>Dragon's Maw</t>
  </si>
  <si>
    <t>Your Dragon moves +2 damage base.</t>
  </si>
  <si>
    <t>Drizzle</t>
  </si>
  <si>
    <t>When battle begins, it rains for d6 turns.</t>
  </si>
  <si>
    <t>The Pokémon makes it rain when it enters a battle.</t>
  </si>
  <si>
    <t>Drought</t>
  </si>
  <si>
    <t>When battle begins, it is harsh sunlight for d6 turns</t>
  </si>
  <si>
    <t>Turns the sunlight harsh when the Pokémon enters a battle.</t>
  </si>
  <si>
    <t>Dry Skin</t>
  </si>
  <si>
    <t>Raining - heal d6 HP at end turn. Harsh Sunlight - take d6 damage at end turn. Heal d8 HP when hit by water move (no damage taken). Take d8 damage when hit by fire move (after damage calc).</t>
  </si>
  <si>
    <t>Restores HP in rain or when hit by Water-type moves. Reduces HP in harsh sunlight, and increases the damage received from Fire-type moves.</t>
  </si>
  <si>
    <t>Early Bird</t>
  </si>
  <si>
    <t>Roll d4 when you fall asleep instead of d6.</t>
  </si>
  <si>
    <t>The Pokémon awakens from sleep twice as fast as other Pokémon.</t>
  </si>
  <si>
    <t>Earth Eater</t>
  </si>
  <si>
    <t>If hit by ground type move, restore HP instead of taking damage.</t>
  </si>
  <si>
    <t>Effect Spore</t>
  </si>
  <si>
    <t>Roll d100 when hit by physical move. If result = 70-78, poison. If result = 79-88, paralysis. If result = 89-99, sleep. If 100, player chooses.</t>
  </si>
  <si>
    <t>Contact with the Pokémon may inflict poison, sleep, or paralysis on its attacker.</t>
  </si>
  <si>
    <t>Electric Surge</t>
  </si>
  <si>
    <t>Electric Terrain is activated at start of battle.</t>
  </si>
  <si>
    <t>Turns the ground into Electric Terrain when the Pokémon enters a battle.</t>
  </si>
  <si>
    <t>Electromorphosis</t>
  </si>
  <si>
    <t>If damage is dealt by a move, your next Electric type move +2 damage base.</t>
  </si>
  <si>
    <t>Embody Aspect</t>
  </si>
  <si>
    <t>If holding Teal Mask, SPE +2. Hearthflame Mask, ATT +2. Wellspring Mask, SPD +2. Cornerstone Mask, DEF +2</t>
  </si>
  <si>
    <t>Emergency Exit</t>
  </si>
  <si>
    <t>If HP &lt;=50%, roll before each attack. If odd, you skip your turn.</t>
  </si>
  <si>
    <t>The Pokémon, sensing danger, switches out when its HP becomes half or less.</t>
  </si>
  <si>
    <t>Fairy Aura</t>
  </si>
  <si>
    <t>All Fairy moves (ally and foe) +2 damage base.</t>
  </si>
  <si>
    <t>Powers up each Pokémon's Fairy-type moves.</t>
  </si>
  <si>
    <t>Filter</t>
  </si>
  <si>
    <t>Super-effective moves do d6 less damage (after calculation).</t>
  </si>
  <si>
    <t>Reduces the power of supereffective attacks taken.</t>
  </si>
  <si>
    <t>Flame Body</t>
  </si>
  <si>
    <t>If hit by a physical attack, roll d20. If result is 15+, foe is burned.</t>
  </si>
  <si>
    <t>Contact with the Pokémon may burn the attacker.</t>
  </si>
  <si>
    <t>Flare Boost</t>
  </si>
  <si>
    <t>If burned, SPA +2.</t>
  </si>
  <si>
    <t>Powers up special attacks when the Pokémon is burned.</t>
  </si>
  <si>
    <t>Flash Fire</t>
  </si>
  <si>
    <t>If hit by fire type move, take no damage. Your fire moves +2 damage base.</t>
  </si>
  <si>
    <t>Powers up the Pokémon's Fire-type moves if it's hit by one.</t>
  </si>
  <si>
    <t>Flower Gift</t>
  </si>
  <si>
    <t xml:space="preserve">If harsh sunlight, all allies +2 ATT &amp; SPD </t>
  </si>
  <si>
    <t>Boosts the Attack and Sp. Def stats of itself and allies in harsh sunlight.</t>
  </si>
  <si>
    <t>Flower Veil</t>
  </si>
  <si>
    <t>Ally Grass-type Pokémon cannot get status conditions, nor can foes lower their stats</t>
  </si>
  <si>
    <t>Ally Grass-type Pokémon are protected from status conditions and the lowering of their stats.</t>
  </si>
  <si>
    <t>Fluffy</t>
  </si>
  <si>
    <t>Physical moves do d8 less damage, but all fire moves do d8 more damage (after damage calc).</t>
  </si>
  <si>
    <t>Halves the damage taken from moves that make direct contact, but doubles that of Fire-type moves.</t>
  </si>
  <si>
    <t>Forecast</t>
  </si>
  <si>
    <t>You transform with the weather to change your type to Water, Fire, or Ice.</t>
  </si>
  <si>
    <t>The Pokémon transforms with the weather to change its type to Water, Fire, or Ice.</t>
  </si>
  <si>
    <t>Forewarn</t>
  </si>
  <si>
    <t>When it enters a battle, the Pokémon can tell one of the moves an opposing Pokémon has.</t>
  </si>
  <si>
    <t>Friend Guard</t>
  </si>
  <si>
    <t>If ally is hit with damaging move, reduce damage dealt by d4 (after damage calc).</t>
  </si>
  <si>
    <t>Reduces damage done to allies.</t>
  </si>
  <si>
    <t>Frisk</t>
  </si>
  <si>
    <t>When battle begins, you know what items foes are holding.</t>
  </si>
  <si>
    <t>When it enters a battle, the Pokémon can check an opposing Pokémon's held item.</t>
  </si>
  <si>
    <t>Full Metal Body</t>
  </si>
  <si>
    <t>Foe moves/abilities cannot lower your stats.</t>
  </si>
  <si>
    <t>Fur Coat</t>
  </si>
  <si>
    <t>Physical moves do d8 less damage (after damage calc).</t>
  </si>
  <si>
    <t>Halves the damage from physical moves.</t>
  </si>
  <si>
    <t>Gale Wings</t>
  </si>
  <si>
    <t>If your HP is full, your flying type moves have priority in the round.</t>
  </si>
  <si>
    <t>Gives priority to Flying-type moves when the Pokémon's HP is full.</t>
  </si>
  <si>
    <t>Galvanize</t>
  </si>
  <si>
    <t>Normal type moves become electric type moves. +1 Damage Base.</t>
  </si>
  <si>
    <t>Normal-type moves become Electric-type moves. The power of those moves is boosted a little.</t>
  </si>
  <si>
    <t>Gluttony</t>
  </si>
  <si>
    <t>Eating a berry does not count as your move.</t>
  </si>
  <si>
    <t>Makes the Pokémon eat a held Berry when its HP drops to half or less, which is sooner than usual.</t>
  </si>
  <si>
    <t>Good as Gold</t>
  </si>
  <si>
    <t>Can not be affected by targeting status moves</t>
  </si>
  <si>
    <t>Gooey</t>
  </si>
  <si>
    <t>If foe hits you with a physical attack, foe's SPE -2</t>
  </si>
  <si>
    <t>Contact with the Pokémon lowers the attacker's Speed stat.</t>
  </si>
  <si>
    <t>Gorilla Tactics</t>
  </si>
  <si>
    <t>ATT +2 , but can only use 1 move for entire battle.</t>
  </si>
  <si>
    <t>Boosts the Pokémon's Attack stat but only allows the use of the first selected move.</t>
  </si>
  <si>
    <t>Grass Pelt</t>
  </si>
  <si>
    <t>DEF +2 on Grassy Terrain</t>
  </si>
  <si>
    <t>Boosts the Pokémon's Defense stat on Grassy Terrain.</t>
  </si>
  <si>
    <t>Grassy Surge</t>
  </si>
  <si>
    <t>Grassy Terrain is activated at start of battle.</t>
  </si>
  <si>
    <t>Turns the ground into Grassy Terrain when the Pokémon enters a battle.</t>
  </si>
  <si>
    <t>Grim Neigh</t>
  </si>
  <si>
    <t>Your SPA increases by 2 each time you KO foe.</t>
  </si>
  <si>
    <t>Guard Dog</t>
  </si>
  <si>
    <t>If intimidated, ATT +2 instead. Can not be forced to flee.</t>
  </si>
  <si>
    <t>Gulp Missile</t>
  </si>
  <si>
    <t>If you use Surf or Dive, you gain mini-counter status for one attack.</t>
  </si>
  <si>
    <t>When the Pokémon uses Surf or Dive, it will come back with prey. When it takes damage, it will spit out the prey to attack.</t>
  </si>
  <si>
    <t>Guts</t>
  </si>
  <si>
    <t xml:space="preserve">If you have a status condition, ATT +2 </t>
  </si>
  <si>
    <t>It's so gutsy that having a status condition boosts the Pokémon's Attack stat.</t>
  </si>
  <si>
    <t>Hadron Engine</t>
  </si>
  <si>
    <t>When battle begins, activate Electric Terrain. SPA +2 if Electric Terrain is active.</t>
  </si>
  <si>
    <t>Harvest</t>
  </si>
  <si>
    <t>If you use a berry, roll at the end of your turn. If odd, same berry reappears in your bag.</t>
  </si>
  <si>
    <t>May create another Berry after one is used.</t>
  </si>
  <si>
    <t>Healer</t>
  </si>
  <si>
    <t>If ally has status condition, roll d10. If 8,9,0, status is cleared.</t>
  </si>
  <si>
    <t>Sometimes heals an ally's status condition.</t>
  </si>
  <si>
    <t>Heatproof</t>
  </si>
  <si>
    <t>You take d8 less damage from fire-type moves (after damage calc).</t>
  </si>
  <si>
    <t>The heatproof body of the Pokémon halves the damage from Fire-type moves that hit it.</t>
  </si>
  <si>
    <t>Honey Gather</t>
  </si>
  <si>
    <t>When leaving a dungeon, roll d100. If space in bag, GM gives edible item (higher = rarer)</t>
  </si>
  <si>
    <t>The Pokémon may gather Honey after a battle.</t>
  </si>
  <si>
    <t>Hospitality</t>
  </si>
  <si>
    <t>At start of battle, pick an ally. Heal them by d8 HP.</t>
  </si>
  <si>
    <t>Huge Power</t>
  </si>
  <si>
    <t>Add your base ATT as additional temp ATT (as long as you have this ability).</t>
  </si>
  <si>
    <t>Doubles the Pokémon's Attack stat.</t>
  </si>
  <si>
    <t>Hunger Switch</t>
  </si>
  <si>
    <t>You change form between Full Belly Mode and Hangry Mode at end of each turn.</t>
  </si>
  <si>
    <t>The Pokémon changes its form, alternating between its Full Belly Mode and Hangry Mode after the end of each turn.</t>
  </si>
  <si>
    <t>Hustle</t>
  </si>
  <si>
    <t>ATT +2, but acc roll is +1 for each move.</t>
  </si>
  <si>
    <t>Boosts the Attack stat, but lowers accuracy.</t>
  </si>
  <si>
    <t>Hydration</t>
  </si>
  <si>
    <t>If raining, heal your status condition(s) at the start of your turn.</t>
  </si>
  <si>
    <t>Heals status conditions if it's raining.</t>
  </si>
  <si>
    <t>Hyper Cutter</t>
  </si>
  <si>
    <t>Other Pokémon cannot lower your ATT.</t>
  </si>
  <si>
    <t>The Pokémon's proud of its powerful pincers. They prevent other Pokémon from lowering its Attack stat.</t>
  </si>
  <si>
    <t>Ice Body</t>
  </si>
  <si>
    <t>If hailing, HP heals d4 each turn</t>
  </si>
  <si>
    <t>The Pokémon gradually regains HP in a hailstorm.</t>
  </si>
  <si>
    <t>Ice Face</t>
  </si>
  <si>
    <t>Start at Face = 1. If Face = 1, and you're hit by physical attack, Face = 0 and take 0 damage. If hailing/snow, Face = 1 at end of your turn.</t>
  </si>
  <si>
    <t>The Pokémon's ice head can take a physical attack as a substitute, but the attack also changes the Pokémon's appearance. The ice will be restored when it hails.</t>
  </si>
  <si>
    <t>Ice Scales</t>
  </si>
  <si>
    <t>Special moves do d8 less damage (after damage calc).</t>
  </si>
  <si>
    <t>The Pokémon is protected by ice scales, which halve the damage taken from special moves.</t>
  </si>
  <si>
    <t>Illuminate</t>
  </si>
  <si>
    <t>Your acc cannot be lowered by other PKMN.</t>
  </si>
  <si>
    <t>Raises the likelihood of meeting wild Pokémon by illuminating the surroundings.</t>
  </si>
  <si>
    <t>Illusion</t>
  </si>
  <si>
    <t>You can disguise yourself as another ally PKMN until you get hit by an attack.</t>
  </si>
  <si>
    <t>Comes out disguised as the Pokémon in the party's last spot.</t>
  </si>
  <si>
    <t>Immunity</t>
  </si>
  <si>
    <t>You cannot get poisoned.</t>
  </si>
  <si>
    <t>The immune system of the Pokémon prevents it from getting poisoned.</t>
  </si>
  <si>
    <t>Imposter</t>
  </si>
  <si>
    <t>When battle begins, transform into specific foe.</t>
  </si>
  <si>
    <t>The Pokémon transforms itself into the Pokémon it's facing.</t>
  </si>
  <si>
    <t>Infiltrator</t>
  </si>
  <si>
    <t>Ignore effects of foe's Reflect, Light Screen, Safeguard, Mist, Aurora Veil, Substitute(s).</t>
  </si>
  <si>
    <t>Passes through the opposing Pokémon's barrier, substitute, and the like and strikes.</t>
  </si>
  <si>
    <t>Innards Out</t>
  </si>
  <si>
    <t>If you get KO, foe takes same damage you just took.</t>
  </si>
  <si>
    <t>Damages the attacker landing the finishing hit by the amount equal to its last HP.</t>
  </si>
  <si>
    <t>Inner Focus</t>
  </si>
  <si>
    <t>You cannot be flinched/cringed/intimidated.</t>
  </si>
  <si>
    <t>The Pokémon's intensely focused, and that protects the Pokémon from flinching.</t>
  </si>
  <si>
    <t>Insomnia</t>
  </si>
  <si>
    <t>You cannot fall asleep in battle.</t>
  </si>
  <si>
    <t>The Pokémon is suffering from insomnia and cannot fall asleep.</t>
  </si>
  <si>
    <t>Intimidate</t>
  </si>
  <si>
    <t xml:space="preserve">When battle begins, all foes -2 ATT. </t>
  </si>
  <si>
    <t>The Pokémon intimidates opposing Pokémon upon entering battle, lowering their Attack stat.</t>
  </si>
  <si>
    <t>Intrepid Sword</t>
  </si>
  <si>
    <t>When battle begins, you get +2 ATT.</t>
  </si>
  <si>
    <t>Boosts the Pokémon's Attack stat when the Pokémon enters a battle.</t>
  </si>
  <si>
    <t>Iron Barbs</t>
  </si>
  <si>
    <t>If hit with a physical attack, deal d6 damage to foe.</t>
  </si>
  <si>
    <t>Inflicts damage on the attacker upon contact with iron barbs.</t>
  </si>
  <si>
    <t>Iron Fist</t>
  </si>
  <si>
    <t>If move is "punching" (GM's approval) damage base +2.</t>
  </si>
  <si>
    <t>Powers up punching moves.</t>
  </si>
  <si>
    <t>Justified</t>
  </si>
  <si>
    <t xml:space="preserve">If hit by dark type move, ATT +2. </t>
  </si>
  <si>
    <t>Being hit by a Dark-type move boosts the Attack stat of the Pokémon, for justice.</t>
  </si>
  <si>
    <t>Keen Eye</t>
  </si>
  <si>
    <t>Keen eyes prevent other Pokémon from lowering this Pokémon's accuracy.</t>
  </si>
  <si>
    <t>Klutz</t>
  </si>
  <si>
    <t>You cannot have a held item.</t>
  </si>
  <si>
    <t>The Pokémon can't use any held items.</t>
  </si>
  <si>
    <t>Leaf Guard</t>
  </si>
  <si>
    <t>If weather is harsh sunlight, you cannot have a status condition.</t>
  </si>
  <si>
    <t>Prevents status conditions in harsh sunlight.</t>
  </si>
  <si>
    <t>Levitate</t>
  </si>
  <si>
    <t>You take immune damage to ground type moves.</t>
  </si>
  <si>
    <t>By floating in the air, the Pokémon receives full immunity to all Ground-type moves.</t>
  </si>
  <si>
    <t>Libero</t>
  </si>
  <si>
    <t>Once per battle (you choose), your type changes to the move you are about to use. Must say prior to acc roll.</t>
  </si>
  <si>
    <t>Changes the Pokémon's type to the type of the move it's about to use.</t>
  </si>
  <si>
    <t>Lightning Rod</t>
  </si>
  <si>
    <t>Electric moves have no effect on your team. If foe uses it, your SPA +2.</t>
  </si>
  <si>
    <t>The Pokémon draws in all Electric-type moves. Instead of being hit by Electric-type moves, it boosts its Sp. Atk.</t>
  </si>
  <si>
    <t>Limber</t>
  </si>
  <si>
    <t>You cannot be paralyzed.</t>
  </si>
  <si>
    <t>Its limber body protects the Pokémon from paralysis.</t>
  </si>
  <si>
    <t>Lingering Aroma</t>
  </si>
  <si>
    <t>If attacked with physical attack, change foe ability to Lingering Aroma.</t>
  </si>
  <si>
    <t>Liquid Ooze</t>
  </si>
  <si>
    <t>Any draining moves do damage to foe instead of healing.</t>
  </si>
  <si>
    <t>The oozed liquid has a strong stench, which damages attackers using any draining move.</t>
  </si>
  <si>
    <t>Liquid Voice</t>
  </si>
  <si>
    <t>All sound moves become water type (GM's approval).</t>
  </si>
  <si>
    <t>All sound-based moves become Water-type moves.</t>
  </si>
  <si>
    <t>Long Reach</t>
  </si>
  <si>
    <t>You do not "make contact" with your foe.</t>
  </si>
  <si>
    <t>The Pokémon uses its moves without making contact with the target.</t>
  </si>
  <si>
    <t>Magic Bounce</t>
  </si>
  <si>
    <t>Status moves are reflected back to the foe (such as Stun Spore, Hypnosis, etc.)</t>
  </si>
  <si>
    <t>Reflects status moves instead of getting hit by them.</t>
  </si>
  <si>
    <t>Magic Guard</t>
  </si>
  <si>
    <t>You only take damage from attacks (not effects)</t>
  </si>
  <si>
    <t>The Pokémon only takes damage from attacks.</t>
  </si>
  <si>
    <t>Magician</t>
  </si>
  <si>
    <t>If you hit a foe, have no held item, and the foe does: you take their item.</t>
  </si>
  <si>
    <t>The Pokémon steals the held item of a Pokémon it hits with a move.</t>
  </si>
  <si>
    <t>Magma Armor</t>
  </si>
  <si>
    <t>You cannot be frozen.</t>
  </si>
  <si>
    <t>The Pokémon is covered with hot magma, which prevents the Pokémon from becoming frozen.</t>
  </si>
  <si>
    <t>Magnet Pull</t>
  </si>
  <si>
    <t>Steel-type PKMN cannot flee.</t>
  </si>
  <si>
    <t>Prevents Steel-type Pokémon from escaping using its magnetic force.</t>
  </si>
  <si>
    <t>Marvel Scale</t>
  </si>
  <si>
    <t>If you have a status condition, DEF +2.</t>
  </si>
  <si>
    <t>The Pokémon's marvelous scales boost the Defense stat if it has a status condition.</t>
  </si>
  <si>
    <t>Mega Launcher</t>
  </si>
  <si>
    <t>All "aura" and "pulse" moves +2 damage base or +1 dice healing.</t>
  </si>
  <si>
    <t>Powers up aura and pulse moves.</t>
  </si>
  <si>
    <t>Merciless</t>
  </si>
  <si>
    <t>If foe is poisoned, all attacks you deal are critical hits.</t>
  </si>
  <si>
    <t>The Pokémon's attacks become critical hits if the target is poisoned.</t>
  </si>
  <si>
    <t>Mimicry</t>
  </si>
  <si>
    <t>Your type automatically changes to match "terrain", if applicable.</t>
  </si>
  <si>
    <t>Changes the Pokémon's type depending on the terrain.</t>
  </si>
  <si>
    <t>Mind's Eye</t>
  </si>
  <si>
    <t>Unaffected by evasiveness changes to foes, accuracy changes to self. Your Normal &amp; Fighting moves deal neutral damage to Ghosts</t>
  </si>
  <si>
    <t>Minus</t>
  </si>
  <si>
    <t xml:space="preserve">If ally has Plus or Minus ability, SPA +2 </t>
  </si>
  <si>
    <t>Boosts the Sp. Atk stat of the Pokémon if an ally with the Plus or Minus Ability is also in battle.</t>
  </si>
  <si>
    <t>Mirror Armor</t>
  </si>
  <si>
    <t>If foe uses stat-lowering effect on you, bounce it back to foe.</t>
  </si>
  <si>
    <t>Bounces back only the stat-lowering effects that the Pokémon receives.</t>
  </si>
  <si>
    <t>Misty Surge</t>
  </si>
  <si>
    <t>Misty Terrain is activated at start of battle.</t>
  </si>
  <si>
    <t>Turns the ground into Misty Terrain when the Pokémon enters a battle.</t>
  </si>
  <si>
    <t>Mold Breaker</t>
  </si>
  <si>
    <t>Moves can be on foes regardless of its Abilities.</t>
  </si>
  <si>
    <t>Moves can be used on the target regardless of its Abilities.</t>
  </si>
  <si>
    <t>Moody</t>
  </si>
  <si>
    <t>At start of your turn, one random stat +2 and one random stat -1 (all temp, roll d6)</t>
  </si>
  <si>
    <t>Raises one stat sharply and lowers another every turn.</t>
  </si>
  <si>
    <t>Motor Drive</t>
  </si>
  <si>
    <t>SPE +2 if hit by electric move instead of taking damage.</t>
  </si>
  <si>
    <t>Boosts its Speed stat if hit by an Electric-type move instead of taking damage.</t>
  </si>
  <si>
    <t>Moxie</t>
  </si>
  <si>
    <t>If you KO foe, ATT +2.</t>
  </si>
  <si>
    <t>The Pokémon shows moxie, and that boosts the Attack stat after knocking out any Pokémon.</t>
  </si>
  <si>
    <t>Multiscale</t>
  </si>
  <si>
    <t>If attacked while having full HP, take d6 less damage (after calculations)</t>
  </si>
  <si>
    <t>Reduces the amount of damage the Pokémon takes while its HP is full.</t>
  </si>
  <si>
    <t>Multitype</t>
  </si>
  <si>
    <t>Your type matches the plate/z-crystal/item you hold.</t>
  </si>
  <si>
    <t>Changes the Pokémon's type to match the Plate or Z-Crystal it holds.</t>
  </si>
  <si>
    <t>Mummy</t>
  </si>
  <si>
    <t>Contact with you changes foe's ability to Mummy.</t>
  </si>
  <si>
    <t>Contact with the Pokémon changes the attacker's Ability to Mummy.</t>
  </si>
  <si>
    <t>Mycelium Might</t>
  </si>
  <si>
    <t>If you use a status move, go last on the next turn. Your status moves are unaffected by foe abilities.</t>
  </si>
  <si>
    <t>Natural Cure</t>
  </si>
  <si>
    <t>Status conditions that would normally linger after battle heal up.</t>
  </si>
  <si>
    <t>All status conditions heal when the Pokémon switches out.</t>
  </si>
  <si>
    <t>Neuroforce</t>
  </si>
  <si>
    <t>Supereffective moves do d4 more damage (after damage calculations).</t>
  </si>
  <si>
    <t>Powers up moves that are super effective.</t>
  </si>
  <si>
    <t>Neutralizing Gas</t>
  </si>
  <si>
    <t>All abilities are negated.</t>
  </si>
  <si>
    <t>If the Pokémon with Neutralizing Gas is in the battle, the effects of all Pokémon's Abilities will be nullified or will not be triggered.</t>
  </si>
  <si>
    <t>No Guard</t>
  </si>
  <si>
    <t>No acc rolls for battles involving you.</t>
  </si>
  <si>
    <t>The Pokémon employs no-guard tactics to ensure incoming and outgoing attacks always land.</t>
  </si>
  <si>
    <t>Normalize</t>
  </si>
  <si>
    <t>All of your moves are normal type. Damage base for all are +1</t>
  </si>
  <si>
    <t>All the Pokémon's moves become Normal type. The power of those moves is boosted a little.</t>
  </si>
  <si>
    <t>Oblivious</t>
  </si>
  <si>
    <t>You cannot be infatuated, taunted, or intimidated.</t>
  </si>
  <si>
    <t>The Pokémon is oblivious, and that keeps it from being infatuated or falling for taunts.</t>
  </si>
  <si>
    <t>Opportunist</t>
  </si>
  <si>
    <t>If foe raises stat, you can raise the same stat.</t>
  </si>
  <si>
    <t>Orichalcum Pulse</t>
  </si>
  <si>
    <t>When battle begins, activate harsh sunlight. ATT +2 if harsh sunlight is active.</t>
  </si>
  <si>
    <t>Overcoat</t>
  </si>
  <si>
    <t>You are unaffected by sand, hail, and powder (this is not the same as spores)</t>
  </si>
  <si>
    <t>Protects the Pokémon from things like sand, hail, and powder.</t>
  </si>
  <si>
    <t>Overgrow</t>
  </si>
  <si>
    <t>If your HP is &lt;25%, grass moves have 2 higher damage base.</t>
  </si>
  <si>
    <t>Powers up Grass-type moves when the Pokémon's HP is low.</t>
  </si>
  <si>
    <t>Own Tempo</t>
  </si>
  <si>
    <t>You cannot be confused or intimidated.</t>
  </si>
  <si>
    <t>This Pokémon has its own tempo, and that prevents it from becoming confused.</t>
  </si>
  <si>
    <t>Parental Bond</t>
  </si>
  <si>
    <t>After your successful attack, roll d8 additional damage (as your child's attack).</t>
  </si>
  <si>
    <t>Parent and child each attacks.</t>
  </si>
  <si>
    <t>Pastel Veil</t>
  </si>
  <si>
    <t>You and your team cannot be poisoned.</t>
  </si>
  <si>
    <t>Protects the Pokémon and its ally Pokémon from being poisoned.</t>
  </si>
  <si>
    <t>Perish Body</t>
  </si>
  <si>
    <t>If hit by a physical move, you and that foe have three rounds before you both faint. One of the two must faint for this effect to disappear.</t>
  </si>
  <si>
    <t>When hit by a move that makes direct contact, the Pokémon and the attacker will faint after three turns unless they switch out of battle.</t>
  </si>
  <si>
    <t>Pickpocket</t>
  </si>
  <si>
    <t>If hit by a physical move, you may steal an item from the foe (if you are not holding one)</t>
  </si>
  <si>
    <t>Steals an item from an attacker that made direct contact.</t>
  </si>
  <si>
    <t>Pickup</t>
  </si>
  <si>
    <t>You will always leave a dungeon with an extra item (remind GM). Roll d100 (larger = rarer).</t>
  </si>
  <si>
    <t>The Pokémon may pick up the item an opposing Pokémon used during a battle. It may pick up items outside of battle, too.</t>
  </si>
  <si>
    <t>Pixilate</t>
  </si>
  <si>
    <t>Normal type moves become fairy type moves. Damage base increases by 1.</t>
  </si>
  <si>
    <t>Normal-type moves become Fairy-type moves. The power of those moves is boosted a little.</t>
  </si>
  <si>
    <t>Plus</t>
  </si>
  <si>
    <t>If ally has Plus or Minus ability, SPA +2 .</t>
  </si>
  <si>
    <t>Poison Heal</t>
  </si>
  <si>
    <t>If you are poisoned, heal HP instead of damage HP (roll poison dice).</t>
  </si>
  <si>
    <t>Restores HP if the Pokémon is poisoned instead of losing HP.</t>
  </si>
  <si>
    <t>Poison Point</t>
  </si>
  <si>
    <t>Roll d10 when hit by an attack. If result is 8,9,0, foe is poisoned.</t>
  </si>
  <si>
    <t>Contact with the Pokémon may poison the attacker.</t>
  </si>
  <si>
    <t>Poison Puppeteer</t>
  </si>
  <si>
    <t>If foe is poisoned by one of your moves, foe is also confused.</t>
  </si>
  <si>
    <t>Poison Touch</t>
  </si>
  <si>
    <t>Roll d10 when foe makes contact with you. If result is 8,9,0, foe is poisoned.</t>
  </si>
  <si>
    <t>May poison a target when the Pokémon makes contact.</t>
  </si>
  <si>
    <t>Power Construct</t>
  </si>
  <si>
    <t>If HP &lt;=50%, change to Complete Forme.</t>
  </si>
  <si>
    <t>Other Cells gather to aid when its HP becomes half or less. Then the Pokémon changes its form to Complete Forme.</t>
  </si>
  <si>
    <t>Power of Alchemy</t>
  </si>
  <si>
    <t>Replace this ability with KO'd ally ability (once per battle, temp).</t>
  </si>
  <si>
    <t>The Pokémon copies the Ability of a defeated ally.</t>
  </si>
  <si>
    <t>Power Spot</t>
  </si>
  <si>
    <t>Allies directly before/after you in initiative order get +2 damage base to all of their moves.</t>
  </si>
  <si>
    <t>Just being next to the Pokémon powers up moves.</t>
  </si>
  <si>
    <t>Prankster</t>
  </si>
  <si>
    <t>If using a status move, you go first. Else, go by initiative.</t>
  </si>
  <si>
    <t>Gives priority to a status move.</t>
  </si>
  <si>
    <t>Pressure</t>
  </si>
  <si>
    <t>The belly decrease from using moves is doubled for all foes.</t>
  </si>
  <si>
    <t>By putting pressure on the opposing Pokémon, it raises their PP usage.</t>
  </si>
  <si>
    <t>Primordial Sea</t>
  </si>
  <si>
    <t>Fire type moves instantly fail.</t>
  </si>
  <si>
    <t>The Pokémon changes the weather to nullify Fire-type attacks.</t>
  </si>
  <si>
    <t>Prism Armor</t>
  </si>
  <si>
    <t>Super-effective attacks deal d8 less damage (after damage calc).</t>
  </si>
  <si>
    <t>Propeller Tail</t>
  </si>
  <si>
    <t>If you aim at a target, your attack cannot be re-directed (think Follow-Me, Lightning Rod)</t>
  </si>
  <si>
    <t>Ignores the effects of opposing Pokémon's Abilities and moves that draw in moves.</t>
  </si>
  <si>
    <t>Protean</t>
  </si>
  <si>
    <t>Protosynthesis</t>
  </si>
  <si>
    <t>If harsh sunlight, or if holding Booster Energy, +2 to your highest stat (not HP)</t>
  </si>
  <si>
    <t>Psychic Surge</t>
  </si>
  <si>
    <t>Psychic Terrain is activated at start of battle.</t>
  </si>
  <si>
    <t>Turns the ground into Psychic Terrain when the Pokémon enters a battle.</t>
  </si>
  <si>
    <t>Punk Rock</t>
  </si>
  <si>
    <t>Your sound base moves +2 damage base. You also take d10 less damage from sound based moves (after calc)</t>
  </si>
  <si>
    <t>Boosts the power of sound-based moves. The Pokémon also takes half the damage from these kinds of moves.</t>
  </si>
  <si>
    <t>Pure Power</t>
  </si>
  <si>
    <t>Using its pure power, the Pokémon doubles its Attack stat.</t>
  </si>
  <si>
    <t>Purifying Salt</t>
  </si>
  <si>
    <t>Cannot be effected by status condition. Ghost moves deal resisted damage to you.</t>
  </si>
  <si>
    <t>Quark Drive</t>
  </si>
  <si>
    <t>If Electric Terrain, or if holding Booster Energy, +2 to your highest stat (not HP)</t>
  </si>
  <si>
    <t>Queenly Majesty</t>
  </si>
  <si>
    <t>Foes cannot change initiative order.</t>
  </si>
  <si>
    <t>Its majesty pressures the opposing Pokémon, making it unable to attack using priority moves.</t>
  </si>
  <si>
    <t>Quick Draw</t>
  </si>
  <si>
    <t>At start of each round, roll d20. If 16+, you go first.</t>
  </si>
  <si>
    <t>Quick Feet</t>
  </si>
  <si>
    <t xml:space="preserve">If you have a status condition, SPE +2 </t>
  </si>
  <si>
    <t>Boosts the Speed stat if the Pokémon has a status condition.</t>
  </si>
  <si>
    <t>Rain Dish</t>
  </si>
  <si>
    <t>HP increases by d4 when raining.</t>
  </si>
  <si>
    <t>The Pokémon gradually regains HP in rain.</t>
  </si>
  <si>
    <t>Rattled</t>
  </si>
  <si>
    <t xml:space="preserve">If hit by a Dark, Ghost, or Bug move, or intimidated, SPE +2 </t>
  </si>
  <si>
    <t>Dark-, Ghost-, and Bug-type moves scare the Pokémon and boost its Speed stat.</t>
  </si>
  <si>
    <t>Receiver</t>
  </si>
  <si>
    <t>You can change ability to that of a defeated ally (once per battle)</t>
  </si>
  <si>
    <t>Reckless</t>
  </si>
  <si>
    <t>If the move would deal recoil damage, damage base +2</t>
  </si>
  <si>
    <t>Powers up moves that have recoil damage.</t>
  </si>
  <si>
    <t>Refrigerate</t>
  </si>
  <si>
    <t>Normal type moves become Ice type moves. +1 Damage base to these moves.</t>
  </si>
  <si>
    <t>Normal-type moves become Ice-type moves. The power of those moves is boosted a little.</t>
  </si>
  <si>
    <t>Regenerator</t>
  </si>
  <si>
    <t>Heal d4 HP at the end of each of your turns.</t>
  </si>
  <si>
    <t>Restores a little HP when withdrawn from battle.</t>
  </si>
  <si>
    <t>Ripen</t>
  </si>
  <si>
    <t>When you eat an item, its effect is doubled for you.</t>
  </si>
  <si>
    <t>Ripens Berries and doubles their effect.</t>
  </si>
  <si>
    <t>Rivalry</t>
  </si>
  <si>
    <t>If foe is same type as you, damage base +2.</t>
  </si>
  <si>
    <t>Becomes competitive and deals more damage to Pokémon of the same gender, but deals less to Pokémon of the opposite gender.</t>
  </si>
  <si>
    <t>RKS System</t>
  </si>
  <si>
    <t>Your type is the same as the memory disc you hold.</t>
  </si>
  <si>
    <t>Changes the Pokémon's type to match the memory disc it holds.</t>
  </si>
  <si>
    <t>Rock Head</t>
  </si>
  <si>
    <t>If the move would deal recoil damage, ignore recoil.</t>
  </si>
  <si>
    <t>Protects the Pokémon from recoil damage.</t>
  </si>
  <si>
    <t>Rocky Payload</t>
  </si>
  <si>
    <t>If using Rock type move, add d8 damage after all damage calculations.</t>
  </si>
  <si>
    <t>Rough Skin</t>
  </si>
  <si>
    <t>If foe hits you with a physical attack, foe takes d4 damage.</t>
  </si>
  <si>
    <t>This Pokémon inflicts damage with its rough skin to the attacker on contact.</t>
  </si>
  <si>
    <t>Run Away</t>
  </si>
  <si>
    <t>After initiative roll, change your initiative to be 1 greater than fastest foe (or max SPE, whichever is smaller)</t>
  </si>
  <si>
    <t>Enables a sure getaway from wild Pokémon.</t>
  </si>
  <si>
    <t>Sand Force</t>
  </si>
  <si>
    <t>Rock, Ground, and Steel moves all gain +2 damage base in sandstorm</t>
  </si>
  <si>
    <t>Boosts the power of Rock-, Ground-, and Steel-type moves in a sandstorm.</t>
  </si>
  <si>
    <t>Sand Rush</t>
  </si>
  <si>
    <t>SPE +2 if in a sandstorm.</t>
  </si>
  <si>
    <t>Boosts the Pokémon's Speed stat in a sandstorm.</t>
  </si>
  <si>
    <t>Sand Spit</t>
  </si>
  <si>
    <t>If hit by an attack, sandstorm activates.</t>
  </si>
  <si>
    <t>The Pokémon creates a sandstorm when it's hit by an attack.</t>
  </si>
  <si>
    <t>Sand Stream</t>
  </si>
  <si>
    <t>You create a sandstorm when entering battle.</t>
  </si>
  <si>
    <t>The Pokémon summons a sandstorm when it enters a battle.</t>
  </si>
  <si>
    <t>Sand Veil</t>
  </si>
  <si>
    <t>Acc +1 for foes attacking you when in a sandstorm.</t>
  </si>
  <si>
    <t>Boosts the Pokémon's evasiveness in a sandstorm.</t>
  </si>
  <si>
    <t>Sap Sipper</t>
  </si>
  <si>
    <t>If hit by a grass move, ATT +2 and you take no damage.</t>
  </si>
  <si>
    <t>Boosts the Attack stat if hit by a Grass-type move instead of taking damage.</t>
  </si>
  <si>
    <t>Schooling</t>
  </si>
  <si>
    <t>If HP &gt;50%, in school mode. If under, solo mode.</t>
  </si>
  <si>
    <t>When it has a lot of HP, the Pokémon forms a powerful school. It stops schooling when its HP is low.</t>
  </si>
  <si>
    <t>Scrappy</t>
  </si>
  <si>
    <t>You can hit ghost types with normal and fighting moves. Unaffected by intimidate.</t>
  </si>
  <si>
    <t>The Pokémon can hit Ghost-type Pokémon with Normal- and Fighting-type moves.</t>
  </si>
  <si>
    <t>Screen Cleaner</t>
  </si>
  <si>
    <t>Light Screen, Reflect, and Aurora Veil are nullified for both allies and foes.</t>
  </si>
  <si>
    <t>When the Pokémon enters a battle, the effects of Light Screen, Reflect, and Aurora Veil are nullified for both opposing and ally Pokémon.</t>
  </si>
  <si>
    <t>Seed Sower</t>
  </si>
  <si>
    <t>If hit by attack, activate Grassy Terrain.</t>
  </si>
  <si>
    <t>Serene Grace</t>
  </si>
  <si>
    <t>For all effect rolls, -1. More likely for effect to occur.</t>
  </si>
  <si>
    <t>Boosts the likelihood of additional effects occurring when attacking.</t>
  </si>
  <si>
    <t>Shadow Shield</t>
  </si>
  <si>
    <t>If you have full HP and are hit by an attack, damage -d6.</t>
  </si>
  <si>
    <t>Shadow Tag</t>
  </si>
  <si>
    <t>Foes cannot escape.</t>
  </si>
  <si>
    <t>This Pokémon steps on the opposing Pokémon's shadow to prevent it from escaping.</t>
  </si>
  <si>
    <t>Sharpness</t>
  </si>
  <si>
    <t>If using slicing move, damage base +2</t>
  </si>
  <si>
    <t>Shed Skin</t>
  </si>
  <si>
    <t>Roll d4 die if you want to clear a status condition. If result is 4, clear it.</t>
  </si>
  <si>
    <t>The Pokémon may heal its own status conditions by shedding its skin.</t>
  </si>
  <si>
    <t>Sheer Force</t>
  </si>
  <si>
    <t>Remove additional effects from your moves to increase damage base by 3.</t>
  </si>
  <si>
    <t>Removes additional effects to increase the power of moves when attacking.</t>
  </si>
  <si>
    <t>Shell Armor</t>
  </si>
  <si>
    <t>A hard shell protects the Pokémon from critical hits.</t>
  </si>
  <si>
    <t>Shield Dust</t>
  </si>
  <si>
    <t>You cannot be affected by "additional effects"</t>
  </si>
  <si>
    <t>This Pokémon's dust blocks the additional effects of attacks taken.</t>
  </si>
  <si>
    <t>Shields Down</t>
  </si>
  <si>
    <t>If HP &lt;=50%, you are in Core Mode. Otherwise, in Meteor Mode. Cannot be affected by status while in Meteor Mode.</t>
  </si>
  <si>
    <t>When its HP becomes half or less, the Pokémon's shell breaks and it becomes aggressive.</t>
  </si>
  <si>
    <t>Simple</t>
  </si>
  <si>
    <t>Any stat changes via moves or abilities involving you are doubled.</t>
  </si>
  <si>
    <t>The stat changes the Pokémon receives are doubled.</t>
  </si>
  <si>
    <t>Skill Link</t>
  </si>
  <si>
    <t>Multistrike moves always hit maximum times.</t>
  </si>
  <si>
    <t>Maximizes the number of times multistrike moves hit.</t>
  </si>
  <si>
    <t>Slow Start</t>
  </si>
  <si>
    <t>ATT and SPE -10 for 5 rounds.</t>
  </si>
  <si>
    <t>For five turns, the Pokémon's Attack and Speed stats are halved.</t>
  </si>
  <si>
    <t>Slush Rush</t>
  </si>
  <si>
    <t>If weather is hail, SPE +2.</t>
  </si>
  <si>
    <t>Boosts the Pokémon's Speed stat in a hailstorm.</t>
  </si>
  <si>
    <t>Sniper</t>
  </si>
  <si>
    <t>If move is critical hit, damage base +1.</t>
  </si>
  <si>
    <t>Powers up moves if they become critical hits when attacking.</t>
  </si>
  <si>
    <t>Snow Cloak</t>
  </si>
  <si>
    <t>Acc +1 for foes attacking you when in a hailstorm</t>
  </si>
  <si>
    <t>Boosts evasiveness in a hailstorm.</t>
  </si>
  <si>
    <t>Snow Warning</t>
  </si>
  <si>
    <t>You summon a hailstorm when battle begins.</t>
  </si>
  <si>
    <t>The Pokémon summons a hailstorm when it enters a battle.</t>
  </si>
  <si>
    <t>Solar Power</t>
  </si>
  <si>
    <t>SPA +3 in sunlight, but HP decreases by d4 each turn.</t>
  </si>
  <si>
    <t>Boosts the Sp. Atk stat in harsh sunlight, but HP decreases every turn.</t>
  </si>
  <si>
    <t>Solid Rock</t>
  </si>
  <si>
    <t>Supereffective moves do d6 less damage (after calculation)</t>
  </si>
  <si>
    <t>Soul-Heart</t>
  </si>
  <si>
    <t xml:space="preserve">SPA +2 when a PKMN faints. </t>
  </si>
  <si>
    <t>Boosts its Sp. Atk stat every time a Pokémon faints.</t>
  </si>
  <si>
    <t>Soundproof</t>
  </si>
  <si>
    <t>Soundproofing gives the Pokémon full immunity to all sound-based moves.</t>
  </si>
  <si>
    <t>Speed Boost</t>
  </si>
  <si>
    <t xml:space="preserve">SPE +2 each turn. </t>
  </si>
  <si>
    <t>Its Speed stat is boosted every turn.</t>
  </si>
  <si>
    <t>Stakeout</t>
  </si>
  <si>
    <t>If you attack a different foe from last turn, damage base +2.</t>
  </si>
  <si>
    <t>Doubles the damage dealt to the target's replacement if the target switches out.</t>
  </si>
  <si>
    <t>Stall</t>
  </si>
  <si>
    <t>You always go last, regardless of initiative.</t>
  </si>
  <si>
    <t>The Pokémon moves after all other Pokémon do.</t>
  </si>
  <si>
    <t>Stalwart</t>
  </si>
  <si>
    <t>Stamina</t>
  </si>
  <si>
    <t xml:space="preserve">If hit by an attack, DEF +2 </t>
  </si>
  <si>
    <t>Boosts the Defense stat when hit by an attack.</t>
  </si>
  <si>
    <t>Stance Change</t>
  </si>
  <si>
    <t>When using attack move, Blade Forme. When using King's Shield, Shield Forme.</t>
  </si>
  <si>
    <t>The Pokémon changes its form to Blade Forme when it uses an attack move and changes to Shield Forme when it uses King's Shield.</t>
  </si>
  <si>
    <t>Static</t>
  </si>
  <si>
    <t>If foe attacks with physical move, roll d10. If result is 8,9,0, foe is paralyzed.</t>
  </si>
  <si>
    <t>The Pokémon is charged with static electricity, so contact with it may cause paralysis.</t>
  </si>
  <si>
    <t>Steadfast</t>
  </si>
  <si>
    <t xml:space="preserve">Each time you flinch/cringe, SPE +2 </t>
  </si>
  <si>
    <t>The Pokémon's determination boosts the Speed stat each time the Pokémon flinches.</t>
  </si>
  <si>
    <t>Steam Engine</t>
  </si>
  <si>
    <t xml:space="preserve">If hit by a water or fire move, SPE +2 </t>
  </si>
  <si>
    <t>Boosts the Pokémon's Speed stat drastically if hit by a Fire- or Water-type move.</t>
  </si>
  <si>
    <t>Steelworker</t>
  </si>
  <si>
    <t>All of your steel moves +2 damage base.</t>
  </si>
  <si>
    <t>Powers up Steel-type moves.</t>
  </si>
  <si>
    <t>Steely Spirit</t>
  </si>
  <si>
    <t>All of your and your allies' steel moves +2 damage base.</t>
  </si>
  <si>
    <t>Powers up ally Pokémon's Steel-type moves.</t>
  </si>
  <si>
    <t>Stench</t>
  </si>
  <si>
    <t>Roll d10 after damage. If result is 0, foe is flinched next turn.</t>
  </si>
  <si>
    <t>By releasing stench when attacking, this Pokémon may cause the target to flinch.</t>
  </si>
  <si>
    <t>Sticky Hold</t>
  </si>
  <si>
    <t>Foes cannot take items from you (they can take from your bag, however)</t>
  </si>
  <si>
    <t>Items held by the Pokémon are stuck fast and cannot be removed by other Pokémon.</t>
  </si>
  <si>
    <t>Storm Drain</t>
  </si>
  <si>
    <t xml:space="preserve">Draws in all water moves. Afterwards, ignore damage on water moves and SPA +2 </t>
  </si>
  <si>
    <t>Draws in all Water-type moves. Instead of being hit by Water-type moves, it boosts its Sp. Atk.</t>
  </si>
  <si>
    <t>Strong Jaw</t>
  </si>
  <si>
    <t>If using a biting move, damage base +2.</t>
  </si>
  <si>
    <t>The Pokémon's strong jaw boosts the power of its biting moves.</t>
  </si>
  <si>
    <t>Sturdy</t>
  </si>
  <si>
    <t>If HP is full, you cannot be knocked out by one hit. One-hit KO moves will fail on you.</t>
  </si>
  <si>
    <t>It cannot be KO with one hit. One-hit KO moves cannot knock it out, either.</t>
  </si>
  <si>
    <t>Suction Cups</t>
  </si>
  <si>
    <t>Moves/items that force retreat will not work.</t>
  </si>
  <si>
    <t>This Pokémon uses suction cups to stay in one spot to negate all moves and items that force switching out.</t>
  </si>
  <si>
    <t>Super Luck</t>
  </si>
  <si>
    <t>Critical-hit ratios for you are 1 number larger than oiginal.</t>
  </si>
  <si>
    <t>The Pokémon is so lucky that the critical-hit ratios of its moves are boosted.</t>
  </si>
  <si>
    <t>Supersweet Syrup</t>
  </si>
  <si>
    <t>Activates at start of battle. Your accuracy rolls to attack any current foe is -1.</t>
  </si>
  <si>
    <t>Supreme Overlord</t>
  </si>
  <si>
    <t>When battle begins, +X ATT &amp; SPA for each fainted ally.</t>
  </si>
  <si>
    <t>Surge Surfer</t>
  </si>
  <si>
    <t>Add Base SPE as Temp SPE on Electric Terrain.</t>
  </si>
  <si>
    <t>Doubles the Pokémon's Speed stat on Electric Terrain.</t>
  </si>
  <si>
    <t>Swarm</t>
  </si>
  <si>
    <t>If your HP is &lt;25%, bug moves have 2 higher damage base.</t>
  </si>
  <si>
    <t>Powers up Bug-type moves when the Pokémon's HP is low.</t>
  </si>
  <si>
    <t>Sweet Veil</t>
  </si>
  <si>
    <t>Your team cannot fall asleep.</t>
  </si>
  <si>
    <t>Prevents itself and ally Pokémon from falling asleep.</t>
  </si>
  <si>
    <t>Swift Swim</t>
  </si>
  <si>
    <t xml:space="preserve">SPE +2 while in rain. </t>
  </si>
  <si>
    <t>Boosts the Pokémon's Speed stat in rain.</t>
  </si>
  <si>
    <t>Sword of Ruin</t>
  </si>
  <si>
    <t>When battle begins, all Pokemon (except you) lose 2 DEF</t>
  </si>
  <si>
    <t>Symbiosis</t>
  </si>
  <si>
    <t>If ally has used an item in this battle, you can give one to them as a "free action"</t>
  </si>
  <si>
    <t>The Pokémon passes its item to an ally that has used up an item.</t>
  </si>
  <si>
    <t>Synchronize</t>
  </si>
  <si>
    <t>If you are burned, poisoned, or paraylzed, the foe recieves the same status condition.</t>
  </si>
  <si>
    <t>The attacker will receive the same status condition if it inflicts a burn, poison, or paralysis to the Pokémon.</t>
  </si>
  <si>
    <t>Tablets of Ruin</t>
  </si>
  <si>
    <t>When battle begins, all Pokemon (except you) lose 2 ATT</t>
  </si>
  <si>
    <t>Tangled Feet</t>
  </si>
  <si>
    <t>If you are confused, foe's acc +1 for all moves.</t>
  </si>
  <si>
    <t>Raises evasiveness if the Pokémon is confused.</t>
  </si>
  <si>
    <t>Tangling Hair</t>
  </si>
  <si>
    <t>If foe hits you with a physical move, foe's SPE -2.</t>
  </si>
  <si>
    <t>Technician</t>
  </si>
  <si>
    <t>If damage base for a move is 6 or lower, damage base +2.</t>
  </si>
  <si>
    <t>Powers up the Pokémon's weaker moves.</t>
  </si>
  <si>
    <t>Telepathy</t>
  </si>
  <si>
    <t>If an ally attacks you in any way, you dodge it (confusion, Surf, etc.)</t>
  </si>
  <si>
    <t>Anticipates an ally's attack and dodges it.</t>
  </si>
  <si>
    <t>Tera Shell</t>
  </si>
  <si>
    <t>If at full HP, any damaging move deals not very effective damage.</t>
  </si>
  <si>
    <t>Tera Shift</t>
  </si>
  <si>
    <t>When battle begins, immediately Terastalize.</t>
  </si>
  <si>
    <t>Teraform Zero</t>
  </si>
  <si>
    <t>If in Stellar Form, eliminate all effects of weather &amp; terrain.</t>
  </si>
  <si>
    <t>Teravolt</t>
  </si>
  <si>
    <t>You can use moves on the target ignoring its abilities.</t>
  </si>
  <si>
    <t>Thermal Exchange</t>
  </si>
  <si>
    <t>If hit by Fire type move, ATT +2. You cannot be burned.</t>
  </si>
  <si>
    <t>Thick Fat</t>
  </si>
  <si>
    <t>Fire and Ice moves do d10 less damage to you (after damage calc).</t>
  </si>
  <si>
    <t>The Pokémon is protected by a layer of thick fat, which halves the damage taken from Fire- and Ice-type moves.</t>
  </si>
  <si>
    <t>Tinted Lens</t>
  </si>
  <si>
    <t>All "not very effective" moves you use do regular damage instead.</t>
  </si>
  <si>
    <t>The Pokémon can use "not very effective" moves to deal regular damage.</t>
  </si>
  <si>
    <t>Torrent</t>
  </si>
  <si>
    <t>If your HP is &lt;25%, water moves have 2 higher damage base.</t>
  </si>
  <si>
    <t>Powers up Water-type moves when the Pokémon's HP is low.</t>
  </si>
  <si>
    <t>Tough Claws</t>
  </si>
  <si>
    <t xml:space="preserve">Physical moves get +1 damage base </t>
  </si>
  <si>
    <t>Powers up moves that make direct contact.</t>
  </si>
  <si>
    <t>Toxic Boost</t>
  </si>
  <si>
    <t>If poisoned, ATT +2.</t>
  </si>
  <si>
    <t>Powers up physical attacks when the Pokémon is poisoned.</t>
  </si>
  <si>
    <t>Toxic Chain</t>
  </si>
  <si>
    <t>After your damaging attack, roll d20. If 15+, foe is badly poisoned.</t>
  </si>
  <si>
    <t>Toxic Debris</t>
  </si>
  <si>
    <t>If hit by physical move, toxic spikes activates on foes field.</t>
  </si>
  <si>
    <t>Trace</t>
  </si>
  <si>
    <t>At beginning of battle, roll die based on number of allies + foes. You get ability of that roll's PKMN.</t>
  </si>
  <si>
    <t>When it enters a battle, the Pokémon copies an opposing Pokémon's Ability.</t>
  </si>
  <si>
    <t>Transistor</t>
  </si>
  <si>
    <t>Your electric type moves do d8 more damage (after damage roll, before ATT/DEF mods)</t>
  </si>
  <si>
    <t>Triage</t>
  </si>
  <si>
    <t>Your healing moves will go first, regardless of initiative. Then follow initative.</t>
  </si>
  <si>
    <t>Gives priority to a healing move.</t>
  </si>
  <si>
    <t>Truant</t>
  </si>
  <si>
    <t>If you used a move on the last turn, you cannot use one this turn.</t>
  </si>
  <si>
    <t>The Pokémon can't use a move if it had used a move on the previous turn.</t>
  </si>
  <si>
    <t>Turboblaze</t>
  </si>
  <si>
    <t>Unaware</t>
  </si>
  <si>
    <t>When you attack, you ignore all temporary stat changes.</t>
  </si>
  <si>
    <t>When attacking, the Pokémon ignores the target Pokémon's stat changes.</t>
  </si>
  <si>
    <t>Unburden</t>
  </si>
  <si>
    <t xml:space="preserve">If you use/lose a held item, +2 SPE </t>
  </si>
  <si>
    <t>Boosts the Speed stat if the Pokémon's held item is used or lost.</t>
  </si>
  <si>
    <t>Unnerve</t>
  </si>
  <si>
    <t>Foes cannot eat items.</t>
  </si>
  <si>
    <t>Unnerves opposing Pokémon and makes them unable to eat Berries.</t>
  </si>
  <si>
    <t>Unseen Fist</t>
  </si>
  <si>
    <t>If you are making direct contact with foe, ignore foe's protect status.</t>
  </si>
  <si>
    <t>Currently unknown.</t>
  </si>
  <si>
    <t>Vessel of Ruin</t>
  </si>
  <si>
    <t>When battle begins, all Pokemon (except you) lose 2 SPA</t>
  </si>
  <si>
    <t>Victory Star</t>
  </si>
  <si>
    <t>All allies and yourself get -1 acc (so you can roll a lower number to be accurate)</t>
  </si>
  <si>
    <t>Boosts the accuracy of its allies and itself.</t>
  </si>
  <si>
    <t>Vital Spirit</t>
  </si>
  <si>
    <t>You cannot fall asleep.</t>
  </si>
  <si>
    <t>The Pokémon is full of vitality, and that prevents it from falling asleep.</t>
  </si>
  <si>
    <t>Volt Absorb</t>
  </si>
  <si>
    <t>If hit by an electric move, HP increases by "damage" instead.</t>
  </si>
  <si>
    <t>Restores HP if hit by an Electric-type move instead of taking damage.</t>
  </si>
  <si>
    <t>Wandering Spirit</t>
  </si>
  <si>
    <t>If you hit a foe with a physical attack, you change abilities with the foe.</t>
  </si>
  <si>
    <t>The Pokémon exchanges Abilities with a Pokémon that hits it with a move that makes direct contact.</t>
  </si>
  <si>
    <t>Water Absorb</t>
  </si>
  <si>
    <t>If hit by a water move, HP increases by "damage" instead.</t>
  </si>
  <si>
    <t>Restores HP if hit by a Water-type move instead of taking damage.</t>
  </si>
  <si>
    <t>Water Bubble</t>
  </si>
  <si>
    <t>Fire-type moves do d4 less damage (after damage calc). You also cannot be burned.</t>
  </si>
  <si>
    <t>Lowers the power of Fire-type moves done to the Pokémon and prevents the Pokémon from getting a burn.</t>
  </si>
  <si>
    <t>Water Compaction</t>
  </si>
  <si>
    <t>If hit by a water move, DEF +4</t>
  </si>
  <si>
    <t>Boosts the Pokémon's Defense stat sharply when hit by a Water-type move.</t>
  </si>
  <si>
    <t>Water Veil</t>
  </si>
  <si>
    <t>You cannot be burned.</t>
  </si>
  <si>
    <t>The Pokémon is covered with a water veil, which prevents the Pokémon from getting a burn.</t>
  </si>
  <si>
    <t>Weak Armor</t>
  </si>
  <si>
    <t>If hit with a physical attack, DEF -2 and SPE +4</t>
  </si>
  <si>
    <t>Physical attacks to the Pokémon lower its Defense stat but sharply raise its Speed stat.</t>
  </si>
  <si>
    <t>Well-Baked Body</t>
  </si>
  <si>
    <t>If hit by fire type move, take immunity damage and +4 DEF.</t>
  </si>
  <si>
    <t>White Smoke</t>
  </si>
  <si>
    <t>Other Pokemon cannot lower your stats.</t>
  </si>
  <si>
    <t>The Pokémon is protected by its white smoke, which prevents other Pokémon from lowering its stats.</t>
  </si>
  <si>
    <t>Wimp Out</t>
  </si>
  <si>
    <t>If HP &lt;=50%, you cannot attack.</t>
  </si>
  <si>
    <t>The Pokémon cowardly switches out when its HP becomes half or less.</t>
  </si>
  <si>
    <t>Wind Power</t>
  </si>
  <si>
    <t>If damage is dealt by a wind move, your next Electric type move +2 damage base.</t>
  </si>
  <si>
    <t>Wind Rider</t>
  </si>
  <si>
    <t>ATT +2 if Tailwind in effect. If hit by wind move, +2 ATT and take no damage.</t>
  </si>
  <si>
    <t>Wonder Guard</t>
  </si>
  <si>
    <t>Only supereffective moves can hit you.</t>
  </si>
  <si>
    <t>Its mysterious power only lets supereffective moves hit the Pokémon.</t>
  </si>
  <si>
    <t>Wonder Skin</t>
  </si>
  <si>
    <t>Makes status moves more likely to miss. (+1 acc)</t>
  </si>
  <si>
    <t>Makes status moves more likely to miss.</t>
  </si>
  <si>
    <t>Zen Mode</t>
  </si>
  <si>
    <t>If HP &lt;=50%, change shape.</t>
  </si>
  <si>
    <t>Changes the Pokémon's shape when HP is half or less.</t>
  </si>
  <si>
    <t>Zero to Hero</t>
  </si>
  <si>
    <t>Once per battle, at start of round, choose to go last. On your turn, transform into Hero Form.</t>
  </si>
  <si>
    <t>trans</t>
  </si>
  <si>
    <t>Ban Seed</t>
  </si>
  <si>
    <t>Disables last move used for d4 turns</t>
  </si>
  <si>
    <t>Blast Seed</t>
  </si>
  <si>
    <t>Deals d10 damage to foe</t>
  </si>
  <si>
    <t>Blinker Seed</t>
  </si>
  <si>
    <t>Unable to see for d4 turns, roll d8 for direction of attack</t>
  </si>
  <si>
    <t>Doom Seed</t>
  </si>
  <si>
    <t>Drops random stat by 1 until you leave the dungeon</t>
  </si>
  <si>
    <t>Decoy Seed</t>
  </si>
  <si>
    <t>Infatuated for d4 turns</t>
  </si>
  <si>
    <t>Encourage Seed</t>
  </si>
  <si>
    <t>Roll d4, moves always hit and crit rate boosted for that many turns</t>
  </si>
  <si>
    <t>Energy Seed</t>
  </si>
  <si>
    <t>Heals to max &amp; roll d10. HP goes over max until leaving dungeon</t>
  </si>
  <si>
    <t>Eyedrop Seed</t>
  </si>
  <si>
    <t>Able to see everything, even things that are hiding, until you leave the dungeon</t>
  </si>
  <si>
    <t>Famous Seed</t>
  </si>
  <si>
    <t>Does nothing, but is famous anyway</t>
  </si>
  <si>
    <t>Golden Seed</t>
  </si>
  <si>
    <t>Gain 3 points for stats (your choice) permanently</t>
  </si>
  <si>
    <t>Heal Seed</t>
  </si>
  <si>
    <t>Cures all status ailments</t>
  </si>
  <si>
    <t>Hunger Seed</t>
  </si>
  <si>
    <t>Hunger status</t>
  </si>
  <si>
    <t>Joy Seed</t>
  </si>
  <si>
    <t>Gain 1 point for stat (your choice) permanently</t>
  </si>
  <si>
    <t>Life Seed</t>
  </si>
  <si>
    <t>Gain 1 point for HP permanently</t>
  </si>
  <si>
    <t>Plain Seed</t>
  </si>
  <si>
    <t>Does nothing</t>
  </si>
  <si>
    <t>Pure Seed</t>
  </si>
  <si>
    <t>Warp straight to stairs</t>
  </si>
  <si>
    <t>Quick Seed</t>
  </si>
  <si>
    <t>Gain 1 point in speed (temporary)</t>
  </si>
  <si>
    <t>Reviver Seed</t>
  </si>
  <si>
    <t>Revives PKMN that faints, all PP, HP, etc return. Becomes a Plain Seed</t>
  </si>
  <si>
    <t>Sleep Seed</t>
  </si>
  <si>
    <t>Inflicts Sleep status</t>
  </si>
  <si>
    <t>Soothing Seed</t>
  </si>
  <si>
    <t>Resets stat changes via battle (like Growl, Double Team, etc.)</t>
  </si>
  <si>
    <t>Stun Seed</t>
  </si>
  <si>
    <t>Inflicts Petrified status</t>
  </si>
  <si>
    <t>Tiny Reviver Seed</t>
  </si>
  <si>
    <t>Revives PKMN that faints. Turns into a Plain Seed</t>
  </si>
  <si>
    <t>Totter Seed</t>
  </si>
  <si>
    <t>Inflicts Confused status</t>
  </si>
  <si>
    <t>Training Seed</t>
  </si>
  <si>
    <t>At end of dungeon, gain 1 extra EXP for each PKMN you defeated</t>
  </si>
  <si>
    <t>Vanish Seed</t>
  </si>
  <si>
    <t>Cannot be seen, except with those with Eyedrop status for d6 turns</t>
  </si>
  <si>
    <t>Vile Seed</t>
  </si>
  <si>
    <t>Drops DEF and SPD to base, until you leave the dungeon</t>
  </si>
  <si>
    <t>Violent Seed</t>
  </si>
  <si>
    <t>Raises ATT and SPA by 2 each, until you leave the dungeon</t>
  </si>
  <si>
    <t>Warp Seed</t>
  </si>
  <si>
    <t>Randomly warps PKMN to another place in dungeon</t>
  </si>
  <si>
    <t>X-Eye Seed</t>
  </si>
  <si>
    <t>Inflicts Cross-Eyed status</t>
  </si>
  <si>
    <t>Apple</t>
  </si>
  <si>
    <t>Increase belly by d4</t>
  </si>
  <si>
    <t>Big Apple</t>
  </si>
  <si>
    <t>Increase belly by d8</t>
  </si>
  <si>
    <t>Huge Apple</t>
  </si>
  <si>
    <t>Increase belly by d12</t>
  </si>
  <si>
    <t>Golden Apple</t>
  </si>
  <si>
    <t>Increase belly by d20</t>
  </si>
  <si>
    <t>Perfect Apple</t>
  </si>
  <si>
    <t>You will not get hungry through this dungeon</t>
  </si>
  <si>
    <t>Banana</t>
  </si>
  <si>
    <t>Golden Banana</t>
  </si>
  <si>
    <t>You will not get hungry through this dungeon, +5 to any stats (your choice) permanently</t>
  </si>
  <si>
    <t>Chestnut</t>
  </si>
  <si>
    <t>Donut</t>
  </si>
  <si>
    <t>Increase EXP by 15</t>
  </si>
  <si>
    <t>Mini Donut</t>
  </si>
  <si>
    <t>Increase EXP by 5</t>
  </si>
  <si>
    <t>Mega Donut</t>
  </si>
  <si>
    <t>Increase EXP by 50</t>
  </si>
  <si>
    <t>Grimy Food</t>
  </si>
  <si>
    <t>Increase belly by 3 turns. Roll d4 for status (Poison, Petrified, Paralysis, Burn)</t>
  </si>
  <si>
    <t>Four-Leaf Cookie</t>
  </si>
  <si>
    <t>Increase random stat by 1 (roll d6)</t>
  </si>
  <si>
    <t>Sweet Chocolate</t>
  </si>
  <si>
    <t>Black Gummi</t>
  </si>
  <si>
    <t>Blue Gummi</t>
  </si>
  <si>
    <t>Brown Gummi</t>
  </si>
  <si>
    <t>Clear Gummi</t>
  </si>
  <si>
    <t>Gold Gummi</t>
  </si>
  <si>
    <t>Grass Gummi</t>
  </si>
  <si>
    <t>Gray Gummi</t>
  </si>
  <si>
    <t>Green Gummi</t>
  </si>
  <si>
    <t>Orange Gummi</t>
  </si>
  <si>
    <t>Pink Gummi</t>
  </si>
  <si>
    <t>Purple Gummi</t>
  </si>
  <si>
    <t>Red Gummi</t>
  </si>
  <si>
    <t>Royal Gummi</t>
  </si>
  <si>
    <t>Silver Gummi</t>
  </si>
  <si>
    <t>Sky Gummi</t>
  </si>
  <si>
    <t>White Gummi</t>
  </si>
  <si>
    <t>Wonder Gummi</t>
  </si>
  <si>
    <t>Yellow Gummi</t>
  </si>
  <si>
    <t>Cheri Berry</t>
  </si>
  <si>
    <t>Heals paralysis</t>
  </si>
  <si>
    <t>Chesto Berry</t>
  </si>
  <si>
    <t>Heals sleep</t>
  </si>
  <si>
    <t>Oran Berry</t>
  </si>
  <si>
    <t>Heals d8 HP</t>
  </si>
  <si>
    <t>Pecha Berry</t>
  </si>
  <si>
    <t>Heals poison</t>
  </si>
  <si>
    <t>Rawst Berry</t>
  </si>
  <si>
    <t>Heals burn</t>
  </si>
  <si>
    <t>Sitrus Berry</t>
  </si>
  <si>
    <t>Heals d20+10 HP</t>
  </si>
  <si>
    <t>Protein</t>
  </si>
  <si>
    <t>Raises ATT by d4 permanently</t>
  </si>
  <si>
    <t>Iron</t>
  </si>
  <si>
    <t>Raises DEF by d4 permanently</t>
  </si>
  <si>
    <t>Calcium</t>
  </si>
  <si>
    <t>Raises SPA by d4 permanently</t>
  </si>
  <si>
    <t>Zinc</t>
  </si>
  <si>
    <t>Raises SPD by d4 permanently</t>
  </si>
  <si>
    <t>Carbos</t>
  </si>
  <si>
    <t>Raises SPE by d4 permanently</t>
  </si>
  <si>
    <t>Ginseng</t>
  </si>
  <si>
    <t>Roll d4-1. Damage base for move increases by result (move must damage) permanently</t>
  </si>
  <si>
    <t>Elixir</t>
  </si>
  <si>
    <t>Roll d8. PP of one move restores by roll</t>
  </si>
  <si>
    <t>Max Elixir</t>
  </si>
  <si>
    <t>Roll d10. PP of all moves restores by roll</t>
  </si>
  <si>
    <t>PP All</t>
  </si>
  <si>
    <t>PP of all moves restores to max. You will not get hungry through this dungeon</t>
  </si>
  <si>
    <t>Nectar</t>
  </si>
  <si>
    <t>IQ +3, Belly +2, PP recovers +1 (all moves)</t>
  </si>
  <si>
    <t>Power Drink</t>
  </si>
  <si>
    <t>Roll any die. If odd, last move used +1 power. If even, +2 power. Also, +2 Belly</t>
  </si>
  <si>
    <t>Accuracy Drink</t>
  </si>
  <si>
    <t>Roll any die. If odd, last move used -1 acc. If even, -2 acc. +2 Belly</t>
  </si>
  <si>
    <t>PP-Up Drink</t>
  </si>
  <si>
    <t>Roll d4. The last move used increases Max PP by result. +2 Belly.</t>
  </si>
  <si>
    <t>Alert Specs</t>
  </si>
  <si>
    <t>When in bag, held items cannot be stolen</t>
  </si>
  <si>
    <t>Goggle Specs</t>
  </si>
  <si>
    <t>When held, entire dungeon can be seen</t>
  </si>
  <si>
    <t>Gold Scope</t>
  </si>
  <si>
    <t>When held, any money found/earned is doubled</t>
  </si>
  <si>
    <t>Insomniscope</t>
  </si>
  <si>
    <t>When held, you cannot have these statuses: sleep, yawning, napping, nightmare</t>
  </si>
  <si>
    <t>Lockon Specs</t>
  </si>
  <si>
    <t>When held, thrown items drop acc. roll by 1.</t>
  </si>
  <si>
    <t>No-Aim Scope</t>
  </si>
  <si>
    <t>When held, items are thrown randomly</t>
  </si>
  <si>
    <t>Scope Lens</t>
  </si>
  <si>
    <t>When held, critical hits are 19 and 20, instead of just 20.</t>
  </si>
  <si>
    <t>Whiff Specs</t>
  </si>
  <si>
    <t>When held, you dodge everything thrown at you</t>
  </si>
  <si>
    <t>X-Ray Specs</t>
  </si>
  <si>
    <t>When held, you see all foes and items in dungeon</t>
  </si>
  <si>
    <t>No-Stick Cap</t>
  </si>
  <si>
    <t>When held, items cannot be sticky</t>
  </si>
  <si>
    <t>Pecha Scarf</t>
  </si>
  <si>
    <t>When held, you cannot be poisoned</t>
  </si>
  <si>
    <t>Persim Band</t>
  </si>
  <si>
    <t>When held, you cannot be confused</t>
  </si>
  <si>
    <t>Weather Band</t>
  </si>
  <si>
    <t>When held, you are not affected by the weather</t>
  </si>
  <si>
    <t>Defense Scarf</t>
  </si>
  <si>
    <t>When held, DEF increases by base stats</t>
  </si>
  <si>
    <t>Detect Band</t>
  </si>
  <si>
    <t>When held, SPE increases by base stats</t>
  </si>
  <si>
    <t>Munch Belt</t>
  </si>
  <si>
    <t>When held, ATT &amp; SPA increases by their respective base stats. Belly decreases quicker.</t>
  </si>
  <si>
    <t>Power Band</t>
  </si>
  <si>
    <t>When held, ATT increases by base stats</t>
  </si>
  <si>
    <t>Special Band</t>
  </si>
  <si>
    <t>When held, SPA increases by base stats</t>
  </si>
  <si>
    <t>Twist Band</t>
  </si>
  <si>
    <t>When held, stats cannot be lowered</t>
  </si>
  <si>
    <t>Zinc Band</t>
  </si>
  <si>
    <t>When held, SPD increases by base stats</t>
  </si>
  <si>
    <t>Bounce Band</t>
  </si>
  <si>
    <t>When held, items thrown at you are bounced off</t>
  </si>
  <si>
    <t>Choice Ribbon</t>
  </si>
  <si>
    <t>When held, using the same move in a row boosts the crit ratio (19 &amp; 20)</t>
  </si>
  <si>
    <t>Cover Band</t>
  </si>
  <si>
    <t>When held, if team is about to take damage, you can take damage instead</t>
  </si>
  <si>
    <t>Curve Band</t>
  </si>
  <si>
    <t>When held, items thrown can bounce off walls</t>
  </si>
  <si>
    <t>Dodge Scarf</t>
  </si>
  <si>
    <t>When held, items thrown at you are dodged</t>
  </si>
  <si>
    <t>Fickle Ribbon</t>
  </si>
  <si>
    <t>When held, using different moves in a row boosts the crit ratio (19 &amp; 20)</t>
  </si>
  <si>
    <t>Gold Ribbon</t>
  </si>
  <si>
    <t>Does nothing, but can be sold for BIG money</t>
  </si>
  <si>
    <t>Heal Ribbon</t>
  </si>
  <si>
    <t>When held, you heal 1 HP on each turn.</t>
  </si>
  <si>
    <t>Joy Ribbon</t>
  </si>
  <si>
    <t>When held, you gain +1 EXP after each PKMN beaten</t>
  </si>
  <si>
    <t>Lucky Ribbon</t>
  </si>
  <si>
    <t>When held, you cannot get hit by a critical hit (will do regular damage instead)</t>
  </si>
  <si>
    <t>Mobile Scarf</t>
  </si>
  <si>
    <t>When held, you can walk through walls.</t>
  </si>
  <si>
    <t>Pass Scarf</t>
  </si>
  <si>
    <t>When held, attacks on you hit other PKMN. Roll die. Odd = team, Even - foe</t>
  </si>
  <si>
    <t>Patsy Band</t>
  </si>
  <si>
    <t>When held, you are more likely to get hit by critical hit (foe rolls 19 or 20)</t>
  </si>
  <si>
    <t>Pierce Band</t>
  </si>
  <si>
    <t>When held, thrown items can go through walls and PKMN</t>
  </si>
  <si>
    <t>Plain Ribbon</t>
  </si>
  <si>
    <t>Does nothing. In fact, if it could do less than nothing, it would do that.</t>
  </si>
  <si>
    <t>Racket Band</t>
  </si>
  <si>
    <t>When held, you wake up all PKMN sleeping at start of battle</t>
  </si>
  <si>
    <t>Reunion Cape</t>
  </si>
  <si>
    <t>When held, if you are separated from your teammates, you teleport to them</t>
  </si>
  <si>
    <t>Sneak Scarf</t>
  </si>
  <si>
    <t>When held, you will not wake up PKMN sleeping at start of battle.</t>
  </si>
  <si>
    <t>Stamina Band</t>
  </si>
  <si>
    <t>When held, belly consumption slows down</t>
  </si>
  <si>
    <t>Tight Belt</t>
  </si>
  <si>
    <t>When held, belly consumption cannot reach 0</t>
  </si>
  <si>
    <t>Trap Scarf</t>
  </si>
  <si>
    <t>When held, you cannot set traps off if you step on them</t>
  </si>
  <si>
    <t>Warp Scarf</t>
  </si>
  <si>
    <t>When held, you randomly warp to a different place on the floor</t>
  </si>
  <si>
    <t>Aura Bow (color)</t>
  </si>
  <si>
    <t>When held, ATT, DEF, SPA, and SPD all +1</t>
  </si>
  <si>
    <t>Friend Bow</t>
  </si>
  <si>
    <t>Recruitment increases by 5%</t>
  </si>
  <si>
    <t>Amber Tear</t>
  </si>
  <si>
    <t>Recruitment increases by 15%</t>
  </si>
  <si>
    <t>Golden Mask</t>
  </si>
  <si>
    <t>Recruitment increases by 21%</t>
  </si>
  <si>
    <t>Miracle Chest</t>
  </si>
  <si>
    <t>Roll d4 after battle. Increase EXP gain by roll</t>
  </si>
  <si>
    <t>Wonder Chest</t>
  </si>
  <si>
    <t>Roll d4 after battle. If odd, +1 EXP. If even, +2 EXP</t>
  </si>
  <si>
    <t>Aqua-Monica</t>
  </si>
  <si>
    <t>Recruitment increases for the following type by 20%: Water</t>
  </si>
  <si>
    <t>Fiery Drum</t>
  </si>
  <si>
    <t>Recruitment increases for the following type by 20%: Fire</t>
  </si>
  <si>
    <t>Grass Cornet</t>
  </si>
  <si>
    <t>Recruitment increases for the following type by 20%: Grass</t>
  </si>
  <si>
    <t>Icy Flute</t>
  </si>
  <si>
    <t>Recruitment increases for the following type by 20%: Ice</t>
  </si>
  <si>
    <t>Rock Horn</t>
  </si>
  <si>
    <t>Recruitment increases for the following type by 20%: Rock</t>
  </si>
  <si>
    <t>Sky Melodica</t>
  </si>
  <si>
    <t>Recruitment increases for the following type by 20%: Flying</t>
  </si>
  <si>
    <t>Terra Cymbal</t>
  </si>
  <si>
    <t>Recruitment increases for the following type by 20%: Ground</t>
  </si>
  <si>
    <t>Space Globe</t>
  </si>
  <si>
    <t>When held, damage of moves doubles after all dice rolls and calculations</t>
  </si>
  <si>
    <t>IQ Booster</t>
  </si>
  <si>
    <t>When held, and entering dungeon, roll d20. IQ increases by result X5</t>
  </si>
  <si>
    <t>Used TM</t>
  </si>
  <si>
    <t>Does nothing, can be "Recycle"d to become the original TM</t>
  </si>
  <si>
    <t>Key</t>
  </si>
  <si>
    <t>Used to open locked doors in dungeons</t>
  </si>
  <si>
    <t>Black Key</t>
  </si>
  <si>
    <t>Used to open locked doors in dungeons. Door must be this color.</t>
  </si>
  <si>
    <t>Blue Key</t>
  </si>
  <si>
    <t>Green Key</t>
  </si>
  <si>
    <t>Red Key</t>
  </si>
  <si>
    <t>Link Box</t>
  </si>
  <si>
    <t>Links and delinks moves in dungeon. Disappears once used</t>
  </si>
  <si>
    <t>Gabite Scale</t>
  </si>
  <si>
    <t>Cures any status condition and Belly +6</t>
  </si>
  <si>
    <t>Gracidea</t>
  </si>
  <si>
    <t>When consumed, Shaymin transforms to Sky Forme until the end of the day</t>
  </si>
  <si>
    <t>Bug Device</t>
  </si>
  <si>
    <t>Single use, PKMN is same type. Roll d4+1. ATT, DEF, SPA, SPD increase by result (permanently)</t>
  </si>
  <si>
    <t>Dark Device</t>
  </si>
  <si>
    <t>Dragon Device</t>
  </si>
  <si>
    <t>Electric Device</t>
  </si>
  <si>
    <t>Fairy Device</t>
  </si>
  <si>
    <t>Fighting Device</t>
  </si>
  <si>
    <t>Fire Device</t>
  </si>
  <si>
    <t>Flying Device</t>
  </si>
  <si>
    <t>Ghost Device</t>
  </si>
  <si>
    <t>Grass Device</t>
  </si>
  <si>
    <t>Ground Device</t>
  </si>
  <si>
    <t>Ice Device</t>
  </si>
  <si>
    <t>Normal Device</t>
  </si>
  <si>
    <t>Poison Device</t>
  </si>
  <si>
    <t>Psychic Device</t>
  </si>
  <si>
    <t>Rock Device</t>
  </si>
  <si>
    <t>Steel Device</t>
  </si>
  <si>
    <t>Water Device</t>
  </si>
  <si>
    <t>Djinn's Bottle</t>
  </si>
  <si>
    <t>Single use. Summons Hoopa (either form) until end of dungeon. Disappears when leaving.</t>
  </si>
  <si>
    <t>Golden Spike</t>
  </si>
  <si>
    <t>Throwing item. Roll d100, does [result] damage</t>
  </si>
  <si>
    <t>Golden Fossil</t>
  </si>
  <si>
    <t>Throwing item. Roll d100, does [result] damage. If you could bring it to life…</t>
  </si>
  <si>
    <t>Golden Crown</t>
  </si>
  <si>
    <t>Earned by collecting all "Golden" items. Legend says having this calls Hoopa to you for a wish.</t>
  </si>
  <si>
    <t>Beauty Scarf</t>
  </si>
  <si>
    <t>Use to evolve Feebas</t>
  </si>
  <si>
    <t>Coronet Rock</t>
  </si>
  <si>
    <t>Use to evolve Magneton, Nosepass</t>
  </si>
  <si>
    <t>Frozen Rock</t>
  </si>
  <si>
    <t>Use to evolve Eevee (Glaceon)</t>
  </si>
  <si>
    <t>Heart of the Moon</t>
  </si>
  <si>
    <t>Use to evolve Eevee (Umbreon)</t>
  </si>
  <si>
    <t>Heart of the Sun</t>
  </si>
  <si>
    <t>Use to evolve Eevee (Espeon)</t>
  </si>
  <si>
    <t>Link Cable</t>
  </si>
  <si>
    <t>See "LINK CABLE LIST" for PKMN that evolve with this item</t>
  </si>
  <si>
    <t>Lunar Ribbon</t>
  </si>
  <si>
    <t>Use to evolve Gligar and Sneasel (also need Razor Claw), Chingling</t>
  </si>
  <si>
    <t>Mossy Rock</t>
  </si>
  <si>
    <t>Use to evolve Eevee (Leafeon)</t>
  </si>
  <si>
    <t>Sun Ribbon</t>
  </si>
  <si>
    <t>Use to evolve Happiny (also need Oval Stone), Budew and Riolu</t>
  </si>
  <si>
    <t>Deepseascale</t>
  </si>
  <si>
    <t>Use to evolve Clamperl (also need Link Cable)</t>
  </si>
  <si>
    <t>Deepseatooth</t>
  </si>
  <si>
    <t>Dragon Scale</t>
  </si>
  <si>
    <t>Use to evolve Seadra (also need Link Cable)</t>
  </si>
  <si>
    <t>Dubious Disc</t>
  </si>
  <si>
    <t>Use to evolve Porygon2 (also need Link Cable)</t>
  </si>
  <si>
    <t>Electirizer</t>
  </si>
  <si>
    <t>Use to evolve Electabuzz (also need Link Cable)</t>
  </si>
  <si>
    <t>Dusk Stone</t>
  </si>
  <si>
    <t>Use to evolve Murkrow, Misdreavus, Lampent</t>
  </si>
  <si>
    <t>Fire Stone</t>
  </si>
  <si>
    <t>Use to evolve Vulpix, Growlithe, Eevee (Flareon), Pansear</t>
  </si>
  <si>
    <t>King's Rock</t>
  </si>
  <si>
    <t>Use to evolve Poliwhirl (Politoed), Slowpoke (both also need Link Cable)</t>
  </si>
  <si>
    <t>Leaf Stone</t>
  </si>
  <si>
    <t>Use to evolve Gloom (Vileplume), Weepinbell, Exeggcute, Nuzleaf, Pansage</t>
  </si>
  <si>
    <t>Magmarizer</t>
  </si>
  <si>
    <t>Use to evolve Magmar (also need Link Cable)</t>
  </si>
  <si>
    <t>Metal Coat</t>
  </si>
  <si>
    <t>Use to evolve Onix, Steelix (also need Link Cable)</t>
  </si>
  <si>
    <t>Moon Stone</t>
  </si>
  <si>
    <t>Use to evolve Nidorina, Nidorino, Clefairy, Jigglypuff, Skitty, Munna</t>
  </si>
  <si>
    <t>Oval Stone</t>
  </si>
  <si>
    <t>Use to evolve Happiny (also need Sun Ribbon)</t>
  </si>
  <si>
    <t>Protector</t>
  </si>
  <si>
    <t>Use to evolve Rhydon (also need Link Cable)</t>
  </si>
  <si>
    <t>Razor Claw</t>
  </si>
  <si>
    <t>Use to evolve Sneasel (also need Lunar Ribbon)</t>
  </si>
  <si>
    <t>Razor Fang</t>
  </si>
  <si>
    <t>Use to evolve Gilgar (also need Lunar Ribbon)</t>
  </si>
  <si>
    <t>Reaper Cloth</t>
  </si>
  <si>
    <t>Use to evolve Dusclops (also need Link Cable</t>
  </si>
  <si>
    <t>Shiny Stone</t>
  </si>
  <si>
    <t>Use to evolve Togetic, Roselia, Minccino</t>
  </si>
  <si>
    <t>Sun Stone</t>
  </si>
  <si>
    <t>Use to evolve Gloom (Bellossom), Sunkern, Cottonee, Petilil</t>
  </si>
  <si>
    <t>Thunderstone</t>
  </si>
  <si>
    <t>Use to evolve Pikachu, Eevee (Jolteon)</t>
  </si>
  <si>
    <t>Upgrade</t>
  </si>
  <si>
    <t>Use to evolve Porygon (also need Link Cable)</t>
  </si>
  <si>
    <t>Water Stone</t>
  </si>
  <si>
    <t>Use to evolve Poliwhirl (Poliwrath), Shellder, Staryu, Eevee (Vaporeon), Lombre, Panpour</t>
  </si>
  <si>
    <t>Wish Stone</t>
  </si>
  <si>
    <t>When given to Jirachi, Jirachi will give you a wish</t>
  </si>
  <si>
    <t>Rock Part</t>
  </si>
  <si>
    <t>A special item that looks to be part of a group. How it is used is unknown.</t>
  </si>
  <si>
    <t>Ice Part</t>
  </si>
  <si>
    <t>Steel Part</t>
  </si>
  <si>
    <t>Music Box</t>
  </si>
  <si>
    <t>A 3-level box that somehow plays music. It is said to call the legendary PKMN Mew.</t>
  </si>
  <si>
    <t>Mystery Part</t>
  </si>
  <si>
    <t>An item of legendary power. It seems to be calling something.</t>
  </si>
  <si>
    <t>Secret Slab</t>
  </si>
  <si>
    <t>Lost Loot</t>
  </si>
  <si>
    <t>Technically does nothing, but selling it? It's a winning lottery ticket!</t>
  </si>
  <si>
    <t>Geo Pebble</t>
  </si>
  <si>
    <t>Throwing item, does damage (roll die, odd = 1, even = 2). Stackable</t>
  </si>
  <si>
    <t>Gravelerock</t>
  </si>
  <si>
    <t>Throwing item, does d6 damage. Stackable</t>
  </si>
  <si>
    <t>Silver Spike</t>
  </si>
  <si>
    <t>Throwing item, does d6 damage. Straight line. Stackable</t>
  </si>
  <si>
    <t>Iron Thorn</t>
  </si>
  <si>
    <t>Throwing item, does d4 damage. Straight line. Stackable</t>
  </si>
  <si>
    <t>Stick</t>
  </si>
  <si>
    <t>Throwing item, does damage (roll die, odd = 1, even = 2) Straight line. Stackable</t>
  </si>
  <si>
    <t>Cacnea Spike</t>
  </si>
  <si>
    <t>Corsola Twig</t>
  </si>
  <si>
    <t>Gold Fang</t>
  </si>
  <si>
    <t>Gold Thorn</t>
  </si>
  <si>
    <t>Throwing item, does d20 damage. Straight line. Stackable</t>
  </si>
  <si>
    <t>Rare Fossil</t>
  </si>
  <si>
    <t>Throwing item, does d100 damage. If you could bring it to life…</t>
  </si>
  <si>
    <t>Platinum Spike</t>
  </si>
  <si>
    <t>Throwing item, does d8+8 damage. Straight line. Stackable</t>
  </si>
  <si>
    <t>Gigali Rock</t>
  </si>
  <si>
    <t>Throwing item, does d8 damage. Stackable</t>
  </si>
  <si>
    <t>Treasure Box</t>
  </si>
  <si>
    <t>A locked box. When opening (out of dungeon), roll d100 for rarity (larger - better)</t>
  </si>
  <si>
    <t>Align Orb</t>
  </si>
  <si>
    <t>Makes teammates' HP = that of the teammate with highest HP (cannot go over max). D6</t>
  </si>
  <si>
    <t>All Dodge Orb</t>
  </si>
  <si>
    <t>Once per turn, during foe's turn, one attack on your team misses, regardless of roll. D6</t>
  </si>
  <si>
    <t>All-Hit Orb</t>
  </si>
  <si>
    <t>Critical-hit ratio increases (19-20). D6</t>
  </si>
  <si>
    <t>All-Mach Orb</t>
  </si>
  <si>
    <t>SPE of all members increases +1. D6</t>
  </si>
  <si>
    <t>All Power-Up Orb</t>
  </si>
  <si>
    <t>ATT and SPA of all members increases +2 each. D4</t>
  </si>
  <si>
    <t>All Protect Orb</t>
  </si>
  <si>
    <t>All team members get protect status for d4+[# of team members] turns. D6</t>
  </si>
  <si>
    <t>Apathy Orb</t>
  </si>
  <si>
    <t>Foes will drop items they are holding, if applicable. D8</t>
  </si>
  <si>
    <t>Blowback Orb</t>
  </si>
  <si>
    <t>Knocks specific foe flying backward and deals d4 damage. D8</t>
  </si>
  <si>
    <t>Cleanse Orb</t>
  </si>
  <si>
    <t>Sticky, grimy items are cleaned. D8</t>
  </si>
  <si>
    <t>Decoy Orb</t>
  </si>
  <si>
    <t>Changes specific foe to "Decoy", and foes will attack them instead. D4</t>
  </si>
  <si>
    <t>Deposit Orb</t>
  </si>
  <si>
    <t>Sends one item you hold back to storage. D8</t>
  </si>
  <si>
    <t>Devolve Orb</t>
  </si>
  <si>
    <t>Devolves foes, if applicable. D6</t>
  </si>
  <si>
    <t>Drought Orb</t>
  </si>
  <si>
    <t>Drains all water/magma from dungeon. D8</t>
  </si>
  <si>
    <t>Escape Orb</t>
  </si>
  <si>
    <t>Allows rescue team to escape dungeon with no consequence. D6+1</t>
  </si>
  <si>
    <t>Enemy Discord Orb</t>
  </si>
  <si>
    <t>Foes will start attacking each other, free-for-all. D4</t>
  </si>
  <si>
    <t>Enemy Evolve Orb</t>
  </si>
  <si>
    <t>Evolves foes, if applicable. D20</t>
  </si>
  <si>
    <t>Foe-Fear Orb</t>
  </si>
  <si>
    <t>Foes become terrified of you, and run away. D4</t>
  </si>
  <si>
    <t>Foe-Hold Orb</t>
  </si>
  <si>
    <t>Foes are Petrified, and cannot move until attacked. D6</t>
  </si>
  <si>
    <t>Foe-Seal Orb</t>
  </si>
  <si>
    <t>Foes are Paused, and cannot move for d8 turns. D8 (roll once, and use # for both)</t>
  </si>
  <si>
    <t>Hail Orb</t>
  </si>
  <si>
    <t>Changes weather to Hail. D8</t>
  </si>
  <si>
    <t>Health Orb</t>
  </si>
  <si>
    <t>Stats and status all revert to default, and cannot be changed. D6</t>
  </si>
  <si>
    <t>Hurl Orb</t>
  </si>
  <si>
    <t>Throws one foe at another foe for D8 damage. D8 (roll once, and use # for both)</t>
  </si>
  <si>
    <t>Identify Orb</t>
  </si>
  <si>
    <t>You know what foes are holding items. D20</t>
  </si>
  <si>
    <t>Invisify Orb</t>
  </si>
  <si>
    <t>You turn invisible for D6 turns. D6 (roll once, and use # for both)</t>
  </si>
  <si>
    <t>Itemizer Orb</t>
  </si>
  <si>
    <t>You turn the foe into an item (roll d100, higher = better item). D4</t>
  </si>
  <si>
    <t>Lasso Orb</t>
  </si>
  <si>
    <t>All foes are lassoed together and immobilized. D4</t>
  </si>
  <si>
    <t>Lob Orb</t>
  </si>
  <si>
    <t>Moves that attack foes next to you can attack distance foes. D6</t>
  </si>
  <si>
    <t>Luminous Orb</t>
  </si>
  <si>
    <t>The entire floor is now bright, and you can see foes, items, and the stairs. D6</t>
  </si>
  <si>
    <t>Mobile Orb</t>
  </si>
  <si>
    <t>You can walk through walls, on lava, water, and clouds. D8</t>
  </si>
  <si>
    <t>Monster Orb</t>
  </si>
  <si>
    <t>Your room turns into a monster house. D20</t>
  </si>
  <si>
    <t>Mug Orb</t>
  </si>
  <si>
    <t>You steal foe's item and do d6 damage. D6 (roll once, and use # for both)</t>
  </si>
  <si>
    <t>Nullify Orb</t>
  </si>
  <si>
    <t>All abilities of foes are negated. D4</t>
  </si>
  <si>
    <t>Observer Orb</t>
  </si>
  <si>
    <t>All foe are frozen in place, and cannot move or attack. D4</t>
  </si>
  <si>
    <t>One-Room Orb</t>
  </si>
  <si>
    <t>Dungeon is now one room. If any room was a monster house, you are in one. D8</t>
  </si>
  <si>
    <t>One-Shot Orb</t>
  </si>
  <si>
    <t>Foe is one-hit-KO if you roll a 4. D4 (roll once, and use # for both)</t>
  </si>
  <si>
    <t>Petrify Orb</t>
  </si>
  <si>
    <t>All foes in room are petrified. D6</t>
  </si>
  <si>
    <t>Pounce Orb</t>
  </si>
  <si>
    <t>You jump in a direction until you hit a wall or a foe. D20</t>
  </si>
  <si>
    <t>Radar Orb</t>
  </si>
  <si>
    <t>You know what foes are in the dungeon and their location. D8</t>
  </si>
  <si>
    <t>Rainy Orb</t>
  </si>
  <si>
    <t>Changes weather to Rain. D8</t>
  </si>
  <si>
    <t>Rebound Orb</t>
  </si>
  <si>
    <t>Team get mini-counter status for d6 turns. D6 (roll once, and use # for both)</t>
  </si>
  <si>
    <t>Reviver Orb</t>
  </si>
  <si>
    <t>Revives single PKMN if fainted. Does not work if PKMN fainted via explosion. D6</t>
  </si>
  <si>
    <t>Rocky Orb</t>
  </si>
  <si>
    <t>Does d6 damage and lowers SPE by 1. D6 (roll once, and use # for both)</t>
  </si>
  <si>
    <t>Rollcall Orb</t>
  </si>
  <si>
    <t>All team members jump to where you are. D8</t>
  </si>
  <si>
    <t>Sandy Orb</t>
  </si>
  <si>
    <t>Changes weather to Sandstorm. D8</t>
  </si>
  <si>
    <t>Scanner Orb</t>
  </si>
  <si>
    <t>You know what items are in the dungeon and their location. D8</t>
  </si>
  <si>
    <t>See-Trap Orb</t>
  </si>
  <si>
    <t>You know what traps are in the dungeon and their location. D8</t>
  </si>
  <si>
    <t>Shocker Orb</t>
  </si>
  <si>
    <t>The foe's attacks will never hit you or your team. D4</t>
  </si>
  <si>
    <t>Slow Orb</t>
  </si>
  <si>
    <t>Lowers foe's SPE by 1. D6</t>
  </si>
  <si>
    <t>Slumber Orb</t>
  </si>
  <si>
    <t>All foes fall asleep. D6 (roll once, and use # for both)</t>
  </si>
  <si>
    <t>Snatch Orb</t>
  </si>
  <si>
    <t>You can steal items that foes are holding when you attack. D8</t>
  </si>
  <si>
    <t>Spurn Orb</t>
  </si>
  <si>
    <t>All foes in room warp to random place on floor. D6</t>
  </si>
  <si>
    <t>Stairs Orb</t>
  </si>
  <si>
    <t>You know where the stairs are located</t>
  </si>
  <si>
    <t>Stayaway Orb</t>
  </si>
  <si>
    <t>Foe is petrified and sent to the stairs. D6</t>
  </si>
  <si>
    <t>Sunny Orb</t>
  </si>
  <si>
    <t>Changes weather to Sunny. D8</t>
  </si>
  <si>
    <t>Surround Orb</t>
  </si>
  <si>
    <t>Teammates warp to surround a foe. D8</t>
  </si>
  <si>
    <t>Switcher Orb</t>
  </si>
  <si>
    <t>You switch positions with another PKMN. D8</t>
  </si>
  <si>
    <t>Totter Orb</t>
  </si>
  <si>
    <t>All foes are confused. D6</t>
  </si>
  <si>
    <t>Transfer Orb</t>
  </si>
  <si>
    <t>Foe transforms into a different foe. D6</t>
  </si>
  <si>
    <t>Trapbuster Orb</t>
  </si>
  <si>
    <t>All traps in the room are destroyed. D6</t>
  </si>
  <si>
    <t>Trawl Orb</t>
  </si>
  <si>
    <t>All items in the dungeon are brought to you. D6</t>
  </si>
  <si>
    <t>Two-Edge Orb</t>
  </si>
  <si>
    <t>All enemies HP are dropped to 1. Half your HP for each foe this affects. D4</t>
  </si>
  <si>
    <t>Warp Orb</t>
  </si>
  <si>
    <t>Warp foes to random places in dungeon</t>
  </si>
  <si>
    <t>Golden Band*</t>
  </si>
  <si>
    <t>When held, ATT, DEF, SPA, and SPD all +4</t>
  </si>
  <si>
    <t>Elemental Bell</t>
  </si>
  <si>
    <t>If all legendary items are in your bag, it seems to call the first someone to you…</t>
  </si>
  <si>
    <t>Boca Burger</t>
  </si>
  <si>
    <t>Heal 1 HP and bring belly to full</t>
  </si>
  <si>
    <t>Exp Needed</t>
  </si>
  <si>
    <t>EXP to next level</t>
  </si>
  <si>
    <t>Calculating Experience</t>
  </si>
  <si>
    <t>Significance</t>
  </si>
  <si>
    <t>Multiplier</t>
  </si>
  <si>
    <t>Total Level of foes</t>
  </si>
  <si>
    <t>Training/Sparring</t>
  </si>
  <si>
    <t>Regular Dungeon folk</t>
  </si>
  <si>
    <t>Number of players</t>
  </si>
  <si>
    <t>Criminals on the run</t>
  </si>
  <si>
    <t xml:space="preserve">Items bonus </t>
  </si>
  <si>
    <t>Boss Battle</t>
  </si>
  <si>
    <t>Major Plot Battle</t>
  </si>
  <si>
    <t>Experience gained</t>
  </si>
  <si>
    <t>You're fighting a GOD</t>
  </si>
  <si>
    <t>Skill</t>
  </si>
  <si>
    <t>Mandatory</t>
  </si>
  <si>
    <t>"Paying" IQ points can give special IQ skills</t>
  </si>
  <si>
    <t>IQ points can be spent at any time to learn an IQ skill from this list. IQ skills do not have to be bought in any order.</t>
  </si>
  <si>
    <t>If you are lost, roll Cool. Success gets you back on track.</t>
  </si>
  <si>
    <t>Pick one</t>
  </si>
  <si>
    <t>Dedicated Traveler</t>
  </si>
  <si>
    <t>When traveling, and foe tries to start battle, roll Beauty. Success skips battle.</t>
  </si>
  <si>
    <t>Can use the Explorer Badge to leave the dungeon. Cannot be turned off.</t>
  </si>
  <si>
    <t>X</t>
  </si>
  <si>
    <t>You have the ability to use PKMN moves.</t>
  </si>
  <si>
    <t>Can catch a thrown item and keep it for its own.</t>
  </si>
  <si>
    <t>Can use and throw its hold item.</t>
  </si>
  <si>
    <t>Efficiency Expert</t>
  </si>
  <si>
    <t>Roll Smart. Success -&gt; you know which foe has lowest HP.</t>
  </si>
  <si>
    <t>Stat Checker</t>
  </si>
  <si>
    <t>Roll Smart. Success -&gt; you learn 2 of foe's stats (your choice, ask GM). Mixed -&gt; 1.</t>
  </si>
  <si>
    <t>Cheerleader</t>
  </si>
  <si>
    <t>Once per battle when ally is attacking, roll Cute. Success -&gt; add d8 damage. Mixed -&gt; add d4.</t>
  </si>
  <si>
    <t>Nontraitor</t>
  </si>
  <si>
    <t>When confused/cowering, roll Cool. Success -&gt; allies will not be targeted. Mixed -&gt; allies take 1/4 damage.</t>
  </si>
  <si>
    <t>Acute Sniffer</t>
  </si>
  <si>
    <t>If looking for a specific item, you roll an automatic success.</t>
  </si>
  <si>
    <t>PP Saver</t>
  </si>
  <si>
    <t>If you miss an attack, the move does not use PP.</t>
  </si>
  <si>
    <t>Bodyguard</t>
  </si>
  <si>
    <t>Roll Tough. If mixed, you take damage for ally. If success, you block attack.</t>
  </si>
  <si>
    <t>Self Curer</t>
  </si>
  <si>
    <t>Roll Smart. If mixed, heal status. If success, heal status for you + 1 ally.</t>
  </si>
  <si>
    <t>Brick-Tough</t>
  </si>
  <si>
    <t>Adds 10 to max HP. Cannot be turned off.</t>
  </si>
  <si>
    <t>Type-Advantage Master</t>
  </si>
  <si>
    <t>If move is super-effective, +crit rate by 1 (instead of 20, 19 &amp;20, etc.)</t>
  </si>
  <si>
    <t>Weak-Type Picker</t>
  </si>
  <si>
    <t>Foes with good type compatibility (you beat them) give extra +10 EXP to you.</t>
  </si>
  <si>
    <t>Power Pitcher</t>
  </si>
  <si>
    <t>Throwing items deal 1.5x damage. Doesn't apply for Geo Pebbles and Gravelerocks.</t>
  </si>
  <si>
    <t>Survivalist</t>
  </si>
  <si>
    <t>Restores more Belly when eating food (+1). Flip coin to avoid status from Grimy Food.</t>
  </si>
  <si>
    <t>Coin Watcher</t>
  </si>
  <si>
    <t>Roll Cute. Success -&gt; Earned Poke *1.5. Mixed, 1.2.</t>
  </si>
  <si>
    <t>Nonsleeper</t>
  </si>
  <si>
    <t>Immune to nightmare, sleep, yawning and napping status.</t>
  </si>
  <si>
    <t>Gap Prober</t>
  </si>
  <si>
    <t>You can throw items and do moves through allies, without damage to them.</t>
  </si>
  <si>
    <t>Wise Healer</t>
  </si>
  <si>
    <t>Roll Tough when using HP-recovery items/moves. Add roll to item/move result.</t>
  </si>
  <si>
    <t>Wary Fighter</t>
  </si>
  <si>
    <t>Roll Cool when you miss a move. Success -&gt; next attack against you fails. Mixed -&gt; Next attack does 1/2 damage</t>
  </si>
  <si>
    <t>Concentrator</t>
  </si>
  <si>
    <t>Roll lowest human stat. Success -&gt; Your next attack hits and next attacker on you misses. Mixed -&gt; Choose one.</t>
  </si>
  <si>
    <t>Deep Breather</t>
  </si>
  <si>
    <t>Once per dungeon, roll Cool. Success -&gt; Recover 3PP, your choice. Mixed-&gt; Recover 2 random PP.</t>
  </si>
  <si>
    <t>Practice Swinger</t>
  </si>
  <si>
    <t>Roll Beauty when you miss a move. Success -&gt; ATT &amp; SPA +1. Mixed -&gt; Pick one.</t>
  </si>
  <si>
    <t>Exp. Go-Getter</t>
  </si>
  <si>
    <t>You get +5 EXP for each PKMN (after normal EXP calculations)</t>
  </si>
  <si>
    <t>Aggressor</t>
  </si>
  <si>
    <t>Roll Tough. Add result to temp ATT and SPA, and lower result to temp DEF and SPD.</t>
  </si>
  <si>
    <t>Defender</t>
  </si>
  <si>
    <t>Roll Tough. Add result to temp DEF and SPD, and lower result to temp ATT and SPA.</t>
  </si>
  <si>
    <t>Trap Avoider</t>
  </si>
  <si>
    <t>When entering a dungeon, roll Smart. Success -&gt; you avoid all visible traps. Mixed -&gt; roll-off to avoid trap.</t>
  </si>
  <si>
    <t>Energy Saver</t>
  </si>
  <si>
    <t>Your belly decreases at 1/2 the rate of a normal PKMN. NOTE: KEEP TRACK CAREFULLY</t>
  </si>
  <si>
    <t>Sharpshooter</t>
  </si>
  <si>
    <t>Crit rate increases by 1 (instead of 20, 19 &amp; 20, etc.)</t>
  </si>
  <si>
    <t>Hit-and-Runner</t>
  </si>
  <si>
    <t>If foe counter-attacks you, roll Cute. Success -&gt; counter attack fails. Mixed -&gt; counter attack does 1/2 damage.</t>
  </si>
  <si>
    <t>Counter Basher</t>
  </si>
  <si>
    <t>When "bought": DEF -1, HP +1 (level). If hit by attack &amp; foe is near, they take d6 damage.</t>
  </si>
  <si>
    <t>Quick Healer</t>
  </si>
  <si>
    <t>Roll Smart out of battle. Success -&gt; fully healed. Mixed -&gt; pay 1 belly for 5 HP.</t>
  </si>
  <si>
    <t>Lava Evader</t>
  </si>
  <si>
    <t>You are unaffected by lava, fire, or any similar condition.</t>
  </si>
  <si>
    <t>Multitalent</t>
  </si>
  <si>
    <t>Adds 5 to PKMN's max Belly. Cannot be turned off.</t>
  </si>
  <si>
    <t>Exp. Elite</t>
  </si>
  <si>
    <t>You earn 1.5x EXP after battle (after normal calculations).</t>
  </si>
  <si>
    <t>Counter Hitter</t>
  </si>
  <si>
    <t>When hit by attack, roll Tough. Success -&gt; deal 1/4 counter damage. Mixed -&gt; deal 1/6 counter damage.</t>
  </si>
  <si>
    <t>Erratic Player</t>
  </si>
  <si>
    <t>When entering dungeon, roll Beauty. Success -&gt; Damage dealt is &gt;=Neutral. Mixed -&gt; Damage dealt is &gt;= Not Very Effective.</t>
  </si>
  <si>
    <t>Haggler</t>
  </si>
  <si>
    <t>When buying/selling items, roll Cute. Result*2 is discount/uptick on those items.</t>
  </si>
  <si>
    <t>Clutch Performer</t>
  </si>
  <si>
    <t>When HP&lt;25%, Roll Cool. Success -&gt; Next foe attack misses. Mixed -&gt; Next attack does 1/2 damage.</t>
  </si>
  <si>
    <t>Collector</t>
  </si>
  <si>
    <t>After battle, roll Cute. Success -&gt; foe drops rare item. Mixed -&gt; foe drops a random item.</t>
  </si>
  <si>
    <t>All-Terrain Hiker</t>
  </si>
  <si>
    <t>Roll Beauty. Success -&gt; Can cross water, lava, and valleys. Mixed -&gt; take d4-1 damage cost.</t>
  </si>
  <si>
    <t>Trap Buster</t>
  </si>
  <si>
    <t>When you step on a trap, roll Tough. Success -&gt; trap is destroyed. Mixed-&gt; Replace all effects with d6 damage.</t>
  </si>
  <si>
    <t>Critical Dodger</t>
  </si>
  <si>
    <t>Immune to critical-hits.</t>
  </si>
  <si>
    <t>Stair Sensor</t>
  </si>
  <si>
    <t>Roll Beauty when enter dungeon. Success -&gt; know exit. Mixed -&gt; know where it isn't</t>
  </si>
  <si>
    <t>Sure-Hit Attacker</t>
  </si>
  <si>
    <t>Your attacks with no effects (just damage) never miss.</t>
  </si>
  <si>
    <t>Extra Striker</t>
  </si>
  <si>
    <t xml:space="preserve">After attacking, roll Tough. Success -&gt; attack again. Mixed -&gt; attack again for 1/2 damage (same costs). </t>
  </si>
  <si>
    <t>Quick Dodger</t>
  </si>
  <si>
    <t>Once per battle, roll Cool. Success -&gt; next 2 attacks to you miss. Mixed -&gt; next attack to you miss.</t>
  </si>
  <si>
    <t>Fast Friend</t>
  </si>
  <si>
    <t>Roll Cute when trying to recruit. Success -&gt; double recruitment chance. Mixed -&gt; 1.5x.</t>
  </si>
  <si>
    <t>Intimidator</t>
  </si>
  <si>
    <t>Roll Beauty when attacked. Success -&gt; foe cringes. Mixed -&gt; both cringe.</t>
  </si>
  <si>
    <t>No-Charger</t>
  </si>
  <si>
    <t>Automatically uses charged attack without delay at the cost of 2 PP (and 2 belly).</t>
  </si>
  <si>
    <t>Map Surveyor</t>
  </si>
  <si>
    <t>Roll Beauty when enter dungeon. Success -&gt; GM gives full map. Mixed -&gt; GM gives part.</t>
  </si>
  <si>
    <t>Trap Seer</t>
  </si>
  <si>
    <t>When entering a dungeon , roll Smart. Success -&gt; you know where all traps are. Mixed -&gt; 1/2.</t>
  </si>
  <si>
    <t>Quick Striker</t>
  </si>
  <si>
    <t>Roll Smart when attacking. Success -&gt; attack again (no belly). Mixed -&gt; damage/2 (belly)</t>
  </si>
  <si>
    <t>House Avoider</t>
  </si>
  <si>
    <t>Roll Cool when entering monster house. Success -&gt; all foes flee. Mixed -&gt; some.</t>
  </si>
  <si>
    <t>Pierce Hurler</t>
  </si>
  <si>
    <t>You can throw "throwing items" through PKMN and walls, and continues to fly through.</t>
  </si>
  <si>
    <t>Nature Giver</t>
  </si>
  <si>
    <t>When you gain effect from berries, all allies gain same effect.</t>
  </si>
  <si>
    <t>Time Tripper</t>
  </si>
  <si>
    <t>When in battle, you go first (unless move/ability/other effect change that)</t>
  </si>
  <si>
    <t>Absolute Mover</t>
  </si>
  <si>
    <t>You can cross water, lava, and valleys, and can crush walls.</t>
  </si>
  <si>
    <t>#</t>
  </si>
  <si>
    <t>Pokémon</t>
  </si>
  <si>
    <t>ATT</t>
  </si>
  <si>
    <t>DEF</t>
  </si>
  <si>
    <t>SPA</t>
  </si>
  <si>
    <t>SPD</t>
  </si>
  <si>
    <t>SPE</t>
  </si>
  <si>
    <t>Total</t>
  </si>
  <si>
    <t>Average</t>
  </si>
  <si>
    <t>Bulbasaur</t>
  </si>
  <si>
    <t>Ivysaur</t>
  </si>
  <si>
    <t>Venusaur</t>
  </si>
  <si>
    <t>Venusaur (Mega Venusaur)</t>
  </si>
  <si>
    <t>Charmander</t>
  </si>
  <si>
    <t>Charmeleon</t>
  </si>
  <si>
    <t>Charizard</t>
  </si>
  <si>
    <t>Charizard (Mega Charizard X)</t>
  </si>
  <si>
    <t>Charizard (Mega Charizard Y)</t>
  </si>
  <si>
    <t>Squirtle</t>
  </si>
  <si>
    <t>Wartortle</t>
  </si>
  <si>
    <t>Blastoise</t>
  </si>
  <si>
    <t>Blastoise (Mega Blastoise)</t>
  </si>
  <si>
    <t>Caterpie</t>
  </si>
  <si>
    <t>Metapod</t>
  </si>
  <si>
    <t>Butterfree</t>
  </si>
  <si>
    <t>Weedle</t>
  </si>
  <si>
    <t>Kakuna</t>
  </si>
  <si>
    <t>Beedrill</t>
  </si>
  <si>
    <t>Beedrill (Mega Beedrill)</t>
  </si>
  <si>
    <t>Pidgey</t>
  </si>
  <si>
    <t>Pidgeotto</t>
  </si>
  <si>
    <t>Pidgeot</t>
  </si>
  <si>
    <t>Pidgeot (Mega Pidgeot)</t>
  </si>
  <si>
    <t>Rattata</t>
  </si>
  <si>
    <t>Rattata (Alolan Form)</t>
  </si>
  <si>
    <t>Raticate</t>
  </si>
  <si>
    <t>Raticate (Alolan Form)</t>
  </si>
  <si>
    <t>Fearow</t>
  </si>
  <si>
    <t>Ekans</t>
  </si>
  <si>
    <t>Arbok</t>
  </si>
  <si>
    <t>Pikachu</t>
  </si>
  <si>
    <t>Pikachu (Partner Pikachu)</t>
  </si>
  <si>
    <t>Raichu</t>
  </si>
  <si>
    <t>Raichu (Alolan Form)</t>
  </si>
  <si>
    <t>Sandshrew</t>
  </si>
  <si>
    <t>Sandshrew (Alolan Form)</t>
  </si>
  <si>
    <t>Sandslash</t>
  </si>
  <si>
    <t>Sandslash (Alolan Form)</t>
  </si>
  <si>
    <t>Nidoran♀</t>
  </si>
  <si>
    <t>Nidorina</t>
  </si>
  <si>
    <t>Nidoqueen</t>
  </si>
  <si>
    <t>Nidoran♂</t>
  </si>
  <si>
    <t>Nidorino</t>
  </si>
  <si>
    <t>Nidoking</t>
  </si>
  <si>
    <t>Clefairy</t>
  </si>
  <si>
    <t>Clefable</t>
  </si>
  <si>
    <t>Vulpix</t>
  </si>
  <si>
    <t>Vulpix (Alolan Form)</t>
  </si>
  <si>
    <t>Ninetales</t>
  </si>
  <si>
    <t>Ninetales (Alolan Form)</t>
  </si>
  <si>
    <t>Jigglypuff</t>
  </si>
  <si>
    <t>Wigglytuff</t>
  </si>
  <si>
    <t>Zubat</t>
  </si>
  <si>
    <t>Golbat</t>
  </si>
  <si>
    <t>Oddish</t>
  </si>
  <si>
    <t>Gloom</t>
  </si>
  <si>
    <t>Vileplume</t>
  </si>
  <si>
    <t>Paras</t>
  </si>
  <si>
    <t>Parasect</t>
  </si>
  <si>
    <t>Venonat</t>
  </si>
  <si>
    <t>Venomoth</t>
  </si>
  <si>
    <t>Diglett</t>
  </si>
  <si>
    <t>Diglett (Alolan Form)</t>
  </si>
  <si>
    <t>Dugtrio</t>
  </si>
  <si>
    <t>Dugtrio (Alolan Form)</t>
  </si>
  <si>
    <t>Meowth</t>
  </si>
  <si>
    <t>Meowth (Alolan Form)</t>
  </si>
  <si>
    <t>Meowth (Galarian Form)</t>
  </si>
  <si>
    <t>Persian</t>
  </si>
  <si>
    <t>Persian (Alolan Form)</t>
  </si>
  <si>
    <t>Psyduck</t>
  </si>
  <si>
    <t>Golduck</t>
  </si>
  <si>
    <t>Mankey</t>
  </si>
  <si>
    <t>Primeape</t>
  </si>
  <si>
    <t>Growlithe</t>
  </si>
  <si>
    <t>Arcanine</t>
  </si>
  <si>
    <t>Poliwag</t>
  </si>
  <si>
    <t>Poliwhirl</t>
  </si>
  <si>
    <t>Poliwrath</t>
  </si>
  <si>
    <t>Abra</t>
  </si>
  <si>
    <t>Kadabra</t>
  </si>
  <si>
    <t>Alakazam</t>
  </si>
  <si>
    <t>Alakazam (Mega Alakazam)</t>
  </si>
  <si>
    <t>Machop</t>
  </si>
  <si>
    <t>Machoke</t>
  </si>
  <si>
    <t>Machamp</t>
  </si>
  <si>
    <t>Bellsprout</t>
  </si>
  <si>
    <t>Weepinbell</t>
  </si>
  <si>
    <t>Victreebel</t>
  </si>
  <si>
    <t>Tentacool</t>
  </si>
  <si>
    <t>Tentacruel</t>
  </si>
  <si>
    <t>Geodude</t>
  </si>
  <si>
    <t>Geodude (Alolan Form)</t>
  </si>
  <si>
    <t>Graveler</t>
  </si>
  <si>
    <t>Graveler (Alolan Form)</t>
  </si>
  <si>
    <t>Golem</t>
  </si>
  <si>
    <t>Golem (Alolan Form)</t>
  </si>
  <si>
    <t>Ponyta</t>
  </si>
  <si>
    <t>Ponyta (Galarian Form)</t>
  </si>
  <si>
    <t>Rapidash</t>
  </si>
  <si>
    <t>Rapidash (Galarian Form)</t>
  </si>
  <si>
    <t>Slowpoke</t>
  </si>
  <si>
    <t>Slowpoke (Galarian Form)</t>
  </si>
  <si>
    <t>Slowbro</t>
  </si>
  <si>
    <t>Slowbro (Mega Slowbro)</t>
  </si>
  <si>
    <t>Slowbro (Galarian Form)</t>
  </si>
  <si>
    <t>Magnemite</t>
  </si>
  <si>
    <t>Magneton</t>
  </si>
  <si>
    <t>Farfetch'd</t>
  </si>
  <si>
    <t>Farfetch'd (Galarian Form)</t>
  </si>
  <si>
    <t>Doduo</t>
  </si>
  <si>
    <t>Dodrio</t>
  </si>
  <si>
    <t>Seel</t>
  </si>
  <si>
    <t>Dewgong</t>
  </si>
  <si>
    <t>Grimer</t>
  </si>
  <si>
    <t>Grimer (Alolan Form)</t>
  </si>
  <si>
    <t>Muk</t>
  </si>
  <si>
    <t>Muk (Alolan Form)</t>
  </si>
  <si>
    <t>Shellder</t>
  </si>
  <si>
    <t>Cloyster</t>
  </si>
  <si>
    <t>Gastly</t>
  </si>
  <si>
    <t>Haunter</t>
  </si>
  <si>
    <t>Gengar</t>
  </si>
  <si>
    <t>Gengar (Mega Gengar)</t>
  </si>
  <si>
    <t>Onix</t>
  </si>
  <si>
    <t>Drowzee</t>
  </si>
  <si>
    <t>Hypno</t>
  </si>
  <si>
    <t>Krabby</t>
  </si>
  <si>
    <t>Kingler</t>
  </si>
  <si>
    <t>Voltorb</t>
  </si>
  <si>
    <t>Electrode</t>
  </si>
  <si>
    <t>Exeggcute</t>
  </si>
  <si>
    <t>Exeggutor</t>
  </si>
  <si>
    <t>Exeggutor (Alolan Form)</t>
  </si>
  <si>
    <t>Cubone</t>
  </si>
  <si>
    <t>Marowak</t>
  </si>
  <si>
    <t>Marowak (Alolan Form)</t>
  </si>
  <si>
    <t>Hitmonlee</t>
  </si>
  <si>
    <t>Hitmonchan</t>
  </si>
  <si>
    <t>Lickitung</t>
  </si>
  <si>
    <t>Koffing</t>
  </si>
  <si>
    <t>Weezing</t>
  </si>
  <si>
    <t>Weezing (Galarian Form)</t>
  </si>
  <si>
    <t>Rhyhorn</t>
  </si>
  <si>
    <t>Rhydon</t>
  </si>
  <si>
    <t>Chansey</t>
  </si>
  <si>
    <t>Tangela</t>
  </si>
  <si>
    <t>Kangaskhan</t>
  </si>
  <si>
    <t>Kangaskhan (Mega Kangaskhan)</t>
  </si>
  <si>
    <t>Horsea</t>
  </si>
  <si>
    <t>Seadra</t>
  </si>
  <si>
    <t>Goldeen</t>
  </si>
  <si>
    <t>Seaking</t>
  </si>
  <si>
    <t>Staryu</t>
  </si>
  <si>
    <t>Starmie</t>
  </si>
  <si>
    <t>Mr. Mime</t>
  </si>
  <si>
    <t>Mr. Mime (Galarian Form)</t>
  </si>
  <si>
    <t>Scyther</t>
  </si>
  <si>
    <t>Jynx</t>
  </si>
  <si>
    <t>Electabuzz</t>
  </si>
  <si>
    <t>Magmar</t>
  </si>
  <si>
    <t>Pinsir</t>
  </si>
  <si>
    <t>Pinsir (Mega Pinsir)</t>
  </si>
  <si>
    <t>Tauros</t>
  </si>
  <si>
    <t>Magikarp</t>
  </si>
  <si>
    <t>Gyarados</t>
  </si>
  <si>
    <t>Gyarados (Mega Gyarados)</t>
  </si>
  <si>
    <t>Lapras</t>
  </si>
  <si>
    <t>Ditto</t>
  </si>
  <si>
    <t>Eevee</t>
  </si>
  <si>
    <t>Eevee (Partner Eevee)</t>
  </si>
  <si>
    <t>Vaporeon</t>
  </si>
  <si>
    <t>Jolteon</t>
  </si>
  <si>
    <t>Flareon</t>
  </si>
  <si>
    <t>Porygon</t>
  </si>
  <si>
    <t>Omanyte</t>
  </si>
  <si>
    <t>Omastar</t>
  </si>
  <si>
    <t>Kabuto</t>
  </si>
  <si>
    <t>Kabutops</t>
  </si>
  <si>
    <t>Aerodactyl</t>
  </si>
  <si>
    <t>Aerodactyl (Mega Aerodactyl)</t>
  </si>
  <si>
    <t>Snorlax</t>
  </si>
  <si>
    <t>Articuno</t>
  </si>
  <si>
    <t>Articuno (Galarian Form)</t>
  </si>
  <si>
    <t>Zapdos</t>
  </si>
  <si>
    <t>Zapdos (Galarian Form)</t>
  </si>
  <si>
    <t>Moltres</t>
  </si>
  <si>
    <t>Moltres (Galarian Form)</t>
  </si>
  <si>
    <t>Dratini</t>
  </si>
  <si>
    <t>Dragonair</t>
  </si>
  <si>
    <t>Dragonite</t>
  </si>
  <si>
    <t>Mewtwo</t>
  </si>
  <si>
    <t>Mewtwo (Mega Mewtwo X)</t>
  </si>
  <si>
    <t>Mewtwo (Mega Mewtwo Y)</t>
  </si>
  <si>
    <t>Mew</t>
  </si>
  <si>
    <t>Chikorita</t>
  </si>
  <si>
    <t>Bayleef</t>
  </si>
  <si>
    <t>Meganium</t>
  </si>
  <si>
    <t>Cyndaquil</t>
  </si>
  <si>
    <t>Quilava</t>
  </si>
  <si>
    <t>Typhlosion</t>
  </si>
  <si>
    <t>Totodile</t>
  </si>
  <si>
    <t>Croconaw</t>
  </si>
  <si>
    <t>Feraligatr</t>
  </si>
  <si>
    <t>Sentret</t>
  </si>
  <si>
    <t>Furret</t>
  </si>
  <si>
    <t>Hoothoot</t>
  </si>
  <si>
    <t>Noctowl</t>
  </si>
  <si>
    <t>Ledyba</t>
  </si>
  <si>
    <t>Ledian</t>
  </si>
  <si>
    <t>Spinarak</t>
  </si>
  <si>
    <t>Ariados</t>
  </si>
  <si>
    <t>Crobat</t>
  </si>
  <si>
    <t>Chinchou</t>
  </si>
  <si>
    <t>Lanturn</t>
  </si>
  <si>
    <t>Pichu</t>
  </si>
  <si>
    <t>Cleffa</t>
  </si>
  <si>
    <t>Igglybuff</t>
  </si>
  <si>
    <t>Togepi</t>
  </si>
  <si>
    <t>Togetic</t>
  </si>
  <si>
    <t>Natu</t>
  </si>
  <si>
    <t>Xatu</t>
  </si>
  <si>
    <t>Mareep</t>
  </si>
  <si>
    <t>Flaaffy</t>
  </si>
  <si>
    <t>Ampharos</t>
  </si>
  <si>
    <t>Ampharos (Mega Ampharos)</t>
  </si>
  <si>
    <t>Bellossom</t>
  </si>
  <si>
    <t>Marill</t>
  </si>
  <si>
    <t>Azumarill</t>
  </si>
  <si>
    <t>Sudowoodo</t>
  </si>
  <si>
    <t>Politoed</t>
  </si>
  <si>
    <t>Hoppip</t>
  </si>
  <si>
    <t>Skiploom</t>
  </si>
  <si>
    <t>Jumpluff</t>
  </si>
  <si>
    <t>Aipom</t>
  </si>
  <si>
    <t>Sunkern</t>
  </si>
  <si>
    <t>Sunflora</t>
  </si>
  <si>
    <t>Yanma</t>
  </si>
  <si>
    <t>Wooper</t>
  </si>
  <si>
    <t>Quagsire</t>
  </si>
  <si>
    <t>Espeon</t>
  </si>
  <si>
    <t>Umbreon</t>
  </si>
  <si>
    <t>Murkrow</t>
  </si>
  <si>
    <t>Slowking</t>
  </si>
  <si>
    <t>Slowking (Galarian form)</t>
  </si>
  <si>
    <t>Misdreavus</t>
  </si>
  <si>
    <t>Unown</t>
  </si>
  <si>
    <t>Wobbuffet</t>
  </si>
  <si>
    <t>Girafarig</t>
  </si>
  <si>
    <t>Pineco</t>
  </si>
  <si>
    <t>Forretress</t>
  </si>
  <si>
    <t>Dunsparce</t>
  </si>
  <si>
    <t>Gligar</t>
  </si>
  <si>
    <t>Steelix</t>
  </si>
  <si>
    <t>Steelix (Mega Steelix)</t>
  </si>
  <si>
    <t>Snubbull</t>
  </si>
  <si>
    <t>Granbull</t>
  </si>
  <si>
    <t>Qwilfish</t>
  </si>
  <si>
    <t>Scizor</t>
  </si>
  <si>
    <t>Scizor (Mega Scizor)</t>
  </si>
  <si>
    <t>Shuckle</t>
  </si>
  <si>
    <t>Heracross</t>
  </si>
  <si>
    <t>Heracross (Mega Heracross)</t>
  </si>
  <si>
    <t>Sneasel</t>
  </si>
  <si>
    <t>Teddiursa</t>
  </si>
  <si>
    <t>Ursaring</t>
  </si>
  <si>
    <t>Slugma</t>
  </si>
  <si>
    <t>Magcargo</t>
  </si>
  <si>
    <t>Swinub</t>
  </si>
  <si>
    <t>Piloswine</t>
  </si>
  <si>
    <t>Corsola</t>
  </si>
  <si>
    <t>Corsola (Galarian Form)</t>
  </si>
  <si>
    <t>Remoraid</t>
  </si>
  <si>
    <t>Octillery</t>
  </si>
  <si>
    <t>Delibird</t>
  </si>
  <si>
    <t>Mantine</t>
  </si>
  <si>
    <t>Skarmory</t>
  </si>
  <si>
    <t>Houndour</t>
  </si>
  <si>
    <t>Houndoom</t>
  </si>
  <si>
    <t>Houndoom (Mega Houndoom)</t>
  </si>
  <si>
    <t>Kingdra</t>
  </si>
  <si>
    <t>Phanpy</t>
  </si>
  <si>
    <t>Donphan</t>
  </si>
  <si>
    <t>Porygon2</t>
  </si>
  <si>
    <t>Stantler</t>
  </si>
  <si>
    <t>Smeargle</t>
  </si>
  <si>
    <t>Tyrogue</t>
  </si>
  <si>
    <t>Hitmontop</t>
  </si>
  <si>
    <t>Smoochum</t>
  </si>
  <si>
    <t>Elekid</t>
  </si>
  <si>
    <t>Magby</t>
  </si>
  <si>
    <t>Miltank</t>
  </si>
  <si>
    <t>Blissey</t>
  </si>
  <si>
    <t>Raikou</t>
  </si>
  <si>
    <t>Entei</t>
  </si>
  <si>
    <t>Suicune</t>
  </si>
  <si>
    <t>Larvitar</t>
  </si>
  <si>
    <t>Pupitar</t>
  </si>
  <si>
    <t>Tyranitar</t>
  </si>
  <si>
    <t>Tyranitar (Mega Tyranitar)</t>
  </si>
  <si>
    <t>Lugia</t>
  </si>
  <si>
    <t>Ho-Oh</t>
  </si>
  <si>
    <t>Celebi</t>
  </si>
  <si>
    <t>Treecko</t>
  </si>
  <si>
    <t>Grovyle</t>
  </si>
  <si>
    <t>Sceptile</t>
  </si>
  <si>
    <t>Sceptile (Mega Sceptile)</t>
  </si>
  <si>
    <t>Torchic</t>
  </si>
  <si>
    <t>Combusken</t>
  </si>
  <si>
    <t>Blaziken</t>
  </si>
  <si>
    <t>Blaziken (Mega Blaziken)</t>
  </si>
  <si>
    <t>Mudkip</t>
  </si>
  <si>
    <t>Marshtomp</t>
  </si>
  <si>
    <t>Swampert</t>
  </si>
  <si>
    <t>Swampert (Mega Swampert)</t>
  </si>
  <si>
    <t>Poochyena</t>
  </si>
  <si>
    <t>Mightyena</t>
  </si>
  <si>
    <t>Zigzagoon</t>
  </si>
  <si>
    <t>Zigzagoon (Galarian Form)</t>
  </si>
  <si>
    <t>Linoone</t>
  </si>
  <si>
    <t>Linoone (Galarian Form)</t>
  </si>
  <si>
    <t>Wurmple</t>
  </si>
  <si>
    <t>Silcoon</t>
  </si>
  <si>
    <t>Beautifly</t>
  </si>
  <si>
    <t>Cascoon</t>
  </si>
  <si>
    <t>Dustox</t>
  </si>
  <si>
    <t>Lotad</t>
  </si>
  <si>
    <t>Lombre</t>
  </si>
  <si>
    <t>Ludicolo</t>
  </si>
  <si>
    <t>Seedot</t>
  </si>
  <si>
    <t>Nuzleaf</t>
  </si>
  <si>
    <t>Shiftry</t>
  </si>
  <si>
    <t>Taillow</t>
  </si>
  <si>
    <t>Swellow</t>
  </si>
  <si>
    <t>Wingull</t>
  </si>
  <si>
    <t>Pelipper</t>
  </si>
  <si>
    <t>Ralts</t>
  </si>
  <si>
    <t>Kirlia</t>
  </si>
  <si>
    <t>Gardevoir</t>
  </si>
  <si>
    <t>Gardevoir (Mega Gardevoir)</t>
  </si>
  <si>
    <t>Surskit</t>
  </si>
  <si>
    <t>Masquerain</t>
  </si>
  <si>
    <t>Shroomish</t>
  </si>
  <si>
    <t>Breloom</t>
  </si>
  <si>
    <t>Slakoth</t>
  </si>
  <si>
    <t>Vigoroth</t>
  </si>
  <si>
    <t>Slaking</t>
  </si>
  <si>
    <t>Nincada</t>
  </si>
  <si>
    <t>Ninjask</t>
  </si>
  <si>
    <t>Shedinja</t>
  </si>
  <si>
    <t>Whismur</t>
  </si>
  <si>
    <t>Loudred</t>
  </si>
  <si>
    <t>Exploud</t>
  </si>
  <si>
    <t>Makuhita</t>
  </si>
  <si>
    <t>Hariyama</t>
  </si>
  <si>
    <t>Azurill</t>
  </si>
  <si>
    <t>Nosepass</t>
  </si>
  <si>
    <t>Skitty</t>
  </si>
  <si>
    <t>Delcatty</t>
  </si>
  <si>
    <t>Sableye</t>
  </si>
  <si>
    <t>Sableye (Mega Sableye)</t>
  </si>
  <si>
    <t>Mawile</t>
  </si>
  <si>
    <t>Mawile (Mega Mawile)</t>
  </si>
  <si>
    <t>Aron</t>
  </si>
  <si>
    <t>Lairon</t>
  </si>
  <si>
    <t>Aggron</t>
  </si>
  <si>
    <t>Aggron (Mega Aggron)</t>
  </si>
  <si>
    <t>Meditite</t>
  </si>
  <si>
    <t>Medicham</t>
  </si>
  <si>
    <t>Medicham (Mega Medicham)</t>
  </si>
  <si>
    <t>Electrike</t>
  </si>
  <si>
    <t>Manectric</t>
  </si>
  <si>
    <t>Manectric (Mega Manectric)</t>
  </si>
  <si>
    <t>Plusle</t>
  </si>
  <si>
    <t>Minun</t>
  </si>
  <si>
    <t>Volbeat</t>
  </si>
  <si>
    <t>Illumise</t>
  </si>
  <si>
    <t>Roselia</t>
  </si>
  <si>
    <t>Gulpin</t>
  </si>
  <si>
    <t>Swalot</t>
  </si>
  <si>
    <t>Carvanha</t>
  </si>
  <si>
    <t>Sharpedo</t>
  </si>
  <si>
    <t>Sharpedo (Mega Sharpedo)</t>
  </si>
  <si>
    <t>Wailmer</t>
  </si>
  <si>
    <t>Wailord</t>
  </si>
  <si>
    <t>Numel</t>
  </si>
  <si>
    <t>Camerupt</t>
  </si>
  <si>
    <t>Camerupt (Mega Camerupt)</t>
  </si>
  <si>
    <t>Torkoal</t>
  </si>
  <si>
    <t>Spoink</t>
  </si>
  <si>
    <t>Grumpig</t>
  </si>
  <si>
    <t>Spinda</t>
  </si>
  <si>
    <t>Trapinch</t>
  </si>
  <si>
    <t>Vibrava</t>
  </si>
  <si>
    <t>Flygon</t>
  </si>
  <si>
    <t>Cacnea</t>
  </si>
  <si>
    <t>Cacturne</t>
  </si>
  <si>
    <t>Swablu</t>
  </si>
  <si>
    <t>Altaria</t>
  </si>
  <si>
    <t>Altaria (Mega Altaria)</t>
  </si>
  <si>
    <t>Zangoose</t>
  </si>
  <si>
    <t>Seviper</t>
  </si>
  <si>
    <t>Lunatone</t>
  </si>
  <si>
    <t>Solrock</t>
  </si>
  <si>
    <t>Barboach</t>
  </si>
  <si>
    <t>Whiscash</t>
  </si>
  <si>
    <t>Corphish</t>
  </si>
  <si>
    <t>Crawdaunt</t>
  </si>
  <si>
    <t>Baltoy</t>
  </si>
  <si>
    <t>Claydol</t>
  </si>
  <si>
    <t>Lileep</t>
  </si>
  <si>
    <t>Cradily</t>
  </si>
  <si>
    <t>Anorith</t>
  </si>
  <si>
    <t>Armaldo</t>
  </si>
  <si>
    <t>Feebas</t>
  </si>
  <si>
    <t>Milotic</t>
  </si>
  <si>
    <t>Castform</t>
  </si>
  <si>
    <t>Kecleon</t>
  </si>
  <si>
    <t>Shuppet</t>
  </si>
  <si>
    <t>Banette</t>
  </si>
  <si>
    <t>Banette (Mega Banette)</t>
  </si>
  <si>
    <t>Duskull</t>
  </si>
  <si>
    <t>Dusclops</t>
  </si>
  <si>
    <t>Tropius</t>
  </si>
  <si>
    <t>Chimecho</t>
  </si>
  <si>
    <t>Absol</t>
  </si>
  <si>
    <t>Absol (Mega Absol)</t>
  </si>
  <si>
    <t>Wynaut</t>
  </si>
  <si>
    <t>Snorunt</t>
  </si>
  <si>
    <t>Glalie</t>
  </si>
  <si>
    <t>Glalie (Mega Glalie)</t>
  </si>
  <si>
    <t>Sealeo</t>
  </si>
  <si>
    <t>Walrein</t>
  </si>
  <si>
    <t>Clamperl</t>
  </si>
  <si>
    <t>Huntail</t>
  </si>
  <si>
    <t>Gorebyss</t>
  </si>
  <si>
    <t>Relicanth</t>
  </si>
  <si>
    <t>Luvdisc</t>
  </si>
  <si>
    <t>Bagon</t>
  </si>
  <si>
    <t>Shelgon</t>
  </si>
  <si>
    <t>Salamence</t>
  </si>
  <si>
    <t>Salamence (Mega Salamence)</t>
  </si>
  <si>
    <t>Beldum</t>
  </si>
  <si>
    <t>Metang</t>
  </si>
  <si>
    <t>Metagross</t>
  </si>
  <si>
    <t>Metagross (Mega Metagross)</t>
  </si>
  <si>
    <t>Regirock</t>
  </si>
  <si>
    <t>Regice</t>
  </si>
  <si>
    <t>Registeel</t>
  </si>
  <si>
    <t>Latias</t>
  </si>
  <si>
    <t>Latias (Mega Latias)</t>
  </si>
  <si>
    <t>Latios</t>
  </si>
  <si>
    <t>Latios (Mega Latios)</t>
  </si>
  <si>
    <t>Kyogre</t>
  </si>
  <si>
    <t>Kyogre (Primal Kyogre)</t>
  </si>
  <si>
    <t>Groudon</t>
  </si>
  <si>
    <t>Groudon (Primal Groudon)</t>
  </si>
  <si>
    <t>Rayquaza</t>
  </si>
  <si>
    <t>Rayquaza (Mega Rayquaza)</t>
  </si>
  <si>
    <t>Jirachi</t>
  </si>
  <si>
    <t>Deoxys (Normal Forme)</t>
  </si>
  <si>
    <t>Deoxys (Attack Forme)</t>
  </si>
  <si>
    <t>Deoxys (Defense Forme)</t>
  </si>
  <si>
    <t>Deoxys (Speed Forme)</t>
  </si>
  <si>
    <t>Turtwig</t>
  </si>
  <si>
    <t>Grotle</t>
  </si>
  <si>
    <t>Torterra</t>
  </si>
  <si>
    <t>Chimchar</t>
  </si>
  <si>
    <t>Monferno</t>
  </si>
  <si>
    <t>Infernape</t>
  </si>
  <si>
    <t>Piplup</t>
  </si>
  <si>
    <t>Prinplup</t>
  </si>
  <si>
    <t>Empoleon</t>
  </si>
  <si>
    <t>Starly</t>
  </si>
  <si>
    <t>Staravia</t>
  </si>
  <si>
    <t>Staraptor</t>
  </si>
  <si>
    <t>Bidoof</t>
  </si>
  <si>
    <t>Bibarel</t>
  </si>
  <si>
    <t>Kricketot</t>
  </si>
  <si>
    <t>Kricketune</t>
  </si>
  <si>
    <t>Shinx</t>
  </si>
  <si>
    <t>Luxio</t>
  </si>
  <si>
    <t>Luxray</t>
  </si>
  <si>
    <t>Budew</t>
  </si>
  <si>
    <t>Roserade</t>
  </si>
  <si>
    <t>Cranidos</t>
  </si>
  <si>
    <t>Rampardos</t>
  </si>
  <si>
    <t>Shieldon</t>
  </si>
  <si>
    <t>Bastiodon</t>
  </si>
  <si>
    <t>Burmy</t>
  </si>
  <si>
    <t>Wormadam (Plant Cloak)</t>
  </si>
  <si>
    <t>Wormadam (Sandy Cloak)</t>
  </si>
  <si>
    <t>Wormadam (Trash Cloak)</t>
  </si>
  <si>
    <t>Mothim</t>
  </si>
  <si>
    <t>Combee</t>
  </si>
  <si>
    <t>Vespiquen</t>
  </si>
  <si>
    <t>Pachirisu</t>
  </si>
  <si>
    <t>Buizel</t>
  </si>
  <si>
    <t>Floatzel</t>
  </si>
  <si>
    <t>Cherubi</t>
  </si>
  <si>
    <t>Cherrim</t>
  </si>
  <si>
    <t>Shellos</t>
  </si>
  <si>
    <t>Gastrodon</t>
  </si>
  <si>
    <t>Ambipom</t>
  </si>
  <si>
    <t>Drifloon</t>
  </si>
  <si>
    <t>Drifblim</t>
  </si>
  <si>
    <t>Buneary</t>
  </si>
  <si>
    <t>Lopunny</t>
  </si>
  <si>
    <t>Lopunny (Mega Lopunny)</t>
  </si>
  <si>
    <t>Mismagius</t>
  </si>
  <si>
    <t>Honchkrow</t>
  </si>
  <si>
    <t>Glameow</t>
  </si>
  <si>
    <t>Purugly</t>
  </si>
  <si>
    <t>Chingling</t>
  </si>
  <si>
    <t>Stunky</t>
  </si>
  <si>
    <t>Skuntank</t>
  </si>
  <si>
    <t>Bronzor</t>
  </si>
  <si>
    <t>Bronzong</t>
  </si>
  <si>
    <t>Bonsly</t>
  </si>
  <si>
    <t>Mime Jr.</t>
  </si>
  <si>
    <t>Happiny</t>
  </si>
  <si>
    <t>Chatot</t>
  </si>
  <si>
    <t>Spiritomb</t>
  </si>
  <si>
    <t>Gible</t>
  </si>
  <si>
    <t>Gabite</t>
  </si>
  <si>
    <t>Garchomp</t>
  </si>
  <si>
    <t>Garchomp (Mega Garchomp)</t>
  </si>
  <si>
    <t>Munchlax</t>
  </si>
  <si>
    <t>Riolu</t>
  </si>
  <si>
    <t>Lucario</t>
  </si>
  <si>
    <t>Lucario (Mega Lucario)</t>
  </si>
  <si>
    <t>Hippopotas</t>
  </si>
  <si>
    <t>Hippowdon</t>
  </si>
  <si>
    <t>Skorupi</t>
  </si>
  <si>
    <t>Drapion</t>
  </si>
  <si>
    <t>Croagunk</t>
  </si>
  <si>
    <t>Toxicroak</t>
  </si>
  <si>
    <t>Carnivine</t>
  </si>
  <si>
    <t>Finneon</t>
  </si>
  <si>
    <t>Lumineon</t>
  </si>
  <si>
    <t>Mantyke</t>
  </si>
  <si>
    <t>Snover</t>
  </si>
  <si>
    <t>Abomasnow</t>
  </si>
  <si>
    <t>Abomasnow (Mega Abomasnow)</t>
  </si>
  <si>
    <t>Weavile</t>
  </si>
  <si>
    <t>Magnezone</t>
  </si>
  <si>
    <t>Lickilicky</t>
  </si>
  <si>
    <t>Rhyperior</t>
  </si>
  <si>
    <t>Tangrowth</t>
  </si>
  <si>
    <t>Electivire</t>
  </si>
  <si>
    <t>Magmortar</t>
  </si>
  <si>
    <t>Togekiss</t>
  </si>
  <si>
    <t>Yanmega</t>
  </si>
  <si>
    <t>Leafeon</t>
  </si>
  <si>
    <t>Glaceon</t>
  </si>
  <si>
    <t>Gliscor</t>
  </si>
  <si>
    <t>Mamoswine</t>
  </si>
  <si>
    <t>Porygon-Z</t>
  </si>
  <si>
    <t>Gallade</t>
  </si>
  <si>
    <t>Gallade (Mega Gallade)</t>
  </si>
  <si>
    <t>Probopass</t>
  </si>
  <si>
    <t>Dusknoir</t>
  </si>
  <si>
    <t>Froslass</t>
  </si>
  <si>
    <t>Rotom</t>
  </si>
  <si>
    <t>Rotom (Heat Rotom)</t>
  </si>
  <si>
    <t>Rotom (Wash Rotom)</t>
  </si>
  <si>
    <t>Rotom (Frost Rotom)</t>
  </si>
  <si>
    <t>Rotom (Fan Rotom)</t>
  </si>
  <si>
    <t>Rotom (Mow Rotom)</t>
  </si>
  <si>
    <t>Uxie</t>
  </si>
  <si>
    <t>Mesprit</t>
  </si>
  <si>
    <t>Azelf</t>
  </si>
  <si>
    <t>Dialga</t>
  </si>
  <si>
    <t>Palkia</t>
  </si>
  <si>
    <t>Heatran</t>
  </si>
  <si>
    <t>Regigigas</t>
  </si>
  <si>
    <t>Giratina (Altered Forme)</t>
  </si>
  <si>
    <t>Giratina (Origin Forme)</t>
  </si>
  <si>
    <t>Cresselia</t>
  </si>
  <si>
    <t>Phione</t>
  </si>
  <si>
    <t>Manaphy</t>
  </si>
  <si>
    <t>Darkrai</t>
  </si>
  <si>
    <t>Shaymin (Land Forme)</t>
  </si>
  <si>
    <t>Shaymin (Sky Forme)</t>
  </si>
  <si>
    <t>Arceus</t>
  </si>
  <si>
    <t>Victini</t>
  </si>
  <si>
    <t>Snivy</t>
  </si>
  <si>
    <t>Servine</t>
  </si>
  <si>
    <t>Serperior</t>
  </si>
  <si>
    <t>Tepig</t>
  </si>
  <si>
    <t>Pignite</t>
  </si>
  <si>
    <t>Emboar</t>
  </si>
  <si>
    <t>Oshawott</t>
  </si>
  <si>
    <t>Dewott</t>
  </si>
  <si>
    <t>Samurott</t>
  </si>
  <si>
    <t>Patrat</t>
  </si>
  <si>
    <t>Watchog</t>
  </si>
  <si>
    <t>Lillipup</t>
  </si>
  <si>
    <t>Herdier</t>
  </si>
  <si>
    <t>Stoutland</t>
  </si>
  <si>
    <t>Purrloin</t>
  </si>
  <si>
    <t>Liepard</t>
  </si>
  <si>
    <t>Pansage</t>
  </si>
  <si>
    <t>Simisage</t>
  </si>
  <si>
    <t>Pansear</t>
  </si>
  <si>
    <t>Simisear</t>
  </si>
  <si>
    <t>Panpour</t>
  </si>
  <si>
    <t>Simipour</t>
  </si>
  <si>
    <t>Munna</t>
  </si>
  <si>
    <t>Musharna</t>
  </si>
  <si>
    <t>Pidove</t>
  </si>
  <si>
    <t>Tranquill</t>
  </si>
  <si>
    <t>Unfezant</t>
  </si>
  <si>
    <t>Blitzle</t>
  </si>
  <si>
    <t>Zebstrika</t>
  </si>
  <si>
    <t>Roggenrola</t>
  </si>
  <si>
    <t>Boldore</t>
  </si>
  <si>
    <t>Gigalith</t>
  </si>
  <si>
    <t>Woobat</t>
  </si>
  <si>
    <t>Swoobat</t>
  </si>
  <si>
    <t>Drilbur</t>
  </si>
  <si>
    <t>Excadrill</t>
  </si>
  <si>
    <t>Audino</t>
  </si>
  <si>
    <t>Audino (Mega Audino)</t>
  </si>
  <si>
    <t>Timburr</t>
  </si>
  <si>
    <t>Gurdurr</t>
  </si>
  <si>
    <t>Conkeldurr</t>
  </si>
  <si>
    <t>Tympole</t>
  </si>
  <si>
    <t>Palpitoad</t>
  </si>
  <si>
    <t>Seismitoad</t>
  </si>
  <si>
    <t>Throh</t>
  </si>
  <si>
    <t>Sawk</t>
  </si>
  <si>
    <t>Sewaddle</t>
  </si>
  <si>
    <t>Swadloon</t>
  </si>
  <si>
    <t>Leavanny</t>
  </si>
  <si>
    <t>Venipede</t>
  </si>
  <si>
    <t>Whirlipede</t>
  </si>
  <si>
    <t>Scolipede</t>
  </si>
  <si>
    <t>Cottonee</t>
  </si>
  <si>
    <t>Whimsicott</t>
  </si>
  <si>
    <t>Petilil</t>
  </si>
  <si>
    <t>Lilligant</t>
  </si>
  <si>
    <t>Basculin</t>
  </si>
  <si>
    <t>Sandile</t>
  </si>
  <si>
    <t>Krokorok</t>
  </si>
  <si>
    <t>Krookodile</t>
  </si>
  <si>
    <t>Darumaka</t>
  </si>
  <si>
    <t>Darumaka (Galarian Form)</t>
  </si>
  <si>
    <t>Darmanitan (Standard Mode)</t>
  </si>
  <si>
    <t>Darmanitan (Zen Mode)</t>
  </si>
  <si>
    <t>Darmanitan (Galarian Form)</t>
  </si>
  <si>
    <t>Darmanitan (Galarian Form, Zen Mode)</t>
  </si>
  <si>
    <t>Maractus</t>
  </si>
  <si>
    <t>Dwebble</t>
  </si>
  <si>
    <t>Crustle</t>
  </si>
  <si>
    <t>Scraggy</t>
  </si>
  <si>
    <t>Scrafty</t>
  </si>
  <si>
    <t>Sigilyph</t>
  </si>
  <si>
    <t>Yamask</t>
  </si>
  <si>
    <t>Yamask (Galarian Form)</t>
  </si>
  <si>
    <t>Cofagrigus</t>
  </si>
  <si>
    <t>Tirtouga</t>
  </si>
  <si>
    <t>Carracosta</t>
  </si>
  <si>
    <t>Archen</t>
  </si>
  <si>
    <t>Archeops</t>
  </si>
  <si>
    <t>Trubbish</t>
  </si>
  <si>
    <t>Garbodor</t>
  </si>
  <si>
    <t>Zorua</t>
  </si>
  <si>
    <t>Zoroark</t>
  </si>
  <si>
    <t>Minccino</t>
  </si>
  <si>
    <t>Cinccino</t>
  </si>
  <si>
    <t>Gothita</t>
  </si>
  <si>
    <t>Gothorita</t>
  </si>
  <si>
    <t>Gothitelle</t>
  </si>
  <si>
    <t>Solosis</t>
  </si>
  <si>
    <t>Duosion</t>
  </si>
  <si>
    <t>Reuniclus</t>
  </si>
  <si>
    <t>Ducklett</t>
  </si>
  <si>
    <t>Swanna</t>
  </si>
  <si>
    <t>Vanillite</t>
  </si>
  <si>
    <t>Vanillish</t>
  </si>
  <si>
    <t>Vanilluxe</t>
  </si>
  <si>
    <t>Deerling</t>
  </si>
  <si>
    <t>Sawsbuck</t>
  </si>
  <si>
    <t>Emolga</t>
  </si>
  <si>
    <t>Karrablast</t>
  </si>
  <si>
    <t>Escavalier</t>
  </si>
  <si>
    <t>Foongus</t>
  </si>
  <si>
    <t>Amoonguss</t>
  </si>
  <si>
    <t>Frillish</t>
  </si>
  <si>
    <t>Jellicent</t>
  </si>
  <si>
    <t>Alomomola</t>
  </si>
  <si>
    <t>Joltik</t>
  </si>
  <si>
    <t>Galvantula</t>
  </si>
  <si>
    <t>Ferroseed</t>
  </si>
  <si>
    <t>Ferrothorn</t>
  </si>
  <si>
    <t>Klink</t>
  </si>
  <si>
    <t>Klang</t>
  </si>
  <si>
    <t>Klinklang</t>
  </si>
  <si>
    <t>Tynamo</t>
  </si>
  <si>
    <t>Eelektrik</t>
  </si>
  <si>
    <t>Eelektross</t>
  </si>
  <si>
    <t>Elgyem</t>
  </si>
  <si>
    <t>Beheeyem</t>
  </si>
  <si>
    <t>Litwick</t>
  </si>
  <si>
    <t>Lampent</t>
  </si>
  <si>
    <t>Chandelure</t>
  </si>
  <si>
    <t>Axew</t>
  </si>
  <si>
    <t>Fraxure</t>
  </si>
  <si>
    <t>Haxorus</t>
  </si>
  <si>
    <t>Cubchoo</t>
  </si>
  <si>
    <t>Beartic</t>
  </si>
  <si>
    <t>Cryogonal</t>
  </si>
  <si>
    <t>Shelmet</t>
  </si>
  <si>
    <t>Accelgor</t>
  </si>
  <si>
    <t>Stunfisk</t>
  </si>
  <si>
    <t>Stunfisk (Galarian Form)</t>
  </si>
  <si>
    <t>Mienfoo</t>
  </si>
  <si>
    <t>Mienshao</t>
  </si>
  <si>
    <t>Druddigon</t>
  </si>
  <si>
    <t>Golett</t>
  </si>
  <si>
    <t>Golurk</t>
  </si>
  <si>
    <t>Pawniard</t>
  </si>
  <si>
    <t>Bisharp</t>
  </si>
  <si>
    <t>Bouffalant</t>
  </si>
  <si>
    <t>Rufflet</t>
  </si>
  <si>
    <t>Braviary</t>
  </si>
  <si>
    <t>Vullaby</t>
  </si>
  <si>
    <t>Mandibuzz</t>
  </si>
  <si>
    <t>Heatmor</t>
  </si>
  <si>
    <t>Durant</t>
  </si>
  <si>
    <t>Deino</t>
  </si>
  <si>
    <t>Zweilous</t>
  </si>
  <si>
    <t>Hydreigon</t>
  </si>
  <si>
    <t>Larvesta</t>
  </si>
  <si>
    <t>Volcarona</t>
  </si>
  <si>
    <t>Cobalion</t>
  </si>
  <si>
    <t>Terrakion</t>
  </si>
  <si>
    <t>Virizion</t>
  </si>
  <si>
    <t>Tornadus (Incarnate Forme)</t>
  </si>
  <si>
    <t>Tornadus (Therian Forme)</t>
  </si>
  <si>
    <t>Thundurus (Incarnate Forme)</t>
  </si>
  <si>
    <t>Thundurus (Therian Forme)</t>
  </si>
  <si>
    <t>Reshiram</t>
  </si>
  <si>
    <t>Zekrom</t>
  </si>
  <si>
    <t>Landorus (Incarnate Forme)</t>
  </si>
  <si>
    <t>Landorus (Therian Forme)</t>
  </si>
  <si>
    <t>Kyurem (Normal Kyurem)</t>
  </si>
  <si>
    <t>Kyurem (Black Kyurem)</t>
  </si>
  <si>
    <t>Kyurem (White Kyurem)</t>
  </si>
  <si>
    <t>Keldeo</t>
  </si>
  <si>
    <t>Meloetta (Aria Forme)</t>
  </si>
  <si>
    <t>Meloetta (Pirouette Forme)</t>
  </si>
  <si>
    <t>Genesect</t>
  </si>
  <si>
    <t>Chespin</t>
  </si>
  <si>
    <t>Quilladin</t>
  </si>
  <si>
    <t>Chesnaught</t>
  </si>
  <si>
    <t>Fennekin</t>
  </si>
  <si>
    <t>Braixen</t>
  </si>
  <si>
    <t>Delphox</t>
  </si>
  <si>
    <t>Froakie</t>
  </si>
  <si>
    <t>Frogadier</t>
  </si>
  <si>
    <t>Greninja</t>
  </si>
  <si>
    <t>Greninja (Ash-Greninja)</t>
  </si>
  <si>
    <t>Bunnelby</t>
  </si>
  <si>
    <t>Diggersby</t>
  </si>
  <si>
    <t>Fletchling</t>
  </si>
  <si>
    <t>Fletchinder</t>
  </si>
  <si>
    <t>Talonflame</t>
  </si>
  <si>
    <t>Scatterbug</t>
  </si>
  <si>
    <t>Spewpa</t>
  </si>
  <si>
    <t>Vivillon</t>
  </si>
  <si>
    <t>Litleo</t>
  </si>
  <si>
    <t>Pyroar</t>
  </si>
  <si>
    <t>Flabébé</t>
  </si>
  <si>
    <t>Floette</t>
  </si>
  <si>
    <t>Florges</t>
  </si>
  <si>
    <t>Skiddo</t>
  </si>
  <si>
    <t>Gogoat</t>
  </si>
  <si>
    <t>Pancham</t>
  </si>
  <si>
    <t>Pangoro</t>
  </si>
  <si>
    <t>Furfrou</t>
  </si>
  <si>
    <t>Espurr</t>
  </si>
  <si>
    <t>Meowstic</t>
  </si>
  <si>
    <t>Honedge</t>
  </si>
  <si>
    <t>Doublade</t>
  </si>
  <si>
    <t>Aegislash (Shield Forme)</t>
  </si>
  <si>
    <t>Aegislash (Blade Forme)</t>
  </si>
  <si>
    <t>Spritzee</t>
  </si>
  <si>
    <t>Aromatisse</t>
  </si>
  <si>
    <t>Swirlix</t>
  </si>
  <si>
    <t>Slurpuff</t>
  </si>
  <si>
    <t>Inkay</t>
  </si>
  <si>
    <t>Malamar</t>
  </si>
  <si>
    <t>Binacle</t>
  </si>
  <si>
    <t>Barbaracle</t>
  </si>
  <si>
    <t>Skrelp</t>
  </si>
  <si>
    <t>Dragalge</t>
  </si>
  <si>
    <t>Clauncher</t>
  </si>
  <si>
    <t>Clawitzer</t>
  </si>
  <si>
    <t>Helioptile</t>
  </si>
  <si>
    <t>Heliolisk</t>
  </si>
  <si>
    <t>Tyrunt</t>
  </si>
  <si>
    <t>Tyrantrum</t>
  </si>
  <si>
    <t>Amaura</t>
  </si>
  <si>
    <t>Aurorus</t>
  </si>
  <si>
    <t>Sylveon</t>
  </si>
  <si>
    <t>Hawlucha</t>
  </si>
  <si>
    <t>Dedenne</t>
  </si>
  <si>
    <t>Carbink</t>
  </si>
  <si>
    <t>Goomy</t>
  </si>
  <si>
    <t>Sliggoo</t>
  </si>
  <si>
    <t>Goodra</t>
  </si>
  <si>
    <t>Klefki</t>
  </si>
  <si>
    <t>Phantump</t>
  </si>
  <si>
    <t>Trevenant</t>
  </si>
  <si>
    <t>Pumpkaboo (Small Size)</t>
  </si>
  <si>
    <t>Pumpkaboo (Average Size)</t>
  </si>
  <si>
    <t>Pumpkaboo (Large Size)</t>
  </si>
  <si>
    <t>Pumpkaboo (Super Size)</t>
  </si>
  <si>
    <t>Gourgeist (Small Size)</t>
  </si>
  <si>
    <t>Gourgeist (Average Size)</t>
  </si>
  <si>
    <t>Gourgeist (Large Size)</t>
  </si>
  <si>
    <t>Gourgeist (Super Size)</t>
  </si>
  <si>
    <t>Bergmite</t>
  </si>
  <si>
    <t>Avalugg</t>
  </si>
  <si>
    <t>Noibat</t>
  </si>
  <si>
    <t>Noivern</t>
  </si>
  <si>
    <t>Xerneas</t>
  </si>
  <si>
    <t>Yveltal</t>
  </si>
  <si>
    <t>Zygarde (50% Forme)</t>
  </si>
  <si>
    <t>Zygarde (10% Forme)</t>
  </si>
  <si>
    <t>Zygarde (Complete Forme)</t>
  </si>
  <si>
    <t>Diancie</t>
  </si>
  <si>
    <t>Diancie (Mega Diancie)</t>
  </si>
  <si>
    <t>Hoopa (Hoopa Confined)</t>
  </si>
  <si>
    <t>Hoopa (Hoopa Unbound)</t>
  </si>
  <si>
    <t>Volcanion</t>
  </si>
  <si>
    <t>Rowlet</t>
  </si>
  <si>
    <t>Dartrix</t>
  </si>
  <si>
    <t>Decidueye</t>
  </si>
  <si>
    <t>Litten</t>
  </si>
  <si>
    <t>Torracat</t>
  </si>
  <si>
    <t>Incineroar</t>
  </si>
  <si>
    <t>Popplio</t>
  </si>
  <si>
    <t>Brionne</t>
  </si>
  <si>
    <t>Primarina</t>
  </si>
  <si>
    <t>Pikipek</t>
  </si>
  <si>
    <t>Trumbeak</t>
  </si>
  <si>
    <t>Toucannon</t>
  </si>
  <si>
    <t>Yungoos</t>
  </si>
  <si>
    <t>Gumshoos</t>
  </si>
  <si>
    <t>Grubbin</t>
  </si>
  <si>
    <t>Charjabug</t>
  </si>
  <si>
    <t>Vikavolt</t>
  </si>
  <si>
    <t>Crabrawler</t>
  </si>
  <si>
    <t>Crabominable</t>
  </si>
  <si>
    <t>Oricorio</t>
  </si>
  <si>
    <t>Cutiefly</t>
  </si>
  <si>
    <t>Ribombee</t>
  </si>
  <si>
    <t>Rockruff</t>
  </si>
  <si>
    <t>Lycanroc (Midday Form)</t>
  </si>
  <si>
    <t>Lycanroc (Midnight Form)</t>
  </si>
  <si>
    <t>Lycanroc (Dusk Form)</t>
  </si>
  <si>
    <t>Wishiwashi (Solo Form)</t>
  </si>
  <si>
    <t>Wishiwashi (School Form)</t>
  </si>
  <si>
    <t>Mareanie</t>
  </si>
  <si>
    <t>Toxapex</t>
  </si>
  <si>
    <t>Mudbray</t>
  </si>
  <si>
    <t>Mudsdale</t>
  </si>
  <si>
    <t>Dewpider</t>
  </si>
  <si>
    <t>Araquanid</t>
  </si>
  <si>
    <t>Fomantis</t>
  </si>
  <si>
    <t>Lurantis</t>
  </si>
  <si>
    <t>Morelull</t>
  </si>
  <si>
    <t>Shiinotic</t>
  </si>
  <si>
    <t>Salandit</t>
  </si>
  <si>
    <t>Salazzle</t>
  </si>
  <si>
    <t>Stufful</t>
  </si>
  <si>
    <t>Bewear</t>
  </si>
  <si>
    <t>Bounsweet</t>
  </si>
  <si>
    <t>Steenee</t>
  </si>
  <si>
    <t>Tsareena</t>
  </si>
  <si>
    <t>Comfey</t>
  </si>
  <si>
    <t>Oranguru</t>
  </si>
  <si>
    <t>Passimian</t>
  </si>
  <si>
    <t>Wimpod</t>
  </si>
  <si>
    <t>Golisopod</t>
  </si>
  <si>
    <t>Sandygast</t>
  </si>
  <si>
    <t>Palossand</t>
  </si>
  <si>
    <t>Pyukumuku</t>
  </si>
  <si>
    <t>Type: Null</t>
  </si>
  <si>
    <t>Silvally</t>
  </si>
  <si>
    <t>Minior (Meteor Form)</t>
  </si>
  <si>
    <t>Minior (Core Form)</t>
  </si>
  <si>
    <t>Komala</t>
  </si>
  <si>
    <t>Turtonator</t>
  </si>
  <si>
    <t>Togedemaru</t>
  </si>
  <si>
    <t>Mimikyu</t>
  </si>
  <si>
    <t>Bruxish</t>
  </si>
  <si>
    <t>Drampa</t>
  </si>
  <si>
    <t>Dhelmise</t>
  </si>
  <si>
    <t>Jangmo-o</t>
  </si>
  <si>
    <t>Hakamo-o</t>
  </si>
  <si>
    <t>Kommo-o</t>
  </si>
  <si>
    <t>Tapu Koko</t>
  </si>
  <si>
    <t>Tapu Lele</t>
  </si>
  <si>
    <t>Tapu Bulu</t>
  </si>
  <si>
    <t>Tapu Fini</t>
  </si>
  <si>
    <t>Cosmog</t>
  </si>
  <si>
    <t>Cosmoem</t>
  </si>
  <si>
    <t>Solgaleo</t>
  </si>
  <si>
    <t>Lunala</t>
  </si>
  <si>
    <t>Nihilego</t>
  </si>
  <si>
    <t>Buzzwole</t>
  </si>
  <si>
    <t>Pheromosa</t>
  </si>
  <si>
    <t>Xurkitree</t>
  </si>
  <si>
    <t>Celesteela</t>
  </si>
  <si>
    <t>Kartana</t>
  </si>
  <si>
    <t>Guzzlord</t>
  </si>
  <si>
    <t>Necrozma</t>
  </si>
  <si>
    <t>Necrozma (Dusk Mane)</t>
  </si>
  <si>
    <t>Necrozma (Dawn Wings)</t>
  </si>
  <si>
    <t>Necrozma (Ultra Necrozma)</t>
  </si>
  <si>
    <t>Magearna</t>
  </si>
  <si>
    <t>Marshadow</t>
  </si>
  <si>
    <t>Poipole</t>
  </si>
  <si>
    <t>Naganadel</t>
  </si>
  <si>
    <t>Stakataka</t>
  </si>
  <si>
    <t>Blacephalon</t>
  </si>
  <si>
    <t>Zeraora</t>
  </si>
  <si>
    <t>Meltan</t>
  </si>
  <si>
    <t>Melmetal</t>
  </si>
  <si>
    <t>Grookey</t>
  </si>
  <si>
    <t>Thwackey</t>
  </si>
  <si>
    <t>Rillaboom</t>
  </si>
  <si>
    <t>Scorbunny</t>
  </si>
  <si>
    <t>Raboot</t>
  </si>
  <si>
    <t>Cinderace</t>
  </si>
  <si>
    <t>Sobble</t>
  </si>
  <si>
    <t>Drizzile</t>
  </si>
  <si>
    <t>Inteleon</t>
  </si>
  <si>
    <t>Skwovet</t>
  </si>
  <si>
    <t>Greedent</t>
  </si>
  <si>
    <t>Rookidee</t>
  </si>
  <si>
    <t>Corvisquire</t>
  </si>
  <si>
    <t>Corviknight</t>
  </si>
  <si>
    <t>Blipbug</t>
  </si>
  <si>
    <t>Dottler</t>
  </si>
  <si>
    <t>Orbeetle</t>
  </si>
  <si>
    <t>Nickit</t>
  </si>
  <si>
    <t>Thievul</t>
  </si>
  <si>
    <t>Gossifleur</t>
  </si>
  <si>
    <t>Eldegoss</t>
  </si>
  <si>
    <t>Wooloo</t>
  </si>
  <si>
    <t>Dubwool</t>
  </si>
  <si>
    <t>Chewtle</t>
  </si>
  <si>
    <t>Drednaw</t>
  </si>
  <si>
    <t>Yamper</t>
  </si>
  <si>
    <t>Boltund</t>
  </si>
  <si>
    <t>Rolycoly</t>
  </si>
  <si>
    <t>Carkol</t>
  </si>
  <si>
    <t>Coalossal</t>
  </si>
  <si>
    <t>Applin</t>
  </si>
  <si>
    <t>Flapple</t>
  </si>
  <si>
    <t>Appletun</t>
  </si>
  <si>
    <t>Silicobra</t>
  </si>
  <si>
    <t>Sandaconda</t>
  </si>
  <si>
    <t>Cramorant</t>
  </si>
  <si>
    <t>Arrokuda</t>
  </si>
  <si>
    <t>Barraskewda</t>
  </si>
  <si>
    <t>Toxel</t>
  </si>
  <si>
    <t>Toxtricity (Amped Form)</t>
  </si>
  <si>
    <t>Toxtricity (Low Key Form)</t>
  </si>
  <si>
    <t>Sizzlipede</t>
  </si>
  <si>
    <t>Centiskorch</t>
  </si>
  <si>
    <t>Clobbopus</t>
  </si>
  <si>
    <t>Grapploct</t>
  </si>
  <si>
    <t>Sinistea</t>
  </si>
  <si>
    <t>Polteageist</t>
  </si>
  <si>
    <t>Hatenna</t>
  </si>
  <si>
    <t>Hattrem</t>
  </si>
  <si>
    <t>Hatterene</t>
  </si>
  <si>
    <t>Impidimp</t>
  </si>
  <si>
    <t>Morgrem</t>
  </si>
  <si>
    <t>Grimmsnarl</t>
  </si>
  <si>
    <t>Obstagoon</t>
  </si>
  <si>
    <t>Perrserker</t>
  </si>
  <si>
    <t>Cursola</t>
  </si>
  <si>
    <t>Sirfetch'd</t>
  </si>
  <si>
    <t>Mr. Rime</t>
  </si>
  <si>
    <t>Runerigus</t>
  </si>
  <si>
    <t>Milcery</t>
  </si>
  <si>
    <t>Alcremie</t>
  </si>
  <si>
    <t>Falinks</t>
  </si>
  <si>
    <t>Pincurchin</t>
  </si>
  <si>
    <t>Snom</t>
  </si>
  <si>
    <t>Frosmoth</t>
  </si>
  <si>
    <t>Stonjourner</t>
  </si>
  <si>
    <t>Eiscue (Ice Face)</t>
  </si>
  <si>
    <t>Eiscue (Noice Face)</t>
  </si>
  <si>
    <t>Indeedee (Male)</t>
  </si>
  <si>
    <t>Indeedee (Female)</t>
  </si>
  <si>
    <t>Morpeko</t>
  </si>
  <si>
    <t>Cufant</t>
  </si>
  <si>
    <t>Copperajah</t>
  </si>
  <si>
    <t>Dracozolt</t>
  </si>
  <si>
    <t>Arctozolt</t>
  </si>
  <si>
    <t>Dracovish</t>
  </si>
  <si>
    <t>Arctovish</t>
  </si>
  <si>
    <t>Duraludon</t>
  </si>
  <si>
    <t>Dreepy</t>
  </si>
  <si>
    <t>Drakloak</t>
  </si>
  <si>
    <t>Dragapult</t>
  </si>
  <si>
    <t>Zacian (Hero of Many Battles)</t>
  </si>
  <si>
    <t>Zacian (Crowned Sword)</t>
  </si>
  <si>
    <t>Zamazenta (Hero of Many Battles)</t>
  </si>
  <si>
    <t>Zamazenta (Crowned Shield)</t>
  </si>
  <si>
    <t>Eternatus</t>
  </si>
  <si>
    <t>Eternatus (Eternamax)</t>
  </si>
  <si>
    <t>Kubfu</t>
  </si>
  <si>
    <t>Urshifu (Single Strike Style)</t>
  </si>
  <si>
    <t>Urshifu (Rapid Strike Style)</t>
  </si>
  <si>
    <t>Zarude</t>
  </si>
  <si>
    <t>Regieleki</t>
  </si>
  <si>
    <t>Regidrago</t>
  </si>
  <si>
    <t>Glastrier</t>
  </si>
  <si>
    <t>Spectrier</t>
  </si>
  <si>
    <t>Calyrex</t>
  </si>
  <si>
    <t>Calyrex (Ice Rider)</t>
  </si>
  <si>
    <t>Calyrex (Shadow Rider)</t>
  </si>
  <si>
    <t>Wyrdeer</t>
  </si>
  <si>
    <t>Kleavor</t>
  </si>
  <si>
    <t>Ursaluna</t>
  </si>
  <si>
    <t>Basculegion (Male)</t>
  </si>
  <si>
    <t>Basculegion (Female)</t>
  </si>
  <si>
    <t>Sneasler</t>
  </si>
  <si>
    <t>Overqwil</t>
  </si>
  <si>
    <t>Enamorus (Incarnate Forme)</t>
  </si>
  <si>
    <t>Enamorus (Therian Forme)</t>
  </si>
  <si>
    <t>Sprigatito</t>
  </si>
  <si>
    <t>Floragato</t>
  </si>
  <si>
    <t>Meowscarada</t>
  </si>
  <si>
    <t>Fuecoco</t>
  </si>
  <si>
    <t>Crocalor</t>
  </si>
  <si>
    <t>Skeledirge</t>
  </si>
  <si>
    <t>Quaxly</t>
  </si>
  <si>
    <t>Quaxwell</t>
  </si>
  <si>
    <t>Quaquaval</t>
  </si>
  <si>
    <t>Lechonk</t>
  </si>
  <si>
    <t>Oinkologne (Male)</t>
  </si>
  <si>
    <t>Oinkologne (Female)</t>
  </si>
  <si>
    <t>Tarountula</t>
  </si>
  <si>
    <t>Spidops</t>
  </si>
  <si>
    <t>Nymble</t>
  </si>
  <si>
    <t>Lokix</t>
  </si>
  <si>
    <t>Pawmi</t>
  </si>
  <si>
    <t>Pawmo</t>
  </si>
  <si>
    <t>Pawmot</t>
  </si>
  <si>
    <t>Tandemaus</t>
  </si>
  <si>
    <t>Maushold</t>
  </si>
  <si>
    <t>Fidough</t>
  </si>
  <si>
    <t>Dachsbun</t>
  </si>
  <si>
    <t>Smoliv</t>
  </si>
  <si>
    <t>Dolliv</t>
  </si>
  <si>
    <t>Arboliva</t>
  </si>
  <si>
    <t>Squawkabilly</t>
  </si>
  <si>
    <t>Nacli</t>
  </si>
  <si>
    <t>Naclstack</t>
  </si>
  <si>
    <t>Garganacl</t>
  </si>
  <si>
    <t>Charcadet</t>
  </si>
  <si>
    <t>Armarouge</t>
  </si>
  <si>
    <t>Ceruledge</t>
  </si>
  <si>
    <t>Tadbulb</t>
  </si>
  <si>
    <t>Bellibolt</t>
  </si>
  <si>
    <t>Wattrel</t>
  </si>
  <si>
    <t>Kilowattrel</t>
  </si>
  <si>
    <t>Maschiff</t>
  </si>
  <si>
    <t>Mabosstiff</t>
  </si>
  <si>
    <t>Shroodle</t>
  </si>
  <si>
    <t>Grafaiai</t>
  </si>
  <si>
    <t>Bramblin</t>
  </si>
  <si>
    <t>Brambleghast</t>
  </si>
  <si>
    <t>Toedscool</t>
  </si>
  <si>
    <t>Toedscruel</t>
  </si>
  <si>
    <t>Klawf</t>
  </si>
  <si>
    <t>Capsakid</t>
  </si>
  <si>
    <t>Scovillain</t>
  </si>
  <si>
    <t>Rellor</t>
  </si>
  <si>
    <t>Rabsca</t>
  </si>
  <si>
    <t>Flittle</t>
  </si>
  <si>
    <t>Espathra</t>
  </si>
  <si>
    <t>Tinkatink</t>
  </si>
  <si>
    <t>Tinkatuff</t>
  </si>
  <si>
    <t>Tinkaton</t>
  </si>
  <si>
    <t>Wiglett</t>
  </si>
  <si>
    <t>Wugtrio</t>
  </si>
  <si>
    <t>Bombirdier</t>
  </si>
  <si>
    <t>Finizen</t>
  </si>
  <si>
    <t>Palafin (Zero)</t>
  </si>
  <si>
    <t>Palafin (Hero)</t>
  </si>
  <si>
    <t>Varoom</t>
  </si>
  <si>
    <t>Revavroom</t>
  </si>
  <si>
    <t>Cyclizar</t>
  </si>
  <si>
    <t>Orthworm</t>
  </si>
  <si>
    <t>Glimmet</t>
  </si>
  <si>
    <t>Glimmora</t>
  </si>
  <si>
    <t>Greavard</t>
  </si>
  <si>
    <t>Houndstone</t>
  </si>
  <si>
    <t>Flamigo</t>
  </si>
  <si>
    <t>Cetoddle</t>
  </si>
  <si>
    <t>Cetitan</t>
  </si>
  <si>
    <t>Veluza</t>
  </si>
  <si>
    <t>Dondozo</t>
  </si>
  <si>
    <t>Tatsugiri</t>
  </si>
  <si>
    <t>Annihilape</t>
  </si>
  <si>
    <t>Clodsire</t>
  </si>
  <si>
    <t>Farigiraf</t>
  </si>
  <si>
    <t>Dudunsparce</t>
  </si>
  <si>
    <t>Kingambit</t>
  </si>
  <si>
    <t>Great Tusk</t>
  </si>
  <si>
    <t>Scream Tail</t>
  </si>
  <si>
    <t>Brute Bonnet</t>
  </si>
  <si>
    <t>Flutter Mane</t>
  </si>
  <si>
    <t>Slither Wing</t>
  </si>
  <si>
    <t>Sandy Shocks</t>
  </si>
  <si>
    <t>Iron Treads</t>
  </si>
  <si>
    <t>Iron Bundle</t>
  </si>
  <si>
    <t>Iron Hands</t>
  </si>
  <si>
    <t>Iron Jugulis</t>
  </si>
  <si>
    <t>Iron Moth</t>
  </si>
  <si>
    <t>Iron Thorns</t>
  </si>
  <si>
    <t>Frigibax</t>
  </si>
  <si>
    <t>Arctibax</t>
  </si>
  <si>
    <t>Baxcalibur</t>
  </si>
  <si>
    <t>Gimmighoul (Chest Form)</t>
  </si>
  <si>
    <t>Gimmighoul (Roaming Form)</t>
  </si>
  <si>
    <t>Gholdengo</t>
  </si>
  <si>
    <t>Wo-Chien</t>
  </si>
  <si>
    <t>Chien-Pao</t>
  </si>
  <si>
    <t>Ting-Lu</t>
  </si>
  <si>
    <t>Chi-Yu</t>
  </si>
  <si>
    <t>Roaring Moon</t>
  </si>
  <si>
    <t>Iron Valiant</t>
  </si>
  <si>
    <t>Koraidon</t>
  </si>
  <si>
    <t>Miraidon</t>
  </si>
  <si>
    <t>Walking Wake</t>
  </si>
  <si>
    <t>Iron Leaves</t>
  </si>
  <si>
    <t>Growlithe (Hisuian Growlithe)</t>
  </si>
  <si>
    <t>Arcanine (Hisuian Arcanine)</t>
  </si>
  <si>
    <t>Voltorb (Hisuian Voltorb)</t>
  </si>
  <si>
    <t>Electrode (Hisuian Electrode)</t>
  </si>
  <si>
    <t>Typhlosion (Hisuian Typhlosion)</t>
  </si>
  <si>
    <t>Qwilfish (Hisuian Qwilfish)</t>
  </si>
  <si>
    <t>Sneasel (Hisuian Sneasel)</t>
  </si>
  <si>
    <t>Samurott (Hisuian Samurott)</t>
  </si>
  <si>
    <t xml:space="preserve">	Lilligant (Hisuian Lilligant)</t>
  </si>
  <si>
    <t xml:space="preserve">	Zorua (Hisuian Zorua)</t>
  </si>
  <si>
    <t>Zoroark (Hisuian Zoroark)</t>
  </si>
  <si>
    <t>Braviary (Hisuian Braviary)</t>
  </si>
  <si>
    <t>Sliggoo (Hisuian Sliggoo)</t>
  </si>
  <si>
    <t>Goodra (Hisuian Goodra)</t>
  </si>
  <si>
    <t>Avalugg (Hisuian Avalugg)</t>
  </si>
  <si>
    <t>Decidueye (Hisuian Decidueye)</t>
  </si>
  <si>
    <t xml:space="preserve"> &lt;-- Tip: press F9 to roll D-Speed  </t>
  </si>
  <si>
    <t xml:space="preserve"> - Must have a base power (Optional)</t>
  </si>
  <si>
    <t>The amount of EXP you have. Must be updated manually and automatically updates your level.</t>
  </si>
  <si>
    <t>Your current level. Will update automatically based on your experience points.</t>
  </si>
  <si>
    <t>The power of your moves. Increases with repeated usage, and will automatically update your damage dice</t>
  </si>
  <si>
    <t>Your Name</t>
  </si>
  <si>
    <t>Your Pokemon's Type</t>
  </si>
  <si>
    <t>Your Pokemon's Species. This will automatically update your Base Stats</t>
  </si>
  <si>
    <t>Your Total Gained Experience Points. This will automatically Increase your displayed level once you reach a level up threshold</t>
  </si>
  <si>
    <t>Your Pokemon's Name</t>
  </si>
  <si>
    <t>Your Pokemon's Ability. Will automatically display the ability's effect to the right of this cell</t>
  </si>
  <si>
    <t>Your Pokemon's Held item. This does not take a bag space slot. Can only stack to one item. The item's description will be displayed to the right of this cell</t>
  </si>
  <si>
    <t>Do not enter any info in this box. You automatically get one point for your HP level up bonus every time you level up.</t>
  </si>
  <si>
    <t>Your Attack Level up bonus. Whenever you level up, you may spend your offensive stat point here to increase your stat by one.</t>
  </si>
  <si>
    <t>Your Special Attack Level up bonus. Whenever you level up, you may spend your offensive stat point here to increase your stat by one.</t>
  </si>
  <si>
    <t>Your Speed Level up bonus. Whenever you level up, you may spend your offensive stat point here to increase your stat by one.</t>
  </si>
  <si>
    <t>Your Defense Level up bonus. Whenever you level up, you may spend your defensive stat point here to increase your stat by one.</t>
  </si>
  <si>
    <t>Your Special Defense Level up bonus. Whenever you level up, you may spend your defensive stat point here to increase your stat by one.</t>
  </si>
  <si>
    <t xml:space="preserve">  </t>
  </si>
  <si>
    <t>Your Pokemon's Move. The info will be automatically filled out in the cells to the right</t>
  </si>
  <si>
    <t xml:space="preserve">Temporary bonus are inserted here for stats increases from held items, effects, etc. </t>
  </si>
  <si>
    <t>Permanent bonuses are inserted here for any permanent changes to your stats.</t>
  </si>
  <si>
    <t>During the course of a battle, you will encounter stat changes. Insert them here and your stats will automatically update.</t>
  </si>
  <si>
    <t>Your Final HP Stat</t>
  </si>
  <si>
    <t>Your Final Attack Stat</t>
  </si>
  <si>
    <t>Your Final Defense Stat</t>
  </si>
  <si>
    <t>Your Final Special Attack Stat</t>
  </si>
  <si>
    <t>Your Final Special Defense Stat</t>
  </si>
  <si>
    <t>Your Final Speed Stat</t>
  </si>
  <si>
    <t>Insert IQ skills here. The description will automatically pop up to the right. The required IQ Skills should already be in place by default.</t>
  </si>
  <si>
    <t>Insert your human stats here based on your Pokemon's type. Refer to the Atytribute Chart Page for more info</t>
  </si>
  <si>
    <t>|</t>
  </si>
  <si>
    <t>\/</t>
  </si>
  <si>
    <t>Your total accumulated Money</t>
  </si>
  <si>
    <t>Your total accumulated IQ skill points from gummi consumption. IQ points are subtracted from here when they are spent. Refer to the IQ Skills Page</t>
  </si>
  <si>
    <t>You must update the color of the bag slots manually when obtaining new bags. Simply click and drag to highlight all the cells that pertain to the bag you unlocked, and the ones before it, then in Excel go to HOME &gt; Fill Color &gt; Lime Green.</t>
  </si>
  <si>
    <t>Put items in your bag here. The item description will automatically appear on the right. Bright Green cells are unlocked bag spaces. Unlock more bag space by aquiring new bags. Better bags unlock all slot for the bag before it. There is no stack limit.</t>
  </si>
  <si>
    <t>When rolling for a check, roll a D20 + your related human stat. (e.g. for an Athletics roll it would be D20+ your "Cool" stat.</t>
  </si>
  <si>
    <t>Track how many times You use a move. When You use a move five times, it levels up and is automatically updated, displayed to the left.</t>
  </si>
  <si>
    <t>This is simply a checkbox for quick reference as to whether or not a move can be used as a bonus action. Must be updated manually. If set to TRU E, then it will display Green, otherwise it will display red.</t>
  </si>
  <si>
    <t xml:space="preserve">     |                           FALSE</t>
  </si>
  <si>
    <t>When you use a move that has an effect in this column, roll a separate D20 from your accuracy check. If the rollis equal to or hight than this number, then the effect described to the left of this box takes effect.</t>
  </si>
  <si>
    <t>If a move has a special effect, then it will be described here.</t>
  </si>
  <si>
    <t xml:space="preserve">The dice You roll to determine damage. </t>
  </si>
  <si>
    <t>Roll a D20 before using the move. If it is equal to or more than this number, the move hits.</t>
  </si>
  <si>
    <t>The base power of the move as referenced in the Damage Chart Page</t>
  </si>
  <si>
    <t>Determines if a move is physical, which uses your attack, and the opponents defense stat, or special, which uses your special attack stat and the opponenents special defense stat, or if the move is a status move.</t>
  </si>
  <si>
    <t>The type of the move</t>
  </si>
  <si>
    <t xml:space="preserve">    \/                          FALSE</t>
  </si>
  <si>
    <t>The cost of the IQ skill. Refer to the IQ skills Page.</t>
  </si>
  <si>
    <t>The description of the IQ skill</t>
  </si>
  <si>
    <t>Your Pokemon's Final Stat after stat changes, not including battle stat changes.</t>
  </si>
  <si>
    <t>This move slot is optional</t>
  </si>
  <si>
    <t>Your Base Stats + Level Up Bonuses</t>
  </si>
  <si>
    <t>The sum of your level up bonus points. You should always have [ Your Level ] / 2 - 2 points. This is because you get one offensive and one defensive stat point per level up since level 1. (e.g. If you start at level ten, You should start with eighteen points)</t>
  </si>
  <si>
    <t>Your Character's Level. You get two stat points to add to your Level Up Bonuses for every level past level one. One for your defensive stats (Blue) and one for your offensive stats (orange) you may not put both stat points into offensive or defensive.</t>
  </si>
  <si>
    <t>Your Pokemon's Base Stats</t>
  </si>
  <si>
    <t>The item description</t>
  </si>
  <si>
    <t>How many of the same type of item You have</t>
  </si>
  <si>
    <t>(Scroll to the right</t>
  </si>
  <si>
    <t>for item numbers)</t>
  </si>
  <si>
    <t>To see the definition, explanation or useful</t>
  </si>
  <si>
    <t xml:space="preserve">information about a cell, click on it in this </t>
  </si>
  <si>
    <t>page to see the info displayed at the top of the</t>
  </si>
  <si>
    <t>It is reccommended for everyone who is not</t>
  </si>
  <si>
    <t>and review the info on this page.</t>
  </si>
  <si>
    <t xml:space="preserve">familiar with this system to take some time </t>
  </si>
  <si>
    <t>The arrows denote that the info above them</t>
  </si>
  <si>
    <t>is the same as the cells containing the arrows</t>
  </si>
  <si>
    <t>How to use this page</t>
  </si>
  <si>
    <t>Traveling (Optional)</t>
  </si>
  <si>
    <t>Your moves level up after using it five times. Doing so increases your damage every level gained. There is no benefit for leveling up status moves. Refer to Defenitions Page for more details.</t>
  </si>
  <si>
    <t>The amount of Belly you have. This is an optional feature. Your Belly is equal to your level +ten</t>
  </si>
  <si>
    <t>Belly</t>
  </si>
  <si>
    <t xml:space="preserve"> Max Belly</t>
  </si>
  <si>
    <t xml:space="preserve">  Current Belly</t>
  </si>
  <si>
    <t>Your Current Belly</t>
  </si>
  <si>
    <t>screen. See the Definition page for more info</t>
  </si>
  <si>
    <t>The name of your in-game character. Be creative! Or not, whatever floats your S.S. Titan.</t>
  </si>
  <si>
    <t>The maximum energy you can have. This is an optional Feature</t>
  </si>
  <si>
    <t>How much energy you currently have. This is an optional Feature</t>
  </si>
  <si>
    <t>Decrease current belly by one when using a move. Includes bonus moves. This is an optional feature</t>
  </si>
  <si>
    <t>This sheet is here in case a formula gets deleted</t>
  </si>
  <si>
    <t>or misplaced or whatever. Copy the data from this sheet</t>
  </si>
  <si>
    <t>and paste it in the main character sheet.</t>
  </si>
  <si>
    <t xml:space="preserve">Do not use this page as an actual character sheet. </t>
  </si>
  <si>
    <t xml:space="preserve">To get extra character sheets, simply right click the </t>
  </si>
  <si>
    <t>page's tab on the bottom of the screen and click</t>
  </si>
  <si>
    <t>"Move or Copy" then select "Copy"</t>
  </si>
  <si>
    <t>This box will tell you if your level up bonus points are distributed correctly. If the box to the right says TRUE, then everything is good, If the box is red, then follow the instructions in the box to fix the mistake. If the text is too small, click "wrap text" in Excel</t>
  </si>
  <si>
    <t>Acknowledgements</t>
  </si>
  <si>
    <t xml:space="preserve">In accordance with CC BY-NC 4.0 you are free to: </t>
  </si>
  <si>
    <t>Under the following terms:</t>
  </si>
  <si>
    <t xml:space="preserve">Attribution — You must give appropriate credit, provide a link to the license, and indicate if changes were made. </t>
  </si>
  <si>
    <t>Adapt — remix, transform, and build upon this document</t>
  </si>
  <si>
    <t>NonCommercial — You may not use this document for commercial purposes. You may not sell or otherwise financially profit from the use of this document</t>
  </si>
  <si>
    <t xml:space="preserve">   "Not a Scratch Tabletop Role Playing Game"</t>
  </si>
  <si>
    <t xml:space="preserve">   Dakota - Creator of the PTT System, a fork of the original</t>
  </si>
  <si>
    <t xml:space="preserve">     Anirudh - Creator of the Not a Scratch Tabletop Role Playing Game</t>
  </si>
  <si>
    <t xml:space="preserve">     Mansour - Contibutor</t>
  </si>
  <si>
    <t xml:space="preserve">     Muhammad - Contributor</t>
  </si>
  <si>
    <t xml:space="preserve">     Daisy - Contributor</t>
  </si>
  <si>
    <t>Share — copy and redistribute this document in any medium or format</t>
  </si>
  <si>
    <t>Third-Party Intellectual Property Disclaimer</t>
  </si>
  <si>
    <t>Creative Commons Scope</t>
  </si>
  <si>
    <t>You may do so in any reasonable manner, but not in any way that suggests the licensor endorses you or your use.</t>
  </si>
  <si>
    <t>Note: If you accidentally delete a formula or cell,</t>
  </si>
  <si>
    <t>There is a backup character sheet you can copy and</t>
  </si>
  <si>
    <t>paste from.</t>
  </si>
  <si>
    <t>If you are unsure about how this character sheet works,</t>
  </si>
  <si>
    <t>check out the Quick Reference Guide provided in this</t>
  </si>
  <si>
    <t>workbook as well as the definitions page.</t>
  </si>
  <si>
    <t xml:space="preserve">                         This work, The Mystery Dungeon: A Path Through Time's Tabletop Role Playing Game System, a.k.a. "The PTT System" ©2026</t>
  </si>
  <si>
    <t>The Creative Commons license applied to this work covers only the original text, layout design, and game mechanics created by the authors. It does not extend to,</t>
  </si>
  <si>
    <t>nor does it grant any rights to reuse any intellectual property of The Pokémon Company or its affiliates, nor any other original expression from the</t>
  </si>
  <si>
    <t>Not A Scratch and Mystery Dungeon: A Path Through Time podcasts (such as original characters, dialogue, settings, sound recordings, or performances).</t>
  </si>
  <si>
    <t>This table-top role playing game is an unofficial, fan-made work. Pokémon, character names, creature designs, logos, and related marks are trademarks</t>
  </si>
  <si>
    <t>and copyrights of The Pokémon Company, Nintendo, Game Freak, and Creatures Inc. The authors/licensors of this table-top role playing game do not claim</t>
  </si>
  <si>
    <t>any ownership, rights, or affiliation with these properties. Any use of Pokémon trademarks or copyrightable expression is strictly for creative, non-commercial</t>
  </si>
  <si>
    <t>fan creativity under fair use principles.</t>
  </si>
  <si>
    <t>by Anirudh N. and Dakota M. is licensed under CC BY-NC 4.0 To view a copy of this license, visit https://creativecommons.org/licenses/by-nc/4.0/</t>
  </si>
  <si>
    <t xml:space="preserve">   Evelyn - Co-Creator</t>
  </si>
  <si>
    <t xml:space="preserve">   Jake - Co-Creator</t>
  </si>
  <si>
    <t xml:space="preserve">   Eli - Co-Creator</t>
  </si>
  <si>
    <t xml:space="preserve">   Shawn - Co-Creator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</si>
</sst>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_);_(* \(#,##0\);_(* &quot;-&quot;??_);_(@_)"/>
    <numFmt numFmtId="165" formatCode="0.000"/>
  </numFmts>
  <fonts count="31"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b/>
      <i/>
      <u/>
      <sz val="14"/>
      <color theme="1"/>
      <name val="Calibri"/>
      <family val="2"/>
    </font>
    <font>
      <sz val="11"/>
      <color theme="1"/>
      <name val="Calibri"/>
      <family val="2"/>
    </font>
    <font>
      <b/>
      <i/>
      <u/>
      <sz val="14"/>
      <color rgb="FF000000"/>
      <name val="Calibri"/>
      <family val="2"/>
    </font>
    <font>
      <b/>
      <u/>
      <sz val="11"/>
      <color theme="1"/>
      <name val="Calibri"/>
      <family val="2"/>
    </font>
    <font>
      <b/>
      <sz val="11"/>
      <color theme="1"/>
      <name val="Calibri"/>
      <family val="2"/>
    </font>
    <font>
      <sz val="11"/>
      <color rgb="FFFF0000"/>
      <name val="Calibri"/>
      <family val="2"/>
    </font>
    <font>
      <u/>
      <sz val="11"/>
      <color theme="4"/>
      <name val="Calibri"/>
      <family val="2"/>
    </font>
    <font>
      <u/>
      <sz val="11"/>
      <color rgb="FF0070C0"/>
      <name val="Calibri"/>
      <family val="2"/>
    </font>
    <font>
      <sz val="11"/>
      <color theme="5"/>
      <name val="Calibri"/>
      <family val="2"/>
    </font>
    <font>
      <sz val="11"/>
      <color rgb="FFBF9000"/>
      <name val="Calibri"/>
      <family val="2"/>
    </font>
    <font>
      <sz val="11"/>
      <color theme="9"/>
      <name val="Calibri"/>
      <family val="2"/>
    </font>
    <font>
      <sz val="11"/>
      <color rgb="FF548135"/>
      <name val="Calibri"/>
      <family val="2"/>
    </font>
    <font>
      <sz val="11"/>
      <color rgb="FFFF33CC"/>
      <name val="Calibri"/>
      <family val="2"/>
    </font>
    <font>
      <sz val="11"/>
      <color rgb="FF000000"/>
      <name val="Calibri"/>
      <family val="2"/>
    </font>
    <font>
      <b/>
      <i/>
      <u/>
      <sz val="11"/>
      <color theme="1"/>
      <name val="Calibri"/>
      <family val="2"/>
    </font>
    <font>
      <sz val="11"/>
      <name val="Calibri"/>
      <family val="2"/>
    </font>
    <font>
      <u/>
      <sz val="11"/>
      <color theme="1"/>
      <name val="Calibri"/>
      <family val="2"/>
    </font>
    <font>
      <b/>
      <sz val="11"/>
      <color theme="1"/>
      <name val="Calibri"/>
      <family val="2"/>
      <scheme val="minor"/>
    </font>
    <font>
      <sz val="72"/>
      <color theme="1"/>
      <name val="Calibri"/>
      <family val="2"/>
      <scheme val="minor"/>
    </font>
    <font>
      <b/>
      <u/>
      <sz val="72"/>
      <color theme="1"/>
      <name val="Calibri"/>
      <family val="2"/>
      <scheme val="minor"/>
    </font>
    <font>
      <sz val="10"/>
      <color theme="1"/>
      <name val="Calibri"/>
      <family val="2"/>
      <scheme val="minor"/>
    </font>
    <font>
      <sz val="11"/>
      <color theme="1"/>
      <name val="Calibri"/>
      <charset val="1"/>
    </font>
    <font>
      <b/>
      <sz val="14"/>
      <color theme="1"/>
      <name val="Calibri"/>
      <family val="2"/>
      <charset val="1"/>
    </font>
    <font>
      <b/>
      <sz val="16"/>
      <color theme="1"/>
      <name val="Calibri"/>
      <family val="2"/>
      <charset val="1"/>
    </font>
    <font>
      <sz val="20"/>
      <color theme="1"/>
      <name val="Calibri"/>
      <family val="2"/>
      <charset val="1"/>
    </font>
    <font>
      <b/>
      <sz val="20"/>
      <color theme="1"/>
      <name val="Calibri"/>
      <family val="2"/>
      <charset val="1"/>
    </font>
    <font>
      <sz val="11"/>
      <color theme="1"/>
      <name val="Calibri"/>
      <family val="2"/>
      <charset val="1"/>
    </font>
  </fonts>
  <fills count="31">
    <fill>
      <patternFill patternType="none"/>
    </fill>
    <fill>
      <patternFill patternType="gray125"/>
    </fill>
    <fill>
      <patternFill patternType="solid">
        <fgColor rgb="FFBDD6EE"/>
        <bgColor rgb="FFBDD6EE"/>
      </patternFill>
    </fill>
    <fill>
      <patternFill patternType="solid">
        <fgColor rgb="FF92D050"/>
        <bgColor rgb="FF92D050"/>
      </patternFill>
    </fill>
    <fill>
      <patternFill patternType="solid">
        <fgColor theme="0"/>
        <bgColor theme="0"/>
      </patternFill>
    </fill>
    <fill>
      <patternFill patternType="solid">
        <fgColor rgb="FFFFC000"/>
        <bgColor rgb="FFFFC000"/>
      </patternFill>
    </fill>
    <fill>
      <patternFill patternType="solid">
        <fgColor rgb="FF0490AC"/>
        <bgColor rgb="FF0490AC"/>
      </patternFill>
    </fill>
    <fill>
      <patternFill patternType="solid">
        <fgColor rgb="FF00B0F0"/>
        <bgColor rgb="FF00B0F0"/>
      </patternFill>
    </fill>
    <fill>
      <patternFill patternType="solid">
        <fgColor rgb="FF00B050"/>
        <bgColor rgb="FF00B050"/>
      </patternFill>
    </fill>
    <fill>
      <patternFill patternType="solid">
        <fgColor rgb="FF548135"/>
        <bgColor rgb="FF548135"/>
      </patternFill>
    </fill>
    <fill>
      <patternFill patternType="solid">
        <fgColor rgb="FFFF66FF"/>
        <bgColor rgb="FFFF66FF"/>
      </patternFill>
    </fill>
    <fill>
      <patternFill patternType="solid">
        <fgColor rgb="FFC00000"/>
        <bgColor rgb="FFC00000"/>
      </patternFill>
    </fill>
    <fill>
      <patternFill patternType="solid">
        <fgColor rgb="FFFF7171"/>
        <bgColor rgb="FFFF7171"/>
      </patternFill>
    </fill>
    <fill>
      <patternFill patternType="solid">
        <fgColor rgb="FF8EAADB"/>
        <bgColor rgb="FF8EAADB"/>
      </patternFill>
    </fill>
    <fill>
      <patternFill patternType="solid">
        <fgColor rgb="FFFFD965"/>
        <bgColor rgb="FFFFD965"/>
      </patternFill>
    </fill>
    <fill>
      <patternFill patternType="solid">
        <fgColor rgb="FFA8D08D"/>
        <bgColor rgb="FFA8D08D"/>
      </patternFill>
    </fill>
    <fill>
      <patternFill patternType="solid">
        <fgColor rgb="FFFF99FF"/>
        <bgColor rgb="FFFF99FF"/>
      </patternFill>
    </fill>
    <fill>
      <patternFill patternType="solid">
        <fgColor rgb="FF9CC2E5"/>
        <bgColor rgb="FF9CC2E5"/>
      </patternFill>
    </fill>
    <fill>
      <patternFill patternType="solid">
        <fgColor rgb="FFD8D8D8"/>
        <bgColor rgb="FFD8D8D8"/>
      </patternFill>
    </fill>
    <fill>
      <patternFill patternType="solid">
        <fgColor rgb="FFFF3399"/>
        <bgColor rgb="FFFF3399"/>
      </patternFill>
    </fill>
    <fill>
      <patternFill patternType="solid">
        <fgColor rgb="FFBD92DE"/>
        <bgColor rgb="FFBD92DE"/>
      </patternFill>
    </fill>
    <fill>
      <patternFill patternType="solid">
        <fgColor rgb="FF2E75B5"/>
        <bgColor rgb="FF2E75B5"/>
      </patternFill>
    </fill>
    <fill>
      <patternFill patternType="solid">
        <fgColor rgb="FF757070"/>
        <bgColor rgb="FF757070"/>
      </patternFill>
    </fill>
    <fill>
      <patternFill patternType="solid">
        <fgColor rgb="FF92D050"/>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rgb="FF92D050"/>
        <bgColor rgb="FFBDD6EE"/>
      </patternFill>
    </fill>
    <fill>
      <patternFill patternType="solid">
        <fgColor theme="0"/>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8" tint="0.59999389629810485"/>
        <bgColor rgb="FFBDD6EE"/>
      </patternFill>
    </fill>
  </fills>
  <borders count="56">
    <border>
      <left/>
      <right/>
      <top/>
      <bottom/>
      <diagonal/>
    </border>
    <border>
      <left style="thin">
        <color rgb="FF000000"/>
      </left>
      <right/>
      <top style="thin">
        <color rgb="FF000000"/>
      </top>
      <bottom/>
      <diagonal/>
    </border>
    <border>
      <left/>
      <right style="thin">
        <color rgb="FF000000"/>
      </right>
      <top style="thin">
        <color rgb="FF000000"/>
      </top>
      <bottom/>
      <diagonal/>
    </border>
    <border>
      <left/>
      <right/>
      <top/>
      <bottom/>
      <diagonal/>
    </border>
    <border>
      <left/>
      <right style="thin">
        <color rgb="FF000000"/>
      </right>
      <top/>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
      <left/>
      <right/>
      <top/>
      <bottom style="medium">
        <color rgb="FF000000"/>
      </bottom>
      <diagonal/>
    </border>
    <border>
      <left style="thin">
        <color rgb="FF000000"/>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000000"/>
      </left>
      <right style="thin">
        <color rgb="FF000000"/>
      </right>
      <top style="medium">
        <color rgb="FF000000"/>
      </top>
      <bottom/>
      <diagonal/>
    </border>
    <border>
      <left style="thin">
        <color rgb="FF000000"/>
      </left>
      <right style="thin">
        <color rgb="FF000000"/>
      </right>
      <top style="hair">
        <color rgb="FF000000"/>
      </top>
      <bottom style="hair">
        <color rgb="FF000000"/>
      </bottom>
      <diagonal/>
    </border>
    <border>
      <left style="hair">
        <color rgb="FF000000"/>
      </left>
      <right style="hair">
        <color rgb="FF000000"/>
      </right>
      <top style="hair">
        <color rgb="FF000000"/>
      </top>
      <bottom style="hair">
        <color rgb="FF000000"/>
      </bottom>
      <diagonal/>
    </border>
    <border>
      <left style="medium">
        <color rgb="FF000000"/>
      </left>
      <right style="thin">
        <color rgb="FF000000"/>
      </right>
      <top/>
      <bottom/>
      <diagonal/>
    </border>
    <border>
      <left/>
      <right style="thin">
        <color rgb="FF000000"/>
      </right>
      <top style="hair">
        <color rgb="FF000000"/>
      </top>
      <bottom style="hair">
        <color rgb="FF000000"/>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rgb="FF000000"/>
      </right>
      <top style="medium">
        <color rgb="FF000000"/>
      </top>
      <bottom style="thin">
        <color rgb="FF000000"/>
      </bottom>
      <diagonal/>
    </border>
    <border>
      <left style="thin">
        <color indexed="64"/>
      </left>
      <right style="thin">
        <color rgb="FF000000"/>
      </right>
      <top style="thin">
        <color rgb="FF000000"/>
      </top>
      <bottom style="thin">
        <color rgb="FF000000"/>
      </bottom>
      <diagonal/>
    </border>
    <border>
      <left style="thin">
        <color indexed="64"/>
      </left>
      <right style="thin">
        <color rgb="FF000000"/>
      </right>
      <top style="thin">
        <color rgb="FF000000"/>
      </top>
      <bottom style="medium">
        <color rgb="FF000000"/>
      </bottom>
      <diagonal/>
    </border>
    <border>
      <left style="thin">
        <color indexed="64"/>
      </left>
      <right style="thin">
        <color rgb="FF000000"/>
      </right>
      <top/>
      <bottom style="thin">
        <color rgb="FF000000"/>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style="thin">
        <color indexed="64"/>
      </right>
      <top style="thin">
        <color indexed="64"/>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ck">
        <color rgb="FFFF0000"/>
      </left>
      <right/>
      <top/>
      <bottom style="dashed">
        <color theme="2" tint="-0.499984740745262"/>
      </bottom>
      <diagonal/>
    </border>
    <border>
      <left/>
      <right/>
      <top/>
      <bottom style="dashed">
        <color theme="2" tint="-0.499984740745262"/>
      </bottom>
      <diagonal/>
    </border>
    <border>
      <left/>
      <right style="thick">
        <color rgb="FFFF0000"/>
      </right>
      <top/>
      <bottom style="dashed">
        <color theme="2" tint="-0.499984740745262"/>
      </bottom>
      <diagonal/>
    </border>
    <border>
      <left style="thick">
        <color rgb="FFFF0000"/>
      </left>
      <right/>
      <top style="thick">
        <color rgb="FFFF0000"/>
      </top>
      <bottom style="dashed">
        <color theme="2" tint="-0.499984740745262"/>
      </bottom>
      <diagonal/>
    </border>
    <border>
      <left/>
      <right/>
      <top style="thick">
        <color rgb="FFFF0000"/>
      </top>
      <bottom style="dashed">
        <color theme="2" tint="-0.499984740745262"/>
      </bottom>
      <diagonal/>
    </border>
    <border>
      <left/>
      <right style="thick">
        <color rgb="FFFF0000"/>
      </right>
      <top style="thick">
        <color rgb="FFFF0000"/>
      </top>
      <bottom style="dashed">
        <color theme="2" tint="-0.499984740745262"/>
      </bottom>
      <diagonal/>
    </border>
    <border>
      <left style="thin">
        <color theme="1"/>
      </left>
      <right style="thin">
        <color theme="1"/>
      </right>
      <top style="thin">
        <color theme="1"/>
      </top>
      <bottom style="thin">
        <color theme="1"/>
      </bottom>
      <diagonal/>
    </border>
    <border>
      <left style="thick">
        <color theme="1"/>
      </left>
      <right/>
      <top style="thick">
        <color theme="1"/>
      </top>
      <bottom/>
      <diagonal/>
    </border>
    <border>
      <left/>
      <right/>
      <top style="thick">
        <color theme="1"/>
      </top>
      <bottom/>
      <diagonal/>
    </border>
    <border>
      <left/>
      <right style="thick">
        <color theme="1"/>
      </right>
      <top style="thick">
        <color theme="1"/>
      </top>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s>
  <cellStyleXfs count="2">
    <xf numFmtId="0" fontId="0" fillId="0" borderId="0"/>
    <xf numFmtId="0" fontId="25" fillId="0" borderId="3"/>
  </cellStyleXfs>
  <cellXfs count="290">
    <xf numFmtId="0" fontId="0" fillId="0" borderId="0" xfId="0"/>
    <xf numFmtId="0" fontId="5" fillId="0" borderId="0" xfId="0" applyFont="1" applyAlignment="1">
      <alignment horizontal="center" vertical="center"/>
    </xf>
    <xf numFmtId="0" fontId="5" fillId="0" borderId="0" xfId="0" applyFont="1"/>
    <xf numFmtId="0" fontId="7" fillId="2" borderId="1" xfId="0" applyFont="1" applyFill="1" applyBorder="1" applyAlignment="1">
      <alignment horizontal="left"/>
    </xf>
    <xf numFmtId="0" fontId="5" fillId="2" borderId="2" xfId="0" applyFont="1" applyFill="1" applyBorder="1" applyAlignment="1">
      <alignment horizontal="left" wrapText="1"/>
    </xf>
    <xf numFmtId="0" fontId="8" fillId="3" borderId="3" xfId="0" applyFont="1" applyFill="1" applyBorder="1" applyAlignment="1">
      <alignment horizontal="left"/>
    </xf>
    <xf numFmtId="0" fontId="5" fillId="3" borderId="2" xfId="0" applyFont="1" applyFill="1" applyBorder="1" applyAlignment="1">
      <alignment horizontal="left"/>
    </xf>
    <xf numFmtId="0" fontId="5" fillId="2" borderId="4" xfId="0" applyFont="1" applyFill="1" applyBorder="1" applyAlignment="1">
      <alignment horizontal="left" wrapText="1"/>
    </xf>
    <xf numFmtId="0" fontId="5" fillId="3" borderId="3" xfId="0" applyFont="1" applyFill="1" applyBorder="1"/>
    <xf numFmtId="0" fontId="5" fillId="3" borderId="4" xfId="0" applyFont="1" applyFill="1" applyBorder="1"/>
    <xf numFmtId="0" fontId="5" fillId="3" borderId="3" xfId="0" applyFont="1" applyFill="1" applyBorder="1" applyAlignment="1">
      <alignment horizontal="left"/>
    </xf>
    <xf numFmtId="0" fontId="5" fillId="3" borderId="4" xfId="0" applyFont="1" applyFill="1" applyBorder="1" applyAlignment="1">
      <alignment horizontal="left"/>
    </xf>
    <xf numFmtId="0" fontId="5" fillId="3" borderId="4" xfId="0" applyFont="1" applyFill="1" applyBorder="1" applyAlignment="1">
      <alignment horizontal="left" wrapText="1"/>
    </xf>
    <xf numFmtId="0" fontId="8" fillId="3" borderId="3" xfId="0" applyFont="1" applyFill="1" applyBorder="1" applyAlignment="1">
      <alignment horizontal="left" vertical="center"/>
    </xf>
    <xf numFmtId="0" fontId="5" fillId="3" borderId="4" xfId="0" applyFont="1" applyFill="1" applyBorder="1" applyAlignment="1">
      <alignment horizontal="left" vertical="center" wrapText="1"/>
    </xf>
    <xf numFmtId="0" fontId="5" fillId="3" borderId="3" xfId="0" applyFont="1" applyFill="1" applyBorder="1" applyAlignment="1">
      <alignment horizontal="left" vertical="center"/>
    </xf>
    <xf numFmtId="0" fontId="5" fillId="3" borderId="3" xfId="0" applyFont="1" applyFill="1" applyBorder="1" applyAlignment="1">
      <alignment horizontal="left" vertical="center" wrapText="1"/>
    </xf>
    <xf numFmtId="0" fontId="8" fillId="2" borderId="3" xfId="0" applyFont="1" applyFill="1" applyBorder="1" applyAlignment="1">
      <alignment horizontal="left"/>
    </xf>
    <xf numFmtId="0" fontId="5" fillId="2" borderId="4" xfId="0" applyFont="1" applyFill="1" applyBorder="1" applyAlignment="1">
      <alignment horizontal="left"/>
    </xf>
    <xf numFmtId="0" fontId="5" fillId="2" borderId="3" xfId="0" applyFont="1" applyFill="1" applyBorder="1" applyAlignment="1">
      <alignment horizontal="left"/>
    </xf>
    <xf numFmtId="0" fontId="8" fillId="2" borderId="3" xfId="0" applyFont="1" applyFill="1" applyBorder="1" applyAlignment="1">
      <alignment horizontal="left" vertical="center"/>
    </xf>
    <xf numFmtId="0" fontId="5" fillId="2" borderId="4" xfId="0" applyFont="1" applyFill="1" applyBorder="1" applyAlignment="1">
      <alignment horizontal="left" vertical="center" wrapText="1"/>
    </xf>
    <xf numFmtId="0" fontId="5" fillId="2" borderId="3" xfId="0" applyFont="1" applyFill="1" applyBorder="1" applyAlignment="1">
      <alignment horizontal="left" vertical="center"/>
    </xf>
    <xf numFmtId="0" fontId="5" fillId="2" borderId="3" xfId="0" applyFont="1" applyFill="1" applyBorder="1"/>
    <xf numFmtId="0" fontId="5" fillId="2" borderId="2" xfId="0" applyFont="1" applyFill="1" applyBorder="1" applyAlignment="1">
      <alignment wrapText="1"/>
    </xf>
    <xf numFmtId="0" fontId="5" fillId="2" borderId="4" xfId="0" applyFont="1" applyFill="1" applyBorder="1"/>
    <xf numFmtId="1" fontId="5" fillId="3" borderId="4" xfId="0" applyNumberFormat="1" applyFont="1" applyFill="1" applyBorder="1" applyAlignment="1">
      <alignment horizontal="left" vertical="center" wrapText="1"/>
    </xf>
    <xf numFmtId="1" fontId="17" fillId="3" borderId="4" xfId="0" applyNumberFormat="1" applyFont="1" applyFill="1" applyBorder="1" applyAlignment="1">
      <alignment horizontal="left" vertical="center" wrapText="1"/>
    </xf>
    <xf numFmtId="0" fontId="5" fillId="3" borderId="4" xfId="0" applyFont="1" applyFill="1" applyBorder="1" applyAlignment="1">
      <alignment wrapText="1"/>
    </xf>
    <xf numFmtId="0" fontId="5" fillId="0" borderId="0" xfId="0" applyFont="1" applyAlignment="1">
      <alignment horizontal="left"/>
    </xf>
    <xf numFmtId="0" fontId="8" fillId="0" borderId="5" xfId="0" applyFont="1" applyBorder="1"/>
    <xf numFmtId="0" fontId="5" fillId="0" borderId="5" xfId="0" applyFont="1" applyBorder="1" applyAlignment="1">
      <alignment horizontal="left" vertical="center"/>
    </xf>
    <xf numFmtId="0" fontId="5" fillId="0" borderId="5" xfId="0" applyFont="1" applyBorder="1" applyAlignment="1">
      <alignment horizontal="center" vertical="center"/>
    </xf>
    <xf numFmtId="0" fontId="5" fillId="0" borderId="0" xfId="0" applyFont="1" applyAlignment="1">
      <alignment wrapText="1"/>
    </xf>
    <xf numFmtId="0" fontId="8" fillId="0" borderId="0" xfId="0" applyFont="1" applyAlignment="1">
      <alignment horizontal="center" vertical="center"/>
    </xf>
    <xf numFmtId="0" fontId="8" fillId="0" borderId="0" xfId="0" applyFont="1"/>
    <xf numFmtId="0" fontId="5" fillId="0" borderId="0" xfId="0" applyFont="1" applyAlignment="1">
      <alignment horizontal="left" vertical="center" wrapText="1"/>
    </xf>
    <xf numFmtId="1" fontId="5" fillId="0" borderId="0" xfId="0" applyNumberFormat="1" applyFont="1" applyAlignment="1">
      <alignment horizontal="center" vertical="center"/>
    </xf>
    <xf numFmtId="1" fontId="5" fillId="0" borderId="0" xfId="0" applyNumberFormat="1" applyFont="1" applyAlignment="1">
      <alignment horizontal="left" vertical="center" wrapText="1"/>
    </xf>
    <xf numFmtId="0" fontId="5" fillId="3" borderId="6" xfId="0" applyFont="1" applyFill="1" applyBorder="1"/>
    <xf numFmtId="0" fontId="8" fillId="0" borderId="7" xfId="0" applyFont="1" applyBorder="1"/>
    <xf numFmtId="0" fontId="5" fillId="0" borderId="7" xfId="0" applyFont="1" applyBorder="1"/>
    <xf numFmtId="0" fontId="5" fillId="0" borderId="0" xfId="0" applyFont="1" applyAlignment="1">
      <alignment horizontal="center"/>
    </xf>
    <xf numFmtId="0" fontId="5" fillId="3" borderId="6" xfId="0" applyFont="1" applyFill="1" applyBorder="1" applyAlignment="1">
      <alignment horizontal="center" vertical="center"/>
    </xf>
    <xf numFmtId="0" fontId="5" fillId="3" borderId="6" xfId="0" applyFont="1" applyFill="1" applyBorder="1" applyAlignment="1">
      <alignment horizontal="center"/>
    </xf>
    <xf numFmtId="0" fontId="5" fillId="4" borderId="3" xfId="0" applyFont="1" applyFill="1" applyBorder="1" applyAlignment="1">
      <alignment horizontal="center"/>
    </xf>
    <xf numFmtId="1" fontId="5" fillId="0" borderId="0" xfId="0" applyNumberFormat="1" applyFont="1" applyAlignment="1">
      <alignment horizontal="center"/>
    </xf>
    <xf numFmtId="1" fontId="5" fillId="5" borderId="6" xfId="0" applyNumberFormat="1" applyFont="1" applyFill="1" applyBorder="1" applyAlignment="1">
      <alignment horizontal="center" vertical="center"/>
    </xf>
    <xf numFmtId="1" fontId="5" fillId="6" borderId="6" xfId="0" applyNumberFormat="1" applyFont="1" applyFill="1" applyBorder="1" applyAlignment="1">
      <alignment horizontal="center" vertical="center"/>
    </xf>
    <xf numFmtId="1" fontId="8" fillId="0" borderId="0" xfId="0" applyNumberFormat="1" applyFont="1"/>
    <xf numFmtId="1" fontId="18" fillId="0" borderId="0" xfId="0" applyNumberFormat="1" applyFont="1" applyAlignment="1">
      <alignment horizontal="center"/>
    </xf>
    <xf numFmtId="1" fontId="5" fillId="3" borderId="6" xfId="0" applyNumberFormat="1" applyFont="1" applyFill="1" applyBorder="1" applyAlignment="1">
      <alignment horizontal="center"/>
    </xf>
    <xf numFmtId="1" fontId="5" fillId="0" borderId="0" xfId="0" applyNumberFormat="1" applyFont="1"/>
    <xf numFmtId="0" fontId="5" fillId="0" borderId="0" xfId="0" applyFont="1" applyAlignment="1">
      <alignment horizontal="right"/>
    </xf>
    <xf numFmtId="0" fontId="8" fillId="0" borderId="0" xfId="0" applyFont="1" applyAlignment="1">
      <alignment horizontal="center"/>
    </xf>
    <xf numFmtId="0" fontId="5" fillId="0" borderId="6" xfId="0" applyFont="1" applyBorder="1" applyAlignment="1">
      <alignment horizontal="center"/>
    </xf>
    <xf numFmtId="0" fontId="5" fillId="0" borderId="5" xfId="0" applyFont="1" applyBorder="1"/>
    <xf numFmtId="1" fontId="5" fillId="0" borderId="8" xfId="0" applyNumberFormat="1" applyFont="1" applyBorder="1" applyAlignment="1">
      <alignment horizontal="left"/>
    </xf>
    <xf numFmtId="1" fontId="8" fillId="0" borderId="10" xfId="0" applyNumberFormat="1" applyFont="1" applyBorder="1" applyAlignment="1">
      <alignment shrinkToFit="1"/>
    </xf>
    <xf numFmtId="0" fontId="5" fillId="7" borderId="6" xfId="0" applyFont="1" applyFill="1" applyBorder="1" applyAlignment="1">
      <alignment horizontal="center"/>
    </xf>
    <xf numFmtId="0" fontId="5" fillId="5" borderId="6" xfId="0" applyFont="1" applyFill="1" applyBorder="1" applyAlignment="1">
      <alignment horizontal="center"/>
    </xf>
    <xf numFmtId="0" fontId="5" fillId="8" borderId="6" xfId="0" applyFont="1" applyFill="1" applyBorder="1" applyAlignment="1">
      <alignment horizontal="center"/>
    </xf>
    <xf numFmtId="0" fontId="5" fillId="10" borderId="6" xfId="0" applyFont="1" applyFill="1" applyBorder="1" applyAlignment="1">
      <alignment horizontal="center"/>
    </xf>
    <xf numFmtId="0" fontId="5" fillId="11" borderId="6" xfId="0" applyFont="1" applyFill="1" applyBorder="1" applyAlignment="1">
      <alignment horizontal="center"/>
    </xf>
    <xf numFmtId="0" fontId="5" fillId="0" borderId="6" xfId="0" applyFont="1" applyBorder="1"/>
    <xf numFmtId="0" fontId="5" fillId="12" borderId="6" xfId="0" applyFont="1" applyFill="1" applyBorder="1"/>
    <xf numFmtId="0" fontId="5" fillId="13" borderId="6" xfId="0" applyFont="1" applyFill="1" applyBorder="1"/>
    <xf numFmtId="0" fontId="5" fillId="14" borderId="6" xfId="0" applyFont="1" applyFill="1" applyBorder="1"/>
    <xf numFmtId="0" fontId="5" fillId="15" borderId="6" xfId="0" applyFont="1" applyFill="1" applyBorder="1"/>
    <xf numFmtId="0" fontId="5" fillId="16" borderId="6" xfId="0" applyFont="1" applyFill="1" applyBorder="1"/>
    <xf numFmtId="0" fontId="5" fillId="13" borderId="6" xfId="0" applyFont="1" applyFill="1" applyBorder="1" applyAlignment="1">
      <alignment horizontal="center" vertical="center"/>
    </xf>
    <xf numFmtId="0" fontId="5" fillId="14" borderId="6" xfId="0" applyFont="1" applyFill="1" applyBorder="1" applyAlignment="1">
      <alignment horizontal="center" vertical="center"/>
    </xf>
    <xf numFmtId="0" fontId="5" fillId="15" borderId="6" xfId="0" applyFont="1" applyFill="1" applyBorder="1" applyAlignment="1">
      <alignment horizontal="center" vertical="center"/>
    </xf>
    <xf numFmtId="0" fontId="5" fillId="16" borderId="6" xfId="0" applyFont="1" applyFill="1" applyBorder="1" applyAlignment="1">
      <alignment horizontal="center" vertical="center"/>
    </xf>
    <xf numFmtId="0" fontId="5" fillId="17" borderId="6" xfId="0" applyFont="1" applyFill="1" applyBorder="1"/>
    <xf numFmtId="0" fontId="5" fillId="18" borderId="6" xfId="0" applyFont="1" applyFill="1" applyBorder="1"/>
    <xf numFmtId="0" fontId="5" fillId="0" borderId="19" xfId="0" applyFont="1" applyBorder="1"/>
    <xf numFmtId="0" fontId="5" fillId="0" borderId="20" xfId="0" applyFont="1" applyBorder="1"/>
    <xf numFmtId="0" fontId="5" fillId="0" borderId="21" xfId="0" applyFont="1" applyBorder="1"/>
    <xf numFmtId="0" fontId="5" fillId="18" borderId="6" xfId="0" applyFont="1" applyFill="1" applyBorder="1" applyAlignment="1">
      <alignment horizontal="left"/>
    </xf>
    <xf numFmtId="0" fontId="5" fillId="0" borderId="8" xfId="0" applyFont="1" applyBorder="1"/>
    <xf numFmtId="0" fontId="5" fillId="3" borderId="22" xfId="0" applyFont="1" applyFill="1" applyBorder="1"/>
    <xf numFmtId="0" fontId="5" fillId="2" borderId="23" xfId="0" applyFont="1" applyFill="1" applyBorder="1" applyAlignment="1">
      <alignment horizontal="center" vertical="center"/>
    </xf>
    <xf numFmtId="0" fontId="5" fillId="3" borderId="23" xfId="0" applyFont="1" applyFill="1" applyBorder="1" applyAlignment="1">
      <alignment horizontal="center" vertical="center"/>
    </xf>
    <xf numFmtId="0" fontId="5" fillId="4" borderId="24" xfId="0" applyFont="1" applyFill="1" applyBorder="1"/>
    <xf numFmtId="0" fontId="5" fillId="3" borderId="25" xfId="0" applyFont="1" applyFill="1" applyBorder="1"/>
    <xf numFmtId="0" fontId="5" fillId="2" borderId="23" xfId="0" applyFont="1" applyFill="1" applyBorder="1"/>
    <xf numFmtId="1" fontId="5" fillId="3" borderId="26" xfId="0" applyNumberFormat="1" applyFont="1" applyFill="1" applyBorder="1"/>
    <xf numFmtId="1" fontId="5" fillId="2" borderId="23" xfId="0" applyNumberFormat="1" applyFont="1" applyFill="1" applyBorder="1" applyAlignment="1">
      <alignment horizontal="center" vertical="center"/>
    </xf>
    <xf numFmtId="0" fontId="5" fillId="3" borderId="23" xfId="0" applyFont="1" applyFill="1" applyBorder="1"/>
    <xf numFmtId="0" fontId="5" fillId="3" borderId="26" xfId="0" applyFont="1" applyFill="1" applyBorder="1"/>
    <xf numFmtId="0" fontId="5" fillId="4" borderId="3" xfId="0" applyFont="1" applyFill="1" applyBorder="1"/>
    <xf numFmtId="0" fontId="5" fillId="3" borderId="4" xfId="0" applyFont="1" applyFill="1" applyBorder="1" applyAlignment="1">
      <alignment horizontal="left" vertical="center"/>
    </xf>
    <xf numFmtId="0" fontId="5" fillId="3" borderId="4" xfId="0" applyFont="1" applyFill="1" applyBorder="1" applyAlignment="1">
      <alignment horizontal="center" vertical="center"/>
    </xf>
    <xf numFmtId="0" fontId="5" fillId="3" borderId="1" xfId="0" applyFont="1" applyFill="1" applyBorder="1"/>
    <xf numFmtId="0" fontId="5" fillId="3" borderId="2" xfId="0" applyFont="1" applyFill="1" applyBorder="1"/>
    <xf numFmtId="0" fontId="8" fillId="3" borderId="2" xfId="0" applyFont="1" applyFill="1" applyBorder="1"/>
    <xf numFmtId="0" fontId="5" fillId="2" borderId="6" xfId="0" applyFont="1" applyFill="1" applyBorder="1"/>
    <xf numFmtId="0" fontId="8" fillId="3" borderId="4" xfId="0" applyFont="1" applyFill="1" applyBorder="1"/>
    <xf numFmtId="0" fontId="5" fillId="15" borderId="3" xfId="0" applyFont="1" applyFill="1" applyBorder="1" applyAlignment="1">
      <alignment horizontal="center"/>
    </xf>
    <xf numFmtId="0" fontId="5" fillId="14" borderId="3" xfId="0" applyFont="1" applyFill="1" applyBorder="1" applyAlignment="1">
      <alignment horizontal="center"/>
    </xf>
    <xf numFmtId="0" fontId="5" fillId="19" borderId="3" xfId="0" applyFont="1" applyFill="1" applyBorder="1" applyAlignment="1">
      <alignment horizontal="center"/>
    </xf>
    <xf numFmtId="0" fontId="5" fillId="20" borderId="3" xfId="0" applyFont="1" applyFill="1" applyBorder="1" applyAlignment="1">
      <alignment horizontal="center"/>
    </xf>
    <xf numFmtId="0" fontId="5" fillId="21" borderId="3" xfId="0" applyFont="1" applyFill="1" applyBorder="1" applyAlignment="1">
      <alignment horizontal="center"/>
    </xf>
    <xf numFmtId="0" fontId="5" fillId="22" borderId="3" xfId="0" applyFont="1" applyFill="1" applyBorder="1" applyAlignment="1">
      <alignment horizontal="center"/>
    </xf>
    <xf numFmtId="165" fontId="5" fillId="0" borderId="0" xfId="0" applyNumberFormat="1" applyFont="1"/>
    <xf numFmtId="0" fontId="0" fillId="23" borderId="0" xfId="0" applyFill="1"/>
    <xf numFmtId="0" fontId="5" fillId="2" borderId="9" xfId="0" applyFont="1" applyFill="1" applyBorder="1" applyAlignment="1">
      <alignment horizontal="center" vertical="center"/>
    </xf>
    <xf numFmtId="0" fontId="5" fillId="2" borderId="9" xfId="0" applyFont="1" applyFill="1" applyBorder="1" applyAlignment="1">
      <alignment horizontal="center"/>
    </xf>
    <xf numFmtId="0" fontId="0" fillId="23" borderId="27" xfId="0" applyFill="1" applyBorder="1"/>
    <xf numFmtId="0" fontId="0" fillId="23" borderId="27" xfId="0" applyFill="1" applyBorder="1" applyAlignment="1">
      <alignment horizontal="center"/>
    </xf>
    <xf numFmtId="0" fontId="0" fillId="24" borderId="27" xfId="0" applyFill="1" applyBorder="1" applyAlignment="1">
      <alignment horizontal="center"/>
    </xf>
    <xf numFmtId="0" fontId="0" fillId="23" borderId="28" xfId="0" applyFill="1" applyBorder="1"/>
    <xf numFmtId="0" fontId="8" fillId="0" borderId="29" xfId="0" applyFont="1" applyBorder="1"/>
    <xf numFmtId="0" fontId="0" fillId="0" borderId="29" xfId="0" applyBorder="1"/>
    <xf numFmtId="0" fontId="3" fillId="0" borderId="29" xfId="0" applyFont="1" applyBorder="1"/>
    <xf numFmtId="0" fontId="0" fillId="23" borderId="30" xfId="0" applyFill="1" applyBorder="1"/>
    <xf numFmtId="0" fontId="5" fillId="3" borderId="31" xfId="0" applyFont="1" applyFill="1" applyBorder="1" applyAlignment="1">
      <alignment horizontal="center" vertical="center"/>
    </xf>
    <xf numFmtId="0" fontId="5" fillId="3" borderId="32" xfId="0" applyFont="1" applyFill="1" applyBorder="1" applyAlignment="1">
      <alignment horizontal="center" vertical="center"/>
    </xf>
    <xf numFmtId="0" fontId="5" fillId="3" borderId="33" xfId="0" applyFont="1" applyFill="1" applyBorder="1" applyAlignment="1">
      <alignment horizontal="center" vertical="center"/>
    </xf>
    <xf numFmtId="0" fontId="5" fillId="9" borderId="34" xfId="0" applyFont="1" applyFill="1" applyBorder="1" applyAlignment="1">
      <alignment horizontal="center" vertical="center"/>
    </xf>
    <xf numFmtId="0" fontId="5" fillId="9" borderId="32" xfId="0" applyFont="1" applyFill="1" applyBorder="1" applyAlignment="1">
      <alignment horizontal="center" vertical="center"/>
    </xf>
    <xf numFmtId="0" fontId="5" fillId="9" borderId="33" xfId="0" applyFont="1" applyFill="1" applyBorder="1" applyAlignment="1">
      <alignment horizontal="center" vertical="center"/>
    </xf>
    <xf numFmtId="0" fontId="0" fillId="25" borderId="27" xfId="0" applyFill="1" applyBorder="1"/>
    <xf numFmtId="0" fontId="0" fillId="25" borderId="30" xfId="0" applyFill="1" applyBorder="1"/>
    <xf numFmtId="0" fontId="0" fillId="23" borderId="35" xfId="0" applyFill="1" applyBorder="1"/>
    <xf numFmtId="0" fontId="0" fillId="25" borderId="35" xfId="0" applyFill="1" applyBorder="1"/>
    <xf numFmtId="0" fontId="5" fillId="0" borderId="3" xfId="0" applyFont="1" applyBorder="1" applyAlignment="1">
      <alignment horizontal="center" vertical="center"/>
    </xf>
    <xf numFmtId="0" fontId="5" fillId="0" borderId="3" xfId="0" applyFont="1" applyBorder="1" applyAlignment="1">
      <alignment wrapText="1"/>
    </xf>
    <xf numFmtId="0" fontId="5" fillId="0" borderId="37" xfId="0" applyFont="1" applyBorder="1" applyAlignment="1">
      <alignment wrapText="1"/>
    </xf>
    <xf numFmtId="0" fontId="0" fillId="0" borderId="36" xfId="0" applyBorder="1"/>
    <xf numFmtId="0" fontId="5" fillId="0" borderId="36" xfId="0" applyFont="1" applyBorder="1" applyAlignment="1">
      <alignment wrapText="1"/>
    </xf>
    <xf numFmtId="0" fontId="5" fillId="3" borderId="9" xfId="0" applyFont="1" applyFill="1" applyBorder="1"/>
    <xf numFmtId="0" fontId="4" fillId="2" borderId="11" xfId="0" applyFont="1" applyFill="1" applyBorder="1" applyAlignment="1">
      <alignment horizontal="left"/>
    </xf>
    <xf numFmtId="0" fontId="5" fillId="2" borderId="11" xfId="0" applyFont="1" applyFill="1" applyBorder="1" applyAlignment="1">
      <alignment horizontal="left" wrapText="1"/>
    </xf>
    <xf numFmtId="0" fontId="5" fillId="3" borderId="11" xfId="0" applyFont="1" applyFill="1" applyBorder="1" applyAlignment="1">
      <alignment horizontal="left"/>
    </xf>
    <xf numFmtId="0" fontId="4" fillId="3" borderId="11" xfId="0" applyFont="1" applyFill="1" applyBorder="1" applyAlignment="1">
      <alignment horizontal="left"/>
    </xf>
    <xf numFmtId="0" fontId="6" fillId="3" borderId="11" xfId="0" applyFont="1" applyFill="1" applyBorder="1" applyAlignment="1">
      <alignment horizontal="left"/>
    </xf>
    <xf numFmtId="0" fontId="5" fillId="3" borderId="10" xfId="0" applyFont="1" applyFill="1" applyBorder="1" applyAlignment="1">
      <alignment horizontal="left"/>
    </xf>
    <xf numFmtId="0" fontId="5" fillId="3" borderId="2" xfId="0" applyFont="1" applyFill="1" applyBorder="1" applyAlignment="1">
      <alignment horizontal="left" wrapText="1"/>
    </xf>
    <xf numFmtId="0" fontId="8" fillId="3" borderId="5" xfId="0" applyFont="1" applyFill="1" applyBorder="1" applyAlignment="1">
      <alignment horizontal="left"/>
    </xf>
    <xf numFmtId="0" fontId="5" fillId="2" borderId="8" xfId="0" applyFont="1" applyFill="1" applyBorder="1" applyAlignment="1">
      <alignment horizontal="left"/>
    </xf>
    <xf numFmtId="0" fontId="5" fillId="2" borderId="14" xfId="0" applyFont="1" applyFill="1" applyBorder="1" applyAlignment="1">
      <alignment horizontal="left"/>
    </xf>
    <xf numFmtId="0" fontId="5" fillId="2" borderId="16" xfId="0" applyFont="1" applyFill="1" applyBorder="1" applyAlignment="1">
      <alignment horizontal="left" wrapText="1"/>
    </xf>
    <xf numFmtId="0" fontId="8" fillId="3" borderId="8" xfId="0" applyFont="1" applyFill="1" applyBorder="1" applyAlignment="1">
      <alignment horizontal="left"/>
    </xf>
    <xf numFmtId="0" fontId="5" fillId="3" borderId="8" xfId="0" applyFont="1" applyFill="1" applyBorder="1" applyAlignment="1">
      <alignment horizontal="left"/>
    </xf>
    <xf numFmtId="0" fontId="5" fillId="26" borderId="3" xfId="0" applyFont="1" applyFill="1" applyBorder="1" applyAlignment="1">
      <alignment horizontal="left"/>
    </xf>
    <xf numFmtId="0" fontId="5" fillId="3" borderId="14" xfId="0" applyFont="1" applyFill="1" applyBorder="1"/>
    <xf numFmtId="0" fontId="5" fillId="3" borderId="16" xfId="0" applyFont="1" applyFill="1" applyBorder="1"/>
    <xf numFmtId="0" fontId="8" fillId="3" borderId="15" xfId="0" applyFont="1" applyFill="1" applyBorder="1" applyAlignment="1">
      <alignment horizontal="left" vertical="center"/>
    </xf>
    <xf numFmtId="0" fontId="5" fillId="3" borderId="16" xfId="0" applyFont="1" applyFill="1" applyBorder="1" applyAlignment="1">
      <alignment horizontal="left" vertical="center"/>
    </xf>
    <xf numFmtId="0" fontId="5" fillId="3" borderId="15" xfId="0" applyFont="1" applyFill="1" applyBorder="1"/>
    <xf numFmtId="0" fontId="5" fillId="3" borderId="16" xfId="0" applyFont="1" applyFill="1" applyBorder="1" applyAlignment="1">
      <alignment wrapText="1"/>
    </xf>
    <xf numFmtId="0" fontId="8" fillId="2" borderId="14" xfId="0" applyFont="1" applyFill="1" applyBorder="1" applyAlignment="1">
      <alignment horizontal="left"/>
    </xf>
    <xf numFmtId="0" fontId="9" fillId="2" borderId="10" xfId="0" applyFont="1" applyFill="1" applyBorder="1" applyAlignment="1">
      <alignment horizontal="left" wrapText="1"/>
    </xf>
    <xf numFmtId="0" fontId="10" fillId="2" borderId="9" xfId="0" applyFont="1" applyFill="1" applyBorder="1" applyAlignment="1">
      <alignment horizontal="left"/>
    </xf>
    <xf numFmtId="0" fontId="11" fillId="2" borderId="10" xfId="0" applyFont="1" applyFill="1" applyBorder="1" applyAlignment="1">
      <alignment horizontal="left" wrapText="1"/>
    </xf>
    <xf numFmtId="0" fontId="12" fillId="2" borderId="14" xfId="0" applyFont="1" applyFill="1" applyBorder="1" applyAlignment="1">
      <alignment horizontal="left"/>
    </xf>
    <xf numFmtId="0" fontId="13" fillId="2" borderId="16" xfId="0" applyFont="1" applyFill="1" applyBorder="1" applyAlignment="1">
      <alignment horizontal="left" wrapText="1"/>
    </xf>
    <xf numFmtId="0" fontId="14" fillId="2" borderId="9" xfId="0" applyFont="1" applyFill="1" applyBorder="1" applyAlignment="1">
      <alignment horizontal="left"/>
    </xf>
    <xf numFmtId="0" fontId="15" fillId="2" borderId="10" xfId="0" applyFont="1" applyFill="1" applyBorder="1" applyAlignment="1">
      <alignment horizontal="left" wrapText="1"/>
    </xf>
    <xf numFmtId="0" fontId="16" fillId="2" borderId="9" xfId="0" applyFont="1" applyFill="1" applyBorder="1" applyAlignment="1">
      <alignment horizontal="left"/>
    </xf>
    <xf numFmtId="0" fontId="16" fillId="2" borderId="10" xfId="0" applyFont="1" applyFill="1" applyBorder="1" applyAlignment="1">
      <alignment horizontal="left" wrapText="1"/>
    </xf>
    <xf numFmtId="0" fontId="5" fillId="2" borderId="15" xfId="0" applyFont="1" applyFill="1" applyBorder="1"/>
    <xf numFmtId="0" fontId="5" fillId="2" borderId="16" xfId="0" applyFont="1" applyFill="1" applyBorder="1" applyAlignment="1">
      <alignment wrapText="1"/>
    </xf>
    <xf numFmtId="0" fontId="8" fillId="3" borderId="8" xfId="0" applyFont="1" applyFill="1" applyBorder="1" applyAlignment="1">
      <alignment horizontal="left" vertical="center"/>
    </xf>
    <xf numFmtId="0" fontId="5" fillId="2" borderId="16" xfId="0" applyFont="1" applyFill="1" applyBorder="1"/>
    <xf numFmtId="0" fontId="5" fillId="3" borderId="8" xfId="0" applyFont="1" applyFill="1" applyBorder="1" applyAlignment="1">
      <alignment horizontal="left" vertical="center"/>
    </xf>
    <xf numFmtId="0" fontId="7" fillId="0" borderId="0" xfId="0" applyFont="1" applyAlignment="1">
      <alignment horizontal="center" vertical="center"/>
    </xf>
    <xf numFmtId="0" fontId="7" fillId="0" borderId="0" xfId="0" applyFont="1" applyAlignment="1">
      <alignment horizontal="center"/>
    </xf>
    <xf numFmtId="0" fontId="3" fillId="0" borderId="0" xfId="0" applyFont="1"/>
    <xf numFmtId="0" fontId="3" fillId="0" borderId="0" xfId="0" applyFont="1" applyAlignment="1">
      <alignment wrapText="1"/>
    </xf>
    <xf numFmtId="0" fontId="5" fillId="3" borderId="9" xfId="0" applyFont="1" applyFill="1" applyBorder="1" applyAlignment="1">
      <alignment horizontal="center" vertical="center"/>
    </xf>
    <xf numFmtId="0" fontId="5" fillId="7" borderId="9" xfId="0" applyFont="1" applyFill="1" applyBorder="1"/>
    <xf numFmtId="0" fontId="5" fillId="7" borderId="11" xfId="0" applyFont="1" applyFill="1" applyBorder="1"/>
    <xf numFmtId="0" fontId="5" fillId="7" borderId="10" xfId="0" applyFont="1" applyFill="1" applyBorder="1"/>
    <xf numFmtId="0" fontId="5" fillId="3" borderId="10" xfId="0" applyFont="1" applyFill="1" applyBorder="1"/>
    <xf numFmtId="0" fontId="5" fillId="5" borderId="14" xfId="0" applyFont="1" applyFill="1" applyBorder="1"/>
    <xf numFmtId="0" fontId="5" fillId="5" borderId="15" xfId="0" applyFont="1" applyFill="1" applyBorder="1"/>
    <xf numFmtId="0" fontId="5" fillId="5" borderId="16" xfId="0" applyFont="1" applyFill="1" applyBorder="1"/>
    <xf numFmtId="0" fontId="5" fillId="8" borderId="14" xfId="0" applyFont="1" applyFill="1" applyBorder="1"/>
    <xf numFmtId="0" fontId="5" fillId="8" borderId="15" xfId="0" applyFont="1" applyFill="1" applyBorder="1"/>
    <xf numFmtId="0" fontId="5" fillId="8" borderId="16" xfId="0" applyFont="1" applyFill="1" applyBorder="1"/>
    <xf numFmtId="0" fontId="5" fillId="10" borderId="14" xfId="0" applyFont="1" applyFill="1" applyBorder="1"/>
    <xf numFmtId="0" fontId="5" fillId="10" borderId="15" xfId="0" applyFont="1" applyFill="1" applyBorder="1"/>
    <xf numFmtId="0" fontId="5" fillId="10" borderId="16" xfId="0" applyFont="1" applyFill="1" applyBorder="1"/>
    <xf numFmtId="0" fontId="5" fillId="11" borderId="14" xfId="0" applyFont="1" applyFill="1" applyBorder="1"/>
    <xf numFmtId="0" fontId="5" fillId="11" borderId="16" xfId="0" applyFont="1" applyFill="1" applyBorder="1"/>
    <xf numFmtId="0" fontId="5" fillId="12" borderId="10" xfId="0" applyFont="1" applyFill="1" applyBorder="1" applyAlignment="1">
      <alignment horizontal="center" vertical="center"/>
    </xf>
    <xf numFmtId="0" fontId="5" fillId="2" borderId="20" xfId="0" applyFont="1" applyFill="1" applyBorder="1"/>
    <xf numFmtId="1" fontId="5" fillId="2" borderId="20" xfId="0" applyNumberFormat="1" applyFont="1" applyFill="1" applyBorder="1" applyAlignment="1">
      <alignment horizontal="center" vertical="center"/>
    </xf>
    <xf numFmtId="0" fontId="5" fillId="3" borderId="20" xfId="0" applyFont="1" applyFill="1" applyBorder="1" applyAlignment="1">
      <alignment horizontal="center" vertical="center"/>
    </xf>
    <xf numFmtId="0" fontId="5" fillId="2" borderId="20" xfId="0" applyFont="1" applyFill="1" applyBorder="1" applyAlignment="1">
      <alignment horizontal="center" vertical="center"/>
    </xf>
    <xf numFmtId="0" fontId="5" fillId="3" borderId="20" xfId="0" applyFont="1" applyFill="1" applyBorder="1"/>
    <xf numFmtId="164" fontId="5" fillId="2" borderId="20" xfId="0" applyNumberFormat="1" applyFont="1" applyFill="1" applyBorder="1" applyAlignment="1">
      <alignment horizontal="center" vertical="center"/>
    </xf>
    <xf numFmtId="164" fontId="5" fillId="3" borderId="20" xfId="0" applyNumberFormat="1" applyFont="1" applyFill="1" applyBorder="1" applyAlignment="1">
      <alignment horizontal="center" vertical="center"/>
    </xf>
    <xf numFmtId="0" fontId="5" fillId="3" borderId="8" xfId="0" applyFont="1" applyFill="1" applyBorder="1"/>
    <xf numFmtId="164" fontId="5" fillId="2" borderId="20" xfId="0" applyNumberFormat="1" applyFont="1" applyFill="1" applyBorder="1" applyAlignment="1">
      <alignment vertical="center"/>
    </xf>
    <xf numFmtId="0" fontId="8" fillId="2" borderId="19" xfId="0" applyFont="1" applyFill="1" applyBorder="1"/>
    <xf numFmtId="0" fontId="5" fillId="2" borderId="21" xfId="0" applyFont="1" applyFill="1" applyBorder="1"/>
    <xf numFmtId="0" fontId="5" fillId="3" borderId="16" xfId="0" applyFont="1" applyFill="1" applyBorder="1" applyAlignment="1">
      <alignment horizontal="center" vertical="center"/>
    </xf>
    <xf numFmtId="0" fontId="0" fillId="0" borderId="0" xfId="0" applyAlignment="1">
      <alignment horizontal="center"/>
    </xf>
    <xf numFmtId="0" fontId="5" fillId="2" borderId="4" xfId="0" applyFont="1" applyFill="1" applyBorder="1" applyAlignment="1">
      <alignment horizontal="left" vertical="center"/>
    </xf>
    <xf numFmtId="1" fontId="5" fillId="2" borderId="4" xfId="0" applyNumberFormat="1" applyFont="1" applyFill="1" applyBorder="1" applyAlignment="1">
      <alignment horizontal="left" vertical="center"/>
    </xf>
    <xf numFmtId="0" fontId="5" fillId="0" borderId="0" xfId="0" applyFont="1" applyAlignment="1">
      <alignment horizontal="left" vertical="center"/>
    </xf>
    <xf numFmtId="1" fontId="8" fillId="0" borderId="9" xfId="0" applyNumberFormat="1" applyFont="1" applyBorder="1" applyAlignment="1">
      <alignment shrinkToFit="1"/>
    </xf>
    <xf numFmtId="0" fontId="5" fillId="3" borderId="9" xfId="0" applyFont="1" applyFill="1" applyBorder="1" applyAlignment="1">
      <alignment horizontal="center"/>
    </xf>
    <xf numFmtId="0" fontId="5" fillId="26" borderId="36" xfId="0" applyFont="1" applyFill="1" applyBorder="1" applyAlignment="1">
      <alignment horizontal="left"/>
    </xf>
    <xf numFmtId="0" fontId="5" fillId="3" borderId="6" xfId="0" applyFont="1" applyFill="1" applyBorder="1" applyAlignment="1">
      <alignment horizontal="left"/>
    </xf>
    <xf numFmtId="0" fontId="5" fillId="4" borderId="3" xfId="0" applyFont="1" applyFill="1" applyBorder="1" applyAlignment="1">
      <alignment horizontal="left"/>
    </xf>
    <xf numFmtId="0" fontId="0" fillId="0" borderId="0" xfId="0" applyAlignment="1">
      <alignment horizontal="left"/>
    </xf>
    <xf numFmtId="1" fontId="5" fillId="5" borderId="6" xfId="0" applyNumberFormat="1" applyFont="1" applyFill="1" applyBorder="1" applyAlignment="1">
      <alignment horizontal="left" vertical="center"/>
    </xf>
    <xf numFmtId="1" fontId="5" fillId="6" borderId="6" xfId="0" applyNumberFormat="1" applyFont="1" applyFill="1" applyBorder="1" applyAlignment="1">
      <alignment horizontal="left" vertical="center"/>
    </xf>
    <xf numFmtId="1" fontId="5" fillId="0" borderId="9" xfId="0" applyNumberFormat="1" applyFont="1" applyBorder="1" applyAlignment="1">
      <alignment horizontal="left" vertical="center"/>
    </xf>
    <xf numFmtId="0" fontId="5" fillId="3" borderId="6" xfId="0" applyFont="1" applyFill="1" applyBorder="1" applyAlignment="1">
      <alignment horizontal="left" vertical="center"/>
    </xf>
    <xf numFmtId="0" fontId="5" fillId="7" borderId="6" xfId="0" applyFont="1" applyFill="1" applyBorder="1" applyAlignment="1">
      <alignment horizontal="left"/>
    </xf>
    <xf numFmtId="0" fontId="5" fillId="5" borderId="6" xfId="0" applyFont="1" applyFill="1" applyBorder="1" applyAlignment="1">
      <alignment horizontal="left"/>
    </xf>
    <xf numFmtId="0" fontId="5" fillId="8" borderId="6" xfId="0" applyFont="1" applyFill="1" applyBorder="1" applyAlignment="1">
      <alignment horizontal="left"/>
    </xf>
    <xf numFmtId="0" fontId="5" fillId="10" borderId="6" xfId="0" applyFont="1" applyFill="1" applyBorder="1" applyAlignment="1">
      <alignment horizontal="left"/>
    </xf>
    <xf numFmtId="0" fontId="5" fillId="11" borderId="6" xfId="0" applyFont="1" applyFill="1" applyBorder="1" applyAlignment="1">
      <alignment horizontal="left"/>
    </xf>
    <xf numFmtId="0" fontId="2" fillId="0" borderId="0" xfId="0" applyFont="1"/>
    <xf numFmtId="0" fontId="5" fillId="3" borderId="31" xfId="0" applyFont="1" applyFill="1" applyBorder="1" applyAlignment="1">
      <alignment horizontal="left" vertical="center"/>
    </xf>
    <xf numFmtId="0" fontId="5" fillId="9" borderId="34" xfId="0" applyFont="1" applyFill="1" applyBorder="1" applyAlignment="1">
      <alignment horizontal="left" vertical="center"/>
    </xf>
    <xf numFmtId="0" fontId="2" fillId="0" borderId="3" xfId="0" applyFont="1" applyBorder="1"/>
    <xf numFmtId="0" fontId="5" fillId="0" borderId="6" xfId="0" applyFont="1" applyBorder="1" applyAlignment="1">
      <alignment horizontal="left"/>
    </xf>
    <xf numFmtId="0" fontId="9" fillId="27" borderId="0" xfId="0" applyFont="1" applyFill="1"/>
    <xf numFmtId="1" fontId="5" fillId="0" borderId="0" xfId="0" applyNumberFormat="1" applyFont="1" applyAlignment="1">
      <alignment horizontal="left" vertical="center"/>
    </xf>
    <xf numFmtId="0" fontId="2" fillId="0" borderId="0" xfId="0" applyFont="1" applyAlignment="1">
      <alignment horizontal="left"/>
    </xf>
    <xf numFmtId="0" fontId="2" fillId="0" borderId="0" xfId="0" applyFont="1" applyAlignment="1">
      <alignment horizontal="center"/>
    </xf>
    <xf numFmtId="1" fontId="5" fillId="0" borderId="0" xfId="0" applyNumberFormat="1" applyFont="1" applyAlignment="1">
      <alignment horizontal="left"/>
    </xf>
    <xf numFmtId="0" fontId="2" fillId="23" borderId="30" xfId="0" applyFont="1" applyFill="1" applyBorder="1" applyAlignment="1">
      <alignment horizontal="left" vertical="center"/>
    </xf>
    <xf numFmtId="0" fontId="2" fillId="23" borderId="27" xfId="0" applyFont="1" applyFill="1" applyBorder="1"/>
    <xf numFmtId="0" fontId="2" fillId="23" borderId="35" xfId="0" applyFont="1" applyFill="1" applyBorder="1"/>
    <xf numFmtId="0" fontId="2" fillId="25" borderId="30" xfId="0" applyFont="1" applyFill="1" applyBorder="1"/>
    <xf numFmtId="0" fontId="2" fillId="25" borderId="27" xfId="0" applyFont="1" applyFill="1" applyBorder="1"/>
    <xf numFmtId="0" fontId="2" fillId="25" borderId="35" xfId="0" applyFont="1" applyFill="1" applyBorder="1"/>
    <xf numFmtId="0" fontId="0" fillId="0" borderId="3" xfId="0" applyBorder="1"/>
    <xf numFmtId="0" fontId="2" fillId="0" borderId="38" xfId="0" applyFont="1" applyBorder="1"/>
    <xf numFmtId="0" fontId="0" fillId="0" borderId="39" xfId="0" applyBorder="1"/>
    <xf numFmtId="0" fontId="2" fillId="0" borderId="40" xfId="0" applyFont="1" applyBorder="1"/>
    <xf numFmtId="0" fontId="0" fillId="0" borderId="41" xfId="0" applyBorder="1"/>
    <xf numFmtId="0" fontId="0" fillId="0" borderId="42" xfId="0" applyBorder="1"/>
    <xf numFmtId="0" fontId="2" fillId="0" borderId="43" xfId="0" applyFont="1" applyBorder="1"/>
    <xf numFmtId="0" fontId="0" fillId="0" borderId="44" xfId="0" applyBorder="1"/>
    <xf numFmtId="0" fontId="0" fillId="0" borderId="45" xfId="0" applyBorder="1"/>
    <xf numFmtId="0" fontId="21" fillId="0" borderId="46" xfId="0" applyFont="1" applyBorder="1"/>
    <xf numFmtId="0" fontId="0" fillId="0" borderId="47" xfId="0" applyBorder="1"/>
    <xf numFmtId="0" fontId="0" fillId="0" borderId="48" xfId="0" applyBorder="1"/>
    <xf numFmtId="0" fontId="2" fillId="23" borderId="49" xfId="0" applyFont="1" applyFill="1" applyBorder="1" applyAlignment="1">
      <alignment horizontal="center"/>
    </xf>
    <xf numFmtId="0" fontId="2" fillId="0" borderId="0" xfId="0" applyFont="1" applyAlignment="1">
      <alignment horizontal="right"/>
    </xf>
    <xf numFmtId="0" fontId="5" fillId="11" borderId="3" xfId="0" applyFont="1" applyFill="1" applyBorder="1"/>
    <xf numFmtId="0" fontId="2" fillId="23" borderId="49" xfId="0" applyFont="1" applyFill="1" applyBorder="1"/>
    <xf numFmtId="0" fontId="0" fillId="23" borderId="49" xfId="0" applyFill="1" applyBorder="1" applyAlignment="1">
      <alignment horizontal="center"/>
    </xf>
    <xf numFmtId="0" fontId="0" fillId="28" borderId="0" xfId="0" applyFill="1"/>
    <xf numFmtId="0" fontId="22" fillId="28" borderId="0" xfId="0" applyFont="1" applyFill="1"/>
    <xf numFmtId="0" fontId="23" fillId="28" borderId="0" xfId="0" applyFont="1" applyFill="1"/>
    <xf numFmtId="0" fontId="0" fillId="29" borderId="0" xfId="0" applyFill="1"/>
    <xf numFmtId="0" fontId="24" fillId="29" borderId="0" xfId="0" applyFont="1" applyFill="1"/>
    <xf numFmtId="0" fontId="0" fillId="28" borderId="0" xfId="0" applyFill="1" applyAlignment="1">
      <alignment horizontal="left"/>
    </xf>
    <xf numFmtId="0" fontId="1" fillId="0" borderId="0" xfId="0" applyFont="1"/>
    <xf numFmtId="0" fontId="24" fillId="28" borderId="0" xfId="0" applyFont="1" applyFill="1" applyAlignment="1">
      <alignment horizontal="left" vertical="center"/>
    </xf>
    <xf numFmtId="0" fontId="26" fillId="0" borderId="50" xfId="1" applyFont="1" applyBorder="1"/>
    <xf numFmtId="0" fontId="25" fillId="0" borderId="51" xfId="1" applyBorder="1"/>
    <xf numFmtId="0" fontId="25" fillId="0" borderId="52" xfId="1" applyBorder="1"/>
    <xf numFmtId="0" fontId="25" fillId="0" borderId="3" xfId="1"/>
    <xf numFmtId="0" fontId="27" fillId="0" borderId="53" xfId="1" applyFont="1" applyBorder="1"/>
    <xf numFmtId="0" fontId="25" fillId="0" borderId="54" xfId="1" applyBorder="1"/>
    <xf numFmtId="0" fontId="25" fillId="0" borderId="55" xfId="1" applyBorder="1"/>
    <xf numFmtId="0" fontId="28" fillId="0" borderId="3" xfId="1" applyFont="1"/>
    <xf numFmtId="0" fontId="29" fillId="0" borderId="3" xfId="1" applyFont="1"/>
    <xf numFmtId="0" fontId="30" fillId="0" borderId="3" xfId="1" applyFont="1"/>
    <xf numFmtId="0" fontId="5" fillId="0" borderId="0" xfId="0" applyFont="1" applyAlignment="1">
      <alignment horizontal="left" vertical="top" wrapText="1"/>
    </xf>
    <xf numFmtId="0" fontId="0" fillId="0" borderId="0" xfId="0"/>
    <xf numFmtId="0" fontId="5" fillId="0" borderId="0" xfId="0" applyFont="1" applyAlignment="1">
      <alignment horizontal="left" vertical="center"/>
    </xf>
    <xf numFmtId="0" fontId="5" fillId="3" borderId="9" xfId="0" applyFont="1" applyFill="1" applyBorder="1" applyAlignment="1">
      <alignment horizontal="center"/>
    </xf>
    <xf numFmtId="0" fontId="19" fillId="0" borderId="11" xfId="0" applyFont="1" applyBorder="1"/>
    <xf numFmtId="0" fontId="5" fillId="0" borderId="8" xfId="0" applyFont="1" applyBorder="1" applyAlignment="1">
      <alignment horizontal="left"/>
    </xf>
    <xf numFmtId="0" fontId="5" fillId="3" borderId="14" xfId="0" applyFont="1" applyFill="1" applyBorder="1" applyAlignment="1">
      <alignment horizontal="center"/>
    </xf>
    <xf numFmtId="0" fontId="19" fillId="0" borderId="15" xfId="0" applyFont="1" applyBorder="1"/>
    <xf numFmtId="0" fontId="5" fillId="9" borderId="17" xfId="0" applyFont="1" applyFill="1" applyBorder="1" applyAlignment="1">
      <alignment horizontal="center"/>
    </xf>
    <xf numFmtId="0" fontId="19" fillId="0" borderId="18" xfId="0" applyFont="1" applyBorder="1"/>
    <xf numFmtId="0" fontId="5" fillId="3" borderId="12" xfId="0" applyFont="1" applyFill="1" applyBorder="1" applyAlignment="1">
      <alignment horizontal="center"/>
    </xf>
    <xf numFmtId="0" fontId="19" fillId="0" borderId="13" xfId="0" applyFont="1" applyBorder="1"/>
    <xf numFmtId="0" fontId="5" fillId="9" borderId="14" xfId="0" applyFont="1" applyFill="1" applyBorder="1" applyAlignment="1">
      <alignment horizontal="center"/>
    </xf>
    <xf numFmtId="0" fontId="5" fillId="9" borderId="9" xfId="0" applyFont="1" applyFill="1" applyBorder="1" applyAlignment="1">
      <alignment horizontal="center"/>
    </xf>
    <xf numFmtId="0" fontId="5" fillId="9" borderId="12" xfId="0" applyFont="1" applyFill="1" applyBorder="1" applyAlignment="1">
      <alignment horizontal="center"/>
    </xf>
    <xf numFmtId="0" fontId="19" fillId="23" borderId="11" xfId="0" applyFont="1" applyFill="1" applyBorder="1"/>
    <xf numFmtId="0" fontId="8" fillId="0" borderId="0" xfId="0" applyFont="1" applyAlignment="1">
      <alignment horizontal="center" wrapText="1"/>
    </xf>
    <xf numFmtId="0" fontId="5" fillId="0" borderId="0" xfId="0" applyFont="1" applyAlignment="1">
      <alignment horizontal="center" wrapText="1"/>
    </xf>
    <xf numFmtId="0" fontId="9" fillId="30" borderId="9" xfId="0" applyFont="1" applyFill="1" applyBorder="1" applyAlignment="1">
      <alignment horizontal="left"/>
    </xf>
  </cellXfs>
  <cellStyles count="2">
    <cellStyle name="Normal" xfId="0" builtinId="0"/>
    <cellStyle name="Normal 2" xfId="1" xr:uid="{6BA9EE59-9A8A-4CBC-8BB8-231E76B3A8B6}"/>
  </cellStyles>
  <dxfs count="17">
    <dxf>
      <font>
        <color theme="1"/>
      </font>
      <fill>
        <patternFill>
          <bgColor rgb="FF92D050"/>
        </patternFill>
      </fill>
    </dxf>
    <dxf>
      <font>
        <color rgb="FFFF0000"/>
      </font>
      <fill>
        <patternFill patternType="none">
          <bgColor auto="1"/>
        </patternFill>
      </fill>
    </dxf>
    <dxf>
      <fill>
        <patternFill patternType="solid">
          <fgColor rgb="FF92D050"/>
          <bgColor rgb="FF92D050"/>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rgb="FF9C0006"/>
      </font>
      <fill>
        <patternFill patternType="solid">
          <fgColor rgb="FFFFC7CE"/>
          <bgColor rgb="FFFFC7CE"/>
        </patternFill>
      </fill>
    </dxf>
    <dxf>
      <font>
        <color rgb="FF9C5700"/>
      </font>
      <fill>
        <patternFill patternType="solid">
          <fgColor rgb="FFFFEB9C"/>
          <bgColor rgb="FFFFEB9C"/>
        </patternFill>
      </fill>
    </dxf>
    <dxf>
      <font>
        <color rgb="FF006100"/>
      </font>
      <fill>
        <patternFill patternType="solid">
          <fgColor rgb="FFC6EFCE"/>
          <bgColor rgb="FFC6EFCE"/>
        </patternFill>
      </fill>
    </dxf>
    <dxf>
      <fill>
        <patternFill patternType="solid">
          <fgColor rgb="FF00B0F0"/>
          <bgColor rgb="FF00B0F0"/>
        </patternFill>
      </fill>
    </dxf>
    <dxf>
      <fill>
        <patternFill patternType="solid">
          <fgColor rgb="FFD1B2E8"/>
          <bgColor rgb="FFD1B2E8"/>
        </patternFill>
      </fill>
    </dxf>
    <dxf>
      <font>
        <color theme="1"/>
      </font>
      <fill>
        <patternFill>
          <bgColor rgb="FF92D050"/>
        </patternFill>
      </fill>
    </dxf>
    <dxf>
      <font>
        <color rgb="FFFF0000"/>
      </font>
      <fill>
        <patternFill patternType="none">
          <bgColor auto="1"/>
        </patternFill>
      </fill>
    </dxf>
    <dxf>
      <fill>
        <patternFill patternType="solid">
          <fgColor rgb="FF92D050"/>
          <bgColor rgb="FF92D050"/>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bgColor rgb="FF92D050"/>
        </patternFill>
      </fill>
    </dxf>
    <dxf>
      <font>
        <color rgb="FFFF0000"/>
      </font>
      <fill>
        <patternFill patternType="none">
          <bgColor auto="1"/>
        </patternFill>
      </fill>
    </dxf>
    <dxf>
      <fill>
        <patternFill patternType="solid">
          <fgColor rgb="FF92D050"/>
          <bgColor rgb="FF92D050"/>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border>
        <left style="thin">
          <color rgb="FF000000"/>
        </left>
        <right style="thin">
          <color rgb="FF000000"/>
        </right>
        <top style="thin">
          <color rgb="FF000000"/>
        </top>
        <bottom style="thin">
          <color rgb="FF00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20" Type="http://customschemas.google.com/relationships/workbookmetadata" Target="meta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23"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editAs="oneCell">
    <xdr:from>
      <xdr:col>6</xdr:col>
      <xdr:colOff>100635</xdr:colOff>
      <xdr:row>0</xdr:row>
      <xdr:rowOff>0</xdr:rowOff>
    </xdr:from>
    <xdr:to>
      <xdr:col>21</xdr:col>
      <xdr:colOff>481515</xdr:colOff>
      <xdr:row>38</xdr:row>
      <xdr:rowOff>164340</xdr:rowOff>
    </xdr:to>
    <xdr:pic>
      <xdr:nvPicPr>
        <xdr:cNvPr id="2" name="Picture 4">
          <a:extLst>
            <a:ext uri="{FF2B5EF4-FFF2-40B4-BE49-F238E27FC236}">
              <a16:creationId xmlns:a16="http://schemas.microsoft.com/office/drawing/2014/main" id="{D1B5CF60-65AB-4596-B87F-811C05CE930B}"/>
            </a:ext>
          </a:extLst>
        </xdr:cNvPr>
        <xdr:cNvPicPr/>
      </xdr:nvPicPr>
      <xdr:blipFill>
        <a:blip xmlns:r="http://schemas.openxmlformats.org/officeDocument/2006/relationships" r:embed="rId1">
          <a:alphaModFix amt="20000"/>
        </a:blip>
        <a:stretch/>
      </xdr:blipFill>
      <xdr:spPr>
        <a:xfrm>
          <a:off x="3586785" y="0"/>
          <a:ext cx="9096255" cy="8155815"/>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76200</xdr:colOff>
      <xdr:row>2</xdr:row>
      <xdr:rowOff>180975</xdr:rowOff>
    </xdr:from>
    <xdr:to>
      <xdr:col>14</xdr:col>
      <xdr:colOff>0</xdr:colOff>
      <xdr:row>22</xdr:row>
      <xdr:rowOff>180975</xdr:rowOff>
    </xdr:to>
    <xdr:pic>
      <xdr:nvPicPr>
        <xdr:cNvPr id="3" name="Picture 2">
          <a:extLst>
            <a:ext uri="{FF2B5EF4-FFF2-40B4-BE49-F238E27FC236}">
              <a16:creationId xmlns:a16="http://schemas.microsoft.com/office/drawing/2014/main" id="{E68BE8BD-08F2-9401-681C-110E0AACFF9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3000" y="1543050"/>
          <a:ext cx="3810000" cy="3810000"/>
        </a:xfrm>
        <a:prstGeom prst="rect">
          <a:avLst/>
        </a:prstGeom>
      </xdr:spPr>
    </xdr:pic>
    <xdr:clientData/>
  </xdr:twoCellAnchor>
  <xdr:twoCellAnchor editAs="oneCell">
    <xdr:from>
      <xdr:col>14</xdr:col>
      <xdr:colOff>400050</xdr:colOff>
      <xdr:row>2</xdr:row>
      <xdr:rowOff>180975</xdr:rowOff>
    </xdr:from>
    <xdr:to>
      <xdr:col>21</xdr:col>
      <xdr:colOff>152400</xdr:colOff>
      <xdr:row>22</xdr:row>
      <xdr:rowOff>180975</xdr:rowOff>
    </xdr:to>
    <xdr:pic>
      <xdr:nvPicPr>
        <xdr:cNvPr id="5" name="Picture 4">
          <a:extLst>
            <a:ext uri="{FF2B5EF4-FFF2-40B4-BE49-F238E27FC236}">
              <a16:creationId xmlns:a16="http://schemas.microsoft.com/office/drawing/2014/main" id="{304037E3-E44B-D4A0-DA5D-E4FC3F8B4CD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934450" y="1543050"/>
          <a:ext cx="3810000" cy="3810000"/>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023B0-AFE8-4485-AB43-E41DAE6DE62B}">
  <sheetPr>
    <tabColor rgb="FF92D050"/>
  </sheetPr>
  <dimension ref="F3:Z32"/>
  <sheetViews>
    <sheetView tabSelected="1" zoomScaleNormal="100" workbookViewId="0">
      <selection activeCell="F43" sqref="F43"/>
    </sheetView>
  </sheetViews>
  <sheetFormatPr defaultColWidth="8.7109375" defaultRowHeight="15" x14ac:dyDescent="0.25"/>
  <cols>
    <col min="1" max="16384" width="8.7109375" style="264"/>
  </cols>
  <sheetData>
    <row r="3" spans="6:26" ht="15.75" thickBot="1" x14ac:dyDescent="0.3"/>
    <row r="4" spans="6:26" ht="19.5" thickTop="1" x14ac:dyDescent="0.3">
      <c r="F4" s="261" t="s">
        <v>5121</v>
      </c>
      <c r="G4" s="262"/>
      <c r="H4" s="262"/>
      <c r="I4" s="262"/>
      <c r="J4" s="262"/>
      <c r="K4" s="262"/>
      <c r="L4" s="262"/>
      <c r="M4" s="262"/>
      <c r="N4" s="262"/>
      <c r="O4" s="262"/>
      <c r="P4" s="262"/>
      <c r="Q4" s="262"/>
      <c r="R4" s="262"/>
      <c r="S4" s="262"/>
      <c r="T4" s="262"/>
      <c r="U4" s="262"/>
      <c r="V4" s="262"/>
      <c r="W4" s="262"/>
      <c r="X4" s="262"/>
      <c r="Y4" s="262"/>
      <c r="Z4" s="263"/>
    </row>
    <row r="5" spans="6:26" ht="21.75" thickBot="1" x14ac:dyDescent="0.4">
      <c r="F5" s="265" t="s">
        <v>5129</v>
      </c>
      <c r="G5" s="266"/>
      <c r="H5" s="266"/>
      <c r="I5" s="266"/>
      <c r="J5" s="266"/>
      <c r="K5" s="266"/>
      <c r="L5" s="266"/>
      <c r="M5" s="266"/>
      <c r="N5" s="266"/>
      <c r="O5" s="266"/>
      <c r="P5" s="266"/>
      <c r="Q5" s="266"/>
      <c r="R5" s="266"/>
      <c r="S5" s="266"/>
      <c r="T5" s="266"/>
      <c r="U5" s="266"/>
      <c r="V5" s="266"/>
      <c r="W5" s="266"/>
      <c r="X5" s="266"/>
      <c r="Y5" s="266"/>
      <c r="Z5" s="267"/>
    </row>
    <row r="8" spans="6:26" ht="26.25" x14ac:dyDescent="0.4">
      <c r="F8" s="268"/>
      <c r="K8" s="269" t="s">
        <v>5100</v>
      </c>
    </row>
    <row r="10" spans="6:26" x14ac:dyDescent="0.25">
      <c r="H10" s="270" t="s">
        <v>5111</v>
      </c>
    </row>
    <row r="12" spans="6:26" x14ac:dyDescent="0.25">
      <c r="H12" s="270" t="s">
        <v>5103</v>
      </c>
    </row>
    <row r="14" spans="6:26" ht="26.25" x14ac:dyDescent="0.4">
      <c r="L14" s="269" t="s">
        <v>5101</v>
      </c>
    </row>
    <row r="15" spans="6:26" ht="15" customHeight="1" x14ac:dyDescent="0.4">
      <c r="K15" s="269"/>
      <c r="L15" s="269"/>
    </row>
    <row r="16" spans="6:26" x14ac:dyDescent="0.25">
      <c r="H16" s="270" t="s">
        <v>5102</v>
      </c>
    </row>
    <row r="17" spans="8:13" x14ac:dyDescent="0.25">
      <c r="H17" s="270" t="s">
        <v>5114</v>
      </c>
    </row>
    <row r="18" spans="8:13" x14ac:dyDescent="0.25">
      <c r="I18" s="270"/>
    </row>
    <row r="19" spans="8:13" x14ac:dyDescent="0.25">
      <c r="H19" s="270" t="s">
        <v>5104</v>
      </c>
    </row>
    <row r="20" spans="8:13" x14ac:dyDescent="0.25">
      <c r="H20" s="270"/>
    </row>
    <row r="21" spans="8:13" ht="26.25" x14ac:dyDescent="0.4">
      <c r="M21" s="269" t="s">
        <v>5113</v>
      </c>
    </row>
    <row r="23" spans="8:13" ht="15" customHeight="1" x14ac:dyDescent="0.25">
      <c r="H23" s="270" t="s">
        <v>5122</v>
      </c>
    </row>
    <row r="24" spans="8:13" ht="15.75" customHeight="1" x14ac:dyDescent="0.25">
      <c r="H24" s="270" t="s">
        <v>5123</v>
      </c>
    </row>
    <row r="25" spans="8:13" ht="15.75" customHeight="1" x14ac:dyDescent="0.25">
      <c r="H25" s="270" t="s">
        <v>5124</v>
      </c>
    </row>
    <row r="26" spans="8:13" ht="15.75" customHeight="1" x14ac:dyDescent="0.25">
      <c r="H26" s="270"/>
    </row>
    <row r="27" spans="8:13" ht="26.25" x14ac:dyDescent="0.4">
      <c r="K27" s="269" t="s">
        <v>5112</v>
      </c>
    </row>
    <row r="29" spans="8:13" ht="15" customHeight="1" x14ac:dyDescent="0.4">
      <c r="H29" s="270" t="s">
        <v>5125</v>
      </c>
      <c r="J29" s="269"/>
    </row>
    <row r="30" spans="8:13" x14ac:dyDescent="0.25">
      <c r="H30" s="270" t="s">
        <v>5126</v>
      </c>
    </row>
    <row r="31" spans="8:13" x14ac:dyDescent="0.25">
      <c r="H31" s="270" t="s">
        <v>5127</v>
      </c>
    </row>
    <row r="32" spans="8:13" x14ac:dyDescent="0.25">
      <c r="H32" s="270" t="s">
        <v>5128</v>
      </c>
    </row>
  </sheetData>
  <sheetProtection algorithmName="SHA-512" hashValue="x5Mtj6Bg2rPGE3um3iD66hgYqxWhl/FXQ3BdWpFZep/0mzlMuanIv7ImCyFV/Dd4nxKStstOtnvocVDxQs+M3A==" saltValue="GGN3ea0liVY3fkc36OtPdw==" spinCount="100000" sheet="1" objects="1" scenarios="1"/>
  <pageMargins left="0.7" right="0.7" top="0.75" bottom="0.75" header="0.511811023622047" footer="0.511811023622047"/>
  <pageSetup orientation="portrait" horizontalDpi="300" verticalDpi="3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CC85F-9FE8-49E2-8210-7F2390290686}">
  <sheetPr>
    <tabColor theme="8" tint="0.59999389629810485"/>
  </sheetPr>
  <dimension ref="A1:AF43"/>
  <sheetViews>
    <sheetView topLeftCell="A2" workbookViewId="0">
      <selection activeCell="B34" sqref="B34"/>
    </sheetView>
  </sheetViews>
  <sheetFormatPr defaultRowHeight="15" x14ac:dyDescent="0.25"/>
  <cols>
    <col min="14" max="14" width="12.5703125" customWidth="1"/>
    <col min="15" max="15" width="9.140625" hidden="1" customWidth="1"/>
  </cols>
  <sheetData>
    <row r="1" spans="1:32" x14ac:dyDescent="0.25">
      <c r="A1" s="253"/>
      <c r="B1" s="253"/>
      <c r="C1" s="253"/>
      <c r="D1" s="253"/>
      <c r="E1" s="253"/>
      <c r="F1" s="253"/>
      <c r="G1" s="253"/>
      <c r="H1" s="253"/>
      <c r="I1" s="253"/>
      <c r="J1" s="253"/>
      <c r="K1" s="253"/>
      <c r="L1" s="253"/>
      <c r="M1" s="253"/>
      <c r="N1" s="253"/>
      <c r="P1" s="256"/>
      <c r="Q1" s="256"/>
      <c r="R1" s="256"/>
      <c r="S1" s="256"/>
      <c r="T1" s="256"/>
      <c r="U1" s="256"/>
      <c r="V1" s="256"/>
      <c r="W1" s="256"/>
      <c r="X1" s="256"/>
      <c r="Y1" s="256"/>
      <c r="Z1" s="256"/>
      <c r="AA1" s="256"/>
      <c r="AB1" s="256"/>
      <c r="AC1" s="256"/>
      <c r="AD1" s="256"/>
      <c r="AE1" s="256"/>
      <c r="AF1" s="256"/>
    </row>
    <row r="2" spans="1:32" ht="92.25" x14ac:dyDescent="1.35">
      <c r="A2" s="253"/>
      <c r="B2" s="253"/>
      <c r="C2" s="253"/>
      <c r="D2" s="253"/>
      <c r="E2" s="253"/>
      <c r="F2" s="253"/>
      <c r="G2" s="253"/>
      <c r="H2" s="254"/>
      <c r="I2" s="255" t="s">
        <v>5099</v>
      </c>
      <c r="J2" s="253"/>
      <c r="K2" s="253"/>
      <c r="L2" s="253"/>
      <c r="M2" s="253"/>
      <c r="N2" s="253"/>
      <c r="P2" s="256"/>
      <c r="Q2" s="256"/>
      <c r="R2" s="256"/>
      <c r="S2" s="256"/>
      <c r="T2" s="256"/>
      <c r="U2" s="256"/>
      <c r="V2" s="256"/>
      <c r="W2" s="256"/>
      <c r="X2" s="256"/>
      <c r="Y2" s="256"/>
      <c r="Z2" s="256"/>
      <c r="AA2" s="256"/>
      <c r="AB2" s="256"/>
      <c r="AC2" s="256"/>
      <c r="AD2" s="256"/>
      <c r="AE2" s="256"/>
      <c r="AF2" s="256"/>
    </row>
    <row r="3" spans="1:32" x14ac:dyDescent="0.25">
      <c r="A3" s="253"/>
      <c r="B3" s="253"/>
      <c r="C3" s="253"/>
      <c r="D3" s="253"/>
      <c r="E3" s="253"/>
      <c r="F3" s="253"/>
      <c r="G3" s="253"/>
      <c r="H3" s="253"/>
      <c r="I3" s="253"/>
      <c r="J3" s="253"/>
      <c r="K3" s="253"/>
      <c r="L3" s="253"/>
      <c r="M3" s="253"/>
      <c r="N3" s="253"/>
      <c r="P3" s="256"/>
      <c r="Q3" s="256"/>
      <c r="R3" s="256"/>
      <c r="S3" s="256"/>
      <c r="T3" s="256"/>
      <c r="U3" s="256"/>
      <c r="V3" s="256"/>
      <c r="W3" s="256"/>
      <c r="X3" s="256"/>
      <c r="Y3" s="256"/>
      <c r="Z3" s="256"/>
      <c r="AA3" s="256"/>
      <c r="AB3" s="256"/>
      <c r="AC3" s="256"/>
      <c r="AD3" s="256"/>
      <c r="AE3" s="256"/>
      <c r="AF3" s="256"/>
    </row>
    <row r="4" spans="1:32" x14ac:dyDescent="0.25">
      <c r="A4" s="253"/>
      <c r="B4" s="253"/>
      <c r="C4" s="253"/>
      <c r="D4" s="253"/>
      <c r="E4" s="253"/>
      <c r="F4" s="253"/>
      <c r="G4" s="253"/>
      <c r="H4" s="253"/>
      <c r="I4" s="253"/>
      <c r="J4" s="253"/>
      <c r="K4" s="253"/>
      <c r="L4" s="253"/>
      <c r="M4" s="253"/>
      <c r="N4" s="253"/>
      <c r="P4" s="256"/>
      <c r="Q4" s="256"/>
      <c r="R4" s="256"/>
      <c r="S4" s="256"/>
      <c r="T4" s="256"/>
      <c r="U4" s="256"/>
      <c r="V4" s="256"/>
      <c r="W4" s="256"/>
      <c r="X4" s="256"/>
      <c r="Y4" s="256"/>
      <c r="Z4" s="256"/>
      <c r="AA4" s="256"/>
      <c r="AB4" s="256"/>
      <c r="AC4" s="256"/>
      <c r="AD4" s="256"/>
      <c r="AE4" s="256"/>
      <c r="AF4" s="256"/>
    </row>
    <row r="5" spans="1:32" x14ac:dyDescent="0.25">
      <c r="A5" s="253"/>
      <c r="B5" s="253"/>
      <c r="C5" s="253"/>
      <c r="D5" s="253"/>
      <c r="E5" s="253"/>
      <c r="F5" s="253"/>
      <c r="G5" s="253"/>
      <c r="H5" s="253"/>
      <c r="I5" s="253"/>
      <c r="J5" s="253"/>
      <c r="K5" s="253"/>
      <c r="L5" s="253"/>
      <c r="M5" s="253"/>
      <c r="N5" s="253"/>
      <c r="P5" s="256"/>
      <c r="Q5" s="256"/>
      <c r="R5" s="256"/>
      <c r="S5" s="256"/>
      <c r="T5" s="256"/>
      <c r="U5" s="256"/>
      <c r="V5" s="256"/>
      <c r="W5" s="256"/>
      <c r="X5" s="256"/>
      <c r="Y5" s="256"/>
      <c r="Z5" s="256"/>
      <c r="AA5" s="256"/>
      <c r="AB5" s="256"/>
      <c r="AC5" s="256"/>
      <c r="AD5" s="256"/>
      <c r="AE5" s="256"/>
      <c r="AF5" s="256"/>
    </row>
    <row r="6" spans="1:32" x14ac:dyDescent="0.25">
      <c r="A6" s="253"/>
      <c r="B6" s="253"/>
      <c r="C6" s="253"/>
      <c r="D6" s="253"/>
      <c r="E6" s="253"/>
      <c r="F6" s="253"/>
      <c r="G6" s="253"/>
      <c r="H6" s="253"/>
      <c r="I6" s="253"/>
      <c r="J6" s="253"/>
      <c r="K6" s="253"/>
      <c r="L6" s="253"/>
      <c r="M6" s="253"/>
      <c r="N6" s="253"/>
      <c r="P6" s="256"/>
      <c r="Q6" s="256"/>
      <c r="R6" s="256"/>
      <c r="S6" s="256"/>
      <c r="T6" s="256"/>
      <c r="U6" s="256"/>
      <c r="V6" s="256"/>
      <c r="W6" s="256"/>
      <c r="X6" s="256"/>
      <c r="Y6" s="256"/>
      <c r="Z6" s="256"/>
      <c r="AA6" s="256"/>
      <c r="AB6" s="256"/>
      <c r="AC6" s="256"/>
      <c r="AD6" s="256"/>
      <c r="AE6" s="256"/>
      <c r="AF6" s="256"/>
    </row>
    <row r="7" spans="1:32" x14ac:dyDescent="0.25">
      <c r="A7" s="253"/>
      <c r="B7" s="253"/>
      <c r="C7" s="253"/>
      <c r="D7" s="253"/>
      <c r="E7" s="253"/>
      <c r="F7" s="253"/>
      <c r="G7" s="253"/>
      <c r="H7" s="253"/>
      <c r="I7" s="253"/>
      <c r="J7" s="253"/>
      <c r="K7" s="253"/>
      <c r="L7" s="253"/>
      <c r="M7" s="253"/>
      <c r="N7" s="253"/>
      <c r="P7" s="256"/>
      <c r="Q7" s="256"/>
      <c r="R7" s="256"/>
      <c r="S7" s="256"/>
      <c r="T7" s="256"/>
      <c r="U7" s="256"/>
      <c r="V7" s="256"/>
      <c r="W7" s="256"/>
      <c r="X7" s="256"/>
      <c r="Y7" s="256"/>
      <c r="Z7" s="256"/>
      <c r="AA7" s="256"/>
      <c r="AB7" s="256"/>
      <c r="AC7" s="256"/>
      <c r="AD7" s="256"/>
      <c r="AE7" s="256"/>
      <c r="AF7" s="256"/>
    </row>
    <row r="8" spans="1:32" x14ac:dyDescent="0.25">
      <c r="A8" s="253"/>
      <c r="B8" s="253"/>
      <c r="C8" s="253"/>
      <c r="D8" s="253"/>
      <c r="E8" s="253"/>
      <c r="F8" s="253"/>
      <c r="G8" s="253"/>
      <c r="H8" s="253"/>
      <c r="I8" s="253"/>
      <c r="J8" s="253"/>
      <c r="K8" s="253"/>
      <c r="L8" s="253"/>
      <c r="M8" s="253"/>
      <c r="N8" s="253"/>
      <c r="P8" s="256"/>
      <c r="Q8" s="256"/>
      <c r="R8" s="256"/>
      <c r="S8" s="256"/>
      <c r="T8" s="256"/>
      <c r="U8" s="256"/>
      <c r="V8" s="256"/>
      <c r="W8" s="256"/>
      <c r="X8" s="256"/>
      <c r="Y8" s="256"/>
      <c r="Z8" s="256"/>
      <c r="AA8" s="256"/>
      <c r="AB8" s="256"/>
      <c r="AC8" s="256"/>
      <c r="AD8" s="256"/>
      <c r="AE8" s="256"/>
      <c r="AF8" s="256"/>
    </row>
    <row r="9" spans="1:32" x14ac:dyDescent="0.25">
      <c r="A9" s="253"/>
      <c r="B9" s="253"/>
      <c r="C9" s="253"/>
      <c r="D9" s="253"/>
      <c r="E9" s="253"/>
      <c r="F9" s="253"/>
      <c r="G9" s="253"/>
      <c r="H9" s="253"/>
      <c r="I9" s="253"/>
      <c r="J9" s="253"/>
      <c r="K9" s="253"/>
      <c r="L9" s="253"/>
      <c r="M9" s="253"/>
      <c r="N9" s="253"/>
      <c r="P9" s="256"/>
      <c r="Q9" s="256"/>
      <c r="R9" s="256"/>
      <c r="S9" s="256"/>
      <c r="T9" s="256"/>
      <c r="U9" s="256"/>
      <c r="V9" s="256"/>
      <c r="W9" s="256"/>
      <c r="X9" s="256"/>
      <c r="Y9" s="256"/>
      <c r="Z9" s="256"/>
      <c r="AA9" s="256"/>
      <c r="AB9" s="256"/>
      <c r="AC9" s="256"/>
      <c r="AD9" s="256"/>
      <c r="AE9" s="256"/>
      <c r="AF9" s="256"/>
    </row>
    <row r="10" spans="1:32" x14ac:dyDescent="0.25">
      <c r="A10" s="253"/>
      <c r="B10" s="253"/>
      <c r="C10" s="253"/>
      <c r="D10" s="253"/>
      <c r="E10" s="253"/>
      <c r="F10" s="253"/>
      <c r="G10" s="253"/>
      <c r="H10" s="253"/>
      <c r="I10" s="253"/>
      <c r="J10" s="253"/>
      <c r="K10" s="253"/>
      <c r="L10" s="253"/>
      <c r="M10" s="253"/>
      <c r="N10" s="253"/>
      <c r="P10" s="256"/>
      <c r="Q10" s="256"/>
      <c r="R10" s="256"/>
      <c r="S10" s="256"/>
      <c r="T10" s="256"/>
      <c r="U10" s="256"/>
      <c r="V10" s="256"/>
      <c r="W10" s="256"/>
      <c r="X10" s="256"/>
      <c r="Y10" s="256"/>
      <c r="Z10" s="256"/>
      <c r="AA10" s="256"/>
      <c r="AB10" s="256"/>
      <c r="AC10" s="256"/>
      <c r="AD10" s="256"/>
      <c r="AE10" s="256"/>
      <c r="AF10" s="256"/>
    </row>
    <row r="11" spans="1:32" x14ac:dyDescent="0.25">
      <c r="A11" s="253"/>
      <c r="B11" s="253"/>
      <c r="C11" s="253"/>
      <c r="D11" s="253"/>
      <c r="E11" s="253"/>
      <c r="F11" s="253"/>
      <c r="G11" s="253"/>
      <c r="H11" s="253"/>
      <c r="I11" s="253"/>
      <c r="J11" s="253"/>
      <c r="K11" s="253"/>
      <c r="L11" s="253"/>
      <c r="M11" s="253"/>
      <c r="N11" s="253"/>
      <c r="P11" s="256"/>
      <c r="Q11" s="256"/>
      <c r="R11" s="256"/>
      <c r="S11" s="256"/>
      <c r="T11" s="256"/>
      <c r="U11" s="256"/>
      <c r="V11" s="256"/>
      <c r="W11" s="256"/>
      <c r="X11" s="256"/>
      <c r="Y11" s="256"/>
      <c r="Z11" s="256"/>
      <c r="AA11" s="256"/>
      <c r="AB11" s="256"/>
      <c r="AC11" s="256"/>
      <c r="AD11" s="256"/>
      <c r="AE11" s="256"/>
      <c r="AF11" s="256"/>
    </row>
    <row r="12" spans="1:32" x14ac:dyDescent="0.25">
      <c r="A12" s="253"/>
      <c r="B12" s="253"/>
      <c r="C12" s="253"/>
      <c r="D12" s="253"/>
      <c r="E12" s="253"/>
      <c r="F12" s="253"/>
      <c r="G12" s="253"/>
      <c r="H12" s="253"/>
      <c r="I12" s="253"/>
      <c r="J12" s="253"/>
      <c r="K12" s="253"/>
      <c r="L12" s="253"/>
      <c r="M12" s="253"/>
      <c r="N12" s="253"/>
      <c r="P12" s="256"/>
      <c r="Q12" s="256"/>
      <c r="R12" s="256"/>
      <c r="S12" s="256"/>
      <c r="T12" s="256"/>
      <c r="U12" s="256"/>
      <c r="V12" s="256"/>
      <c r="W12" s="256"/>
      <c r="X12" s="256"/>
      <c r="Y12" s="256"/>
      <c r="Z12" s="256"/>
      <c r="AA12" s="256"/>
      <c r="AB12" s="256"/>
      <c r="AC12" s="256"/>
      <c r="AD12" s="256"/>
      <c r="AE12" s="256"/>
      <c r="AF12" s="256"/>
    </row>
    <row r="13" spans="1:32" x14ac:dyDescent="0.25">
      <c r="A13" s="253"/>
      <c r="B13" s="253"/>
      <c r="C13" s="253"/>
      <c r="D13" s="253"/>
      <c r="E13" s="253"/>
      <c r="F13" s="253"/>
      <c r="G13" s="253"/>
      <c r="H13" s="253"/>
      <c r="I13" s="253"/>
      <c r="J13" s="253"/>
      <c r="K13" s="253"/>
      <c r="L13" s="253"/>
      <c r="M13" s="253"/>
      <c r="N13" s="253"/>
      <c r="P13" s="256"/>
      <c r="Q13" s="256"/>
      <c r="R13" s="256"/>
      <c r="S13" s="256"/>
      <c r="T13" s="256"/>
      <c r="U13" s="256"/>
      <c r="V13" s="256"/>
      <c r="W13" s="256"/>
      <c r="X13" s="256"/>
      <c r="Y13" s="256"/>
      <c r="Z13" s="256"/>
      <c r="AA13" s="256"/>
      <c r="AB13" s="256"/>
      <c r="AC13" s="256"/>
      <c r="AD13" s="256"/>
      <c r="AE13" s="256"/>
      <c r="AF13" s="256"/>
    </row>
    <row r="14" spans="1:32" x14ac:dyDescent="0.25">
      <c r="A14" s="253"/>
      <c r="B14" s="253"/>
      <c r="C14" s="253"/>
      <c r="D14" s="253"/>
      <c r="E14" s="253"/>
      <c r="F14" s="253"/>
      <c r="G14" s="253"/>
      <c r="H14" s="253"/>
      <c r="I14" s="253"/>
      <c r="J14" s="253"/>
      <c r="K14" s="253"/>
      <c r="L14" s="253"/>
      <c r="M14" s="253"/>
      <c r="N14" s="253"/>
      <c r="P14" s="256"/>
      <c r="Q14" s="256"/>
      <c r="R14" s="256"/>
      <c r="S14" s="256"/>
      <c r="T14" s="256"/>
      <c r="U14" s="256"/>
      <c r="V14" s="256"/>
      <c r="W14" s="256"/>
      <c r="X14" s="256"/>
      <c r="Y14" s="256"/>
      <c r="Z14" s="256"/>
      <c r="AA14" s="256"/>
      <c r="AB14" s="256"/>
      <c r="AC14" s="256"/>
      <c r="AD14" s="256"/>
      <c r="AE14" s="256"/>
      <c r="AF14" s="256"/>
    </row>
    <row r="15" spans="1:32" x14ac:dyDescent="0.25">
      <c r="A15" s="253"/>
      <c r="B15" s="253"/>
      <c r="C15" s="253"/>
      <c r="D15" s="253"/>
      <c r="E15" s="253"/>
      <c r="F15" s="253"/>
      <c r="G15" s="253"/>
      <c r="H15" s="253"/>
      <c r="I15" s="253"/>
      <c r="J15" s="253"/>
      <c r="K15" s="253"/>
      <c r="L15" s="253"/>
      <c r="M15" s="253"/>
      <c r="N15" s="253"/>
      <c r="P15" s="256"/>
      <c r="Q15" s="256"/>
      <c r="R15" s="256"/>
      <c r="S15" s="256"/>
      <c r="T15" s="256"/>
      <c r="U15" s="256"/>
      <c r="V15" s="256"/>
      <c r="W15" s="256"/>
      <c r="X15" s="256"/>
      <c r="Y15" s="256"/>
      <c r="Z15" s="256"/>
      <c r="AA15" s="256"/>
      <c r="AB15" s="256"/>
      <c r="AC15" s="256"/>
      <c r="AD15" s="256"/>
      <c r="AE15" s="256"/>
      <c r="AF15" s="256"/>
    </row>
    <row r="16" spans="1:32" x14ac:dyDescent="0.25">
      <c r="A16" s="253"/>
      <c r="B16" s="253"/>
      <c r="C16" s="253"/>
      <c r="D16" s="253"/>
      <c r="E16" s="253"/>
      <c r="F16" s="253"/>
      <c r="G16" s="253"/>
      <c r="H16" s="253"/>
      <c r="I16" s="253"/>
      <c r="J16" s="253"/>
      <c r="K16" s="253"/>
      <c r="L16" s="253"/>
      <c r="M16" s="253"/>
      <c r="N16" s="253"/>
      <c r="P16" s="256"/>
      <c r="Q16" s="256"/>
      <c r="R16" s="256"/>
      <c r="S16" s="256"/>
      <c r="T16" s="256"/>
      <c r="U16" s="256"/>
      <c r="V16" s="256"/>
      <c r="W16" s="256"/>
      <c r="X16" s="256"/>
      <c r="Y16" s="256"/>
      <c r="Z16" s="256"/>
      <c r="AA16" s="256"/>
      <c r="AB16" s="256"/>
      <c r="AC16" s="256"/>
      <c r="AD16" s="256"/>
      <c r="AE16" s="256"/>
      <c r="AF16" s="256"/>
    </row>
    <row r="17" spans="1:32" x14ac:dyDescent="0.25">
      <c r="A17" s="253"/>
      <c r="B17" s="253"/>
      <c r="C17" s="253"/>
      <c r="D17" s="253"/>
      <c r="E17" s="253"/>
      <c r="F17" s="253"/>
      <c r="G17" s="253"/>
      <c r="H17" s="253"/>
      <c r="I17" s="253"/>
      <c r="J17" s="253"/>
      <c r="K17" s="253"/>
      <c r="L17" s="253"/>
      <c r="M17" s="253"/>
      <c r="N17" s="253"/>
      <c r="P17" s="256"/>
      <c r="Q17" s="256"/>
      <c r="R17" s="256"/>
      <c r="S17" s="256"/>
      <c r="T17" s="256"/>
      <c r="U17" s="256"/>
      <c r="V17" s="256"/>
      <c r="W17" s="256"/>
      <c r="X17" s="256"/>
      <c r="Y17" s="256"/>
      <c r="Z17" s="256"/>
      <c r="AA17" s="256"/>
      <c r="AB17" s="256"/>
      <c r="AC17" s="256"/>
      <c r="AD17" s="256"/>
      <c r="AE17" s="256"/>
      <c r="AF17" s="256"/>
    </row>
    <row r="18" spans="1:32" x14ac:dyDescent="0.25">
      <c r="A18" s="253"/>
      <c r="B18" s="253"/>
      <c r="C18" s="253"/>
      <c r="D18" s="253"/>
      <c r="E18" s="253"/>
      <c r="F18" s="253"/>
      <c r="G18" s="253"/>
      <c r="H18" s="253"/>
      <c r="I18" s="253"/>
      <c r="J18" s="253"/>
      <c r="K18" s="253"/>
      <c r="L18" s="253"/>
      <c r="M18" s="253"/>
      <c r="N18" s="253"/>
      <c r="P18" s="256"/>
      <c r="Q18" s="256"/>
      <c r="R18" s="256"/>
      <c r="S18" s="256"/>
      <c r="T18" s="256"/>
      <c r="U18" s="256"/>
      <c r="V18" s="256"/>
      <c r="W18" s="256"/>
      <c r="X18" s="256"/>
      <c r="Y18" s="256"/>
      <c r="Z18" s="256"/>
      <c r="AA18" s="256"/>
      <c r="AB18" s="256"/>
      <c r="AC18" s="256"/>
      <c r="AD18" s="256"/>
      <c r="AE18" s="256"/>
      <c r="AF18" s="256"/>
    </row>
    <row r="19" spans="1:32" x14ac:dyDescent="0.25">
      <c r="A19" s="253"/>
      <c r="B19" s="253"/>
      <c r="C19" s="253"/>
      <c r="D19" s="253"/>
      <c r="E19" s="253"/>
      <c r="F19" s="253"/>
      <c r="G19" s="253"/>
      <c r="H19" s="253"/>
      <c r="I19" s="253"/>
      <c r="J19" s="253"/>
      <c r="K19" s="253"/>
      <c r="L19" s="253"/>
      <c r="M19" s="253"/>
      <c r="N19" s="253"/>
      <c r="P19" s="256"/>
      <c r="Q19" s="256"/>
      <c r="R19" s="256"/>
      <c r="S19" s="256"/>
      <c r="T19" s="256"/>
      <c r="U19" s="256"/>
      <c r="V19" s="256"/>
      <c r="W19" s="256"/>
      <c r="X19" s="256"/>
      <c r="Y19" s="256"/>
      <c r="Z19" s="256"/>
      <c r="AA19" s="256"/>
      <c r="AB19" s="256"/>
      <c r="AC19" s="256"/>
      <c r="AD19" s="256"/>
      <c r="AE19" s="256"/>
      <c r="AF19" s="256"/>
    </row>
    <row r="20" spans="1:32" x14ac:dyDescent="0.25">
      <c r="A20" s="253"/>
      <c r="B20" s="253"/>
      <c r="C20" s="253"/>
      <c r="D20" s="253"/>
      <c r="E20" s="253"/>
      <c r="F20" s="253"/>
      <c r="G20" s="253"/>
      <c r="H20" s="253"/>
      <c r="I20" s="253"/>
      <c r="J20" s="253"/>
      <c r="K20" s="253"/>
      <c r="L20" s="253"/>
      <c r="M20" s="253"/>
      <c r="N20" s="253"/>
      <c r="P20" s="256"/>
      <c r="Q20" s="256"/>
      <c r="R20" s="256"/>
      <c r="S20" s="256"/>
      <c r="T20" s="256"/>
      <c r="U20" s="256"/>
      <c r="V20" s="256"/>
      <c r="W20" s="256"/>
      <c r="X20" s="256"/>
      <c r="Y20" s="256"/>
      <c r="Z20" s="256"/>
      <c r="AA20" s="256"/>
      <c r="AB20" s="256"/>
      <c r="AC20" s="256"/>
      <c r="AD20" s="256"/>
      <c r="AE20" s="256"/>
      <c r="AF20" s="256"/>
    </row>
    <row r="21" spans="1:32" x14ac:dyDescent="0.25">
      <c r="A21" s="253"/>
      <c r="B21" s="253"/>
      <c r="C21" s="253"/>
      <c r="D21" s="253"/>
      <c r="E21" s="253"/>
      <c r="F21" s="253"/>
      <c r="G21" s="253"/>
      <c r="H21" s="253"/>
      <c r="I21" s="253"/>
      <c r="J21" s="253"/>
      <c r="K21" s="253"/>
      <c r="L21" s="253"/>
      <c r="M21" s="253"/>
      <c r="N21" s="253"/>
      <c r="P21" s="256"/>
      <c r="Q21" s="256"/>
      <c r="R21" s="256"/>
      <c r="S21" s="256"/>
      <c r="T21" s="256"/>
      <c r="U21" s="256"/>
      <c r="V21" s="256"/>
      <c r="W21" s="256"/>
      <c r="X21" s="256"/>
      <c r="Y21" s="256"/>
      <c r="Z21" s="256"/>
      <c r="AA21" s="256"/>
      <c r="AB21" s="256"/>
      <c r="AC21" s="256"/>
      <c r="AD21" s="256"/>
      <c r="AE21" s="256"/>
      <c r="AF21" s="256"/>
    </row>
    <row r="22" spans="1:32" x14ac:dyDescent="0.25">
      <c r="A22" s="253"/>
      <c r="B22" s="253"/>
      <c r="C22" s="253"/>
      <c r="D22" s="253"/>
      <c r="E22" s="253"/>
      <c r="F22" s="253"/>
      <c r="G22" s="253"/>
      <c r="H22" s="253"/>
      <c r="I22" s="253"/>
      <c r="J22" s="253"/>
      <c r="K22" s="253"/>
      <c r="L22" s="253"/>
      <c r="M22" s="253"/>
      <c r="N22" s="253"/>
      <c r="P22" s="256"/>
      <c r="Q22" s="256"/>
      <c r="R22" s="256"/>
      <c r="S22" s="256"/>
      <c r="T22" s="256"/>
      <c r="U22" s="256"/>
      <c r="V22" s="256"/>
      <c r="W22" s="256"/>
      <c r="X22" s="256"/>
      <c r="Y22" s="256"/>
      <c r="Z22" s="256"/>
      <c r="AA22" s="256"/>
      <c r="AB22" s="256"/>
      <c r="AC22" s="256"/>
      <c r="AD22" s="256"/>
      <c r="AE22" s="256"/>
      <c r="AF22" s="256"/>
    </row>
    <row r="23" spans="1:32" x14ac:dyDescent="0.25">
      <c r="A23" s="253"/>
      <c r="B23" s="253"/>
      <c r="C23" s="253"/>
      <c r="D23" s="253"/>
      <c r="E23" s="253"/>
      <c r="F23" s="253"/>
      <c r="G23" s="253"/>
      <c r="H23" s="253"/>
      <c r="I23" s="253"/>
      <c r="J23" s="253"/>
      <c r="K23" s="253"/>
      <c r="L23" s="253"/>
      <c r="M23" s="253"/>
      <c r="N23" s="253"/>
      <c r="P23" s="256"/>
      <c r="Q23" s="256"/>
      <c r="R23" s="256"/>
      <c r="S23" s="256"/>
      <c r="T23" s="256"/>
      <c r="U23" s="256"/>
      <c r="V23" s="256"/>
      <c r="W23" s="256"/>
      <c r="X23" s="256"/>
      <c r="Y23" s="256"/>
      <c r="Z23" s="256"/>
      <c r="AA23" s="256"/>
      <c r="AB23" s="256"/>
      <c r="AC23" s="256"/>
      <c r="AD23" s="256"/>
      <c r="AE23" s="256"/>
      <c r="AF23" s="256"/>
    </row>
    <row r="24" spans="1:32" x14ac:dyDescent="0.25">
      <c r="A24" s="253"/>
      <c r="B24" s="253"/>
      <c r="C24" s="253"/>
      <c r="D24" s="253"/>
      <c r="E24" s="253"/>
      <c r="F24" s="253"/>
      <c r="G24" s="253"/>
      <c r="H24" s="253"/>
      <c r="I24" s="253"/>
      <c r="J24" s="253"/>
      <c r="K24" s="253"/>
      <c r="L24" s="253"/>
      <c r="M24" s="253"/>
      <c r="N24" s="253"/>
      <c r="P24" s="256"/>
      <c r="Q24" s="256"/>
      <c r="R24" s="256"/>
      <c r="S24" s="256"/>
      <c r="T24" s="256"/>
      <c r="U24" s="256"/>
      <c r="V24" s="256"/>
      <c r="W24" s="256"/>
      <c r="X24" s="256"/>
      <c r="Y24" s="256"/>
      <c r="Z24" s="256"/>
      <c r="AA24" s="256"/>
      <c r="AB24" s="256"/>
      <c r="AC24" s="256"/>
      <c r="AD24" s="256"/>
      <c r="AE24" s="256"/>
      <c r="AF24" s="256"/>
    </row>
    <row r="25" spans="1:32" x14ac:dyDescent="0.25">
      <c r="A25" s="253"/>
      <c r="B25" s="253"/>
      <c r="C25" s="253"/>
      <c r="D25" s="253"/>
      <c r="E25" s="253"/>
      <c r="F25" s="253"/>
      <c r="G25" s="253"/>
      <c r="H25" s="253"/>
      <c r="I25" s="260" t="s">
        <v>5107</v>
      </c>
      <c r="J25" s="253"/>
      <c r="K25" s="253"/>
      <c r="L25" s="253"/>
      <c r="M25" s="253"/>
      <c r="N25" s="253"/>
      <c r="P25" s="257" t="s">
        <v>5106</v>
      </c>
      <c r="Q25" s="256"/>
      <c r="R25" s="256"/>
      <c r="S25" s="256"/>
      <c r="T25" s="256"/>
      <c r="U25" s="256"/>
      <c r="V25" s="256"/>
      <c r="W25" s="256"/>
      <c r="X25" s="256"/>
      <c r="Y25" s="256"/>
      <c r="Z25" s="256"/>
      <c r="AA25" s="256"/>
      <c r="AB25" s="256"/>
      <c r="AC25" s="256"/>
      <c r="AD25" s="256"/>
      <c r="AE25" s="256"/>
      <c r="AF25" s="256"/>
    </row>
    <row r="26" spans="1:32" x14ac:dyDescent="0.25">
      <c r="A26" s="253"/>
      <c r="B26" s="253"/>
      <c r="C26" s="253"/>
      <c r="D26" s="253"/>
      <c r="E26" s="253"/>
      <c r="F26" s="253"/>
      <c r="G26" s="253"/>
      <c r="H26" s="253"/>
      <c r="I26" s="260" t="s">
        <v>5108</v>
      </c>
      <c r="J26" s="253"/>
      <c r="K26" s="253"/>
      <c r="L26" s="258"/>
      <c r="M26" s="253"/>
      <c r="N26" s="253"/>
      <c r="P26" s="257" t="s">
        <v>5105</v>
      </c>
      <c r="Q26" s="256"/>
      <c r="R26" s="256"/>
      <c r="S26" s="256"/>
      <c r="T26" s="256"/>
      <c r="U26" s="256"/>
      <c r="V26" s="256"/>
      <c r="W26" s="256"/>
      <c r="X26" s="256"/>
      <c r="Y26" s="256"/>
      <c r="Z26" s="256"/>
      <c r="AA26" s="256"/>
      <c r="AB26" s="256"/>
      <c r="AC26" s="256"/>
      <c r="AD26" s="256"/>
      <c r="AE26" s="256"/>
      <c r="AF26" s="256"/>
    </row>
    <row r="27" spans="1:32" x14ac:dyDescent="0.25">
      <c r="A27" s="253"/>
      <c r="B27" s="253"/>
      <c r="C27" s="253"/>
      <c r="D27" s="253"/>
      <c r="E27" s="253"/>
      <c r="F27" s="253"/>
      <c r="G27" s="253"/>
      <c r="H27" s="253"/>
      <c r="I27" s="260" t="s">
        <v>5109</v>
      </c>
      <c r="J27" s="253"/>
      <c r="K27" s="253"/>
      <c r="L27" s="253"/>
      <c r="M27" s="253"/>
      <c r="N27" s="253"/>
      <c r="P27" s="257" t="s">
        <v>5130</v>
      </c>
      <c r="Q27" s="256"/>
      <c r="R27" s="256"/>
      <c r="S27" s="256"/>
      <c r="T27" s="256"/>
      <c r="U27" s="256"/>
      <c r="V27" s="256"/>
      <c r="W27" s="256"/>
      <c r="X27" s="256"/>
      <c r="Y27" s="256"/>
      <c r="Z27" s="256"/>
      <c r="AA27" s="256"/>
      <c r="AB27" s="256"/>
      <c r="AC27" s="256"/>
      <c r="AD27" s="256"/>
      <c r="AE27" s="256"/>
      <c r="AF27" s="256"/>
    </row>
    <row r="28" spans="1:32" x14ac:dyDescent="0.25">
      <c r="A28" s="253"/>
      <c r="B28" s="253"/>
      <c r="C28" s="253"/>
      <c r="D28" s="253"/>
      <c r="E28" s="253"/>
      <c r="F28" s="253"/>
      <c r="G28" s="253"/>
      <c r="H28" s="253"/>
      <c r="I28" s="260" t="s">
        <v>5110</v>
      </c>
      <c r="J28" s="253"/>
      <c r="K28" s="253"/>
      <c r="L28" s="253"/>
      <c r="M28" s="253"/>
      <c r="N28" s="253"/>
      <c r="P28" s="257" t="s">
        <v>5131</v>
      </c>
      <c r="Q28" s="256"/>
      <c r="R28" s="256"/>
      <c r="S28" s="256"/>
      <c r="T28" s="256"/>
      <c r="U28" s="256"/>
      <c r="V28" s="256"/>
      <c r="W28" s="256"/>
      <c r="X28" s="256"/>
      <c r="Y28" s="256"/>
      <c r="Z28" s="256"/>
      <c r="AA28" s="256"/>
      <c r="AB28" s="256"/>
      <c r="AC28" s="256"/>
      <c r="AD28" s="256"/>
      <c r="AE28" s="256"/>
      <c r="AF28" s="256"/>
    </row>
    <row r="29" spans="1:32" x14ac:dyDescent="0.25">
      <c r="A29" s="253"/>
      <c r="B29" s="253"/>
      <c r="C29" s="253"/>
      <c r="D29" s="253"/>
      <c r="E29" s="253"/>
      <c r="F29" s="253"/>
      <c r="G29" s="253"/>
      <c r="H29" s="253"/>
      <c r="I29" s="253"/>
      <c r="J29" s="253"/>
      <c r="K29" s="253"/>
      <c r="L29" s="253"/>
      <c r="M29" s="253"/>
      <c r="N29" s="253"/>
      <c r="P29" s="257" t="s">
        <v>5132</v>
      </c>
      <c r="Q29" s="256"/>
      <c r="R29" s="256"/>
      <c r="S29" s="256"/>
      <c r="T29" s="256"/>
      <c r="U29" s="256"/>
      <c r="V29" s="256"/>
      <c r="W29" s="256"/>
      <c r="X29" s="256"/>
      <c r="Y29" s="256"/>
      <c r="Z29" s="256"/>
      <c r="AA29" s="256"/>
      <c r="AB29" s="256"/>
      <c r="AC29" s="256"/>
      <c r="AD29" s="256"/>
      <c r="AE29" s="256"/>
      <c r="AF29" s="256"/>
    </row>
    <row r="30" spans="1:32" x14ac:dyDescent="0.25">
      <c r="A30" s="253"/>
      <c r="B30" s="253"/>
      <c r="C30" s="253"/>
      <c r="D30" s="253"/>
      <c r="E30" s="253"/>
      <c r="F30" s="253"/>
      <c r="G30" s="253"/>
      <c r="H30" s="253"/>
      <c r="I30" s="253"/>
      <c r="J30" s="253"/>
      <c r="K30" s="253"/>
      <c r="L30" s="253"/>
      <c r="M30" s="253"/>
      <c r="N30" s="253"/>
      <c r="P30" s="257" t="s">
        <v>5133</v>
      </c>
      <c r="Q30" s="256"/>
      <c r="R30" s="256"/>
      <c r="S30" s="256"/>
      <c r="T30" s="256"/>
      <c r="U30" s="256"/>
      <c r="V30" s="256"/>
      <c r="W30" s="256"/>
      <c r="X30" s="256"/>
      <c r="Y30" s="256"/>
      <c r="Z30" s="256"/>
      <c r="AA30" s="256"/>
      <c r="AB30" s="256"/>
      <c r="AC30" s="256"/>
      <c r="AD30" s="256"/>
      <c r="AE30" s="256"/>
      <c r="AF30" s="256"/>
    </row>
    <row r="31" spans="1:32" x14ac:dyDescent="0.25">
      <c r="A31" s="253"/>
      <c r="B31" s="253"/>
      <c r="C31" s="253"/>
      <c r="D31" s="253"/>
      <c r="E31" s="253"/>
      <c r="F31" s="253"/>
      <c r="G31" s="253"/>
      <c r="H31" s="253"/>
      <c r="I31" s="253"/>
      <c r="J31" s="253"/>
      <c r="K31" s="253"/>
      <c r="L31" s="253"/>
      <c r="M31" s="253"/>
      <c r="N31" s="253"/>
      <c r="P31" s="256"/>
      <c r="Q31" s="256"/>
      <c r="R31" s="256"/>
      <c r="S31" s="256"/>
      <c r="T31" s="256"/>
      <c r="U31" s="256"/>
      <c r="V31" s="256"/>
      <c r="W31" s="256"/>
      <c r="X31" s="256"/>
      <c r="Y31" s="256"/>
      <c r="Z31" s="256"/>
      <c r="AA31" s="256"/>
      <c r="AB31" s="256"/>
      <c r="AC31" s="256"/>
      <c r="AD31" s="256"/>
      <c r="AE31" s="256"/>
      <c r="AF31" s="256"/>
    </row>
    <row r="32" spans="1:32" x14ac:dyDescent="0.25">
      <c r="A32" s="253"/>
      <c r="B32" s="253"/>
      <c r="C32" s="253"/>
      <c r="D32" s="253"/>
      <c r="E32" s="253"/>
      <c r="F32" s="253"/>
      <c r="G32" s="253"/>
      <c r="H32" s="253"/>
      <c r="I32" s="253"/>
      <c r="J32" s="253"/>
      <c r="K32" s="253"/>
      <c r="L32" s="253"/>
      <c r="M32" s="253"/>
      <c r="N32" s="253"/>
      <c r="P32" s="256"/>
      <c r="Q32" s="256"/>
      <c r="R32" s="256"/>
      <c r="S32" s="256"/>
      <c r="T32" s="256"/>
      <c r="U32" s="256"/>
      <c r="V32" s="256"/>
      <c r="W32" s="256"/>
      <c r="X32" s="256"/>
      <c r="Y32" s="256"/>
      <c r="Z32" s="256"/>
      <c r="AA32" s="256"/>
      <c r="AB32" s="256"/>
      <c r="AC32" s="256"/>
      <c r="AD32" s="256"/>
      <c r="AE32" s="256"/>
      <c r="AF32" s="256"/>
    </row>
    <row r="33" spans="1:32" x14ac:dyDescent="0.25">
      <c r="A33" s="253"/>
      <c r="B33" s="253"/>
      <c r="C33" s="253"/>
      <c r="D33" s="253"/>
      <c r="E33" s="253"/>
      <c r="F33" s="253"/>
      <c r="G33" s="253"/>
      <c r="H33" s="253"/>
      <c r="I33" s="253"/>
      <c r="J33" s="253"/>
      <c r="K33" s="253"/>
      <c r="L33" s="253"/>
      <c r="M33" s="253"/>
      <c r="N33" s="253"/>
      <c r="P33" s="256"/>
      <c r="Q33" s="256"/>
      <c r="R33" s="256"/>
      <c r="S33" s="256"/>
      <c r="T33" s="256"/>
      <c r="U33" s="256"/>
      <c r="V33" s="256"/>
      <c r="W33" s="256"/>
      <c r="X33" s="256"/>
      <c r="Y33" s="256"/>
      <c r="Z33" s="256"/>
      <c r="AA33" s="256"/>
      <c r="AB33" s="256"/>
      <c r="AC33" s="256"/>
      <c r="AD33" s="256"/>
      <c r="AE33" s="256"/>
      <c r="AF33" s="256"/>
    </row>
    <row r="34" spans="1:32" x14ac:dyDescent="0.25">
      <c r="A34" s="253"/>
      <c r="B34" s="253"/>
      <c r="C34" s="253"/>
      <c r="D34" s="253"/>
      <c r="E34" s="253"/>
      <c r="F34" s="253"/>
      <c r="G34" s="253"/>
      <c r="H34" s="253"/>
      <c r="I34" s="253"/>
      <c r="J34" s="253"/>
      <c r="K34" s="253"/>
      <c r="L34" s="253"/>
      <c r="M34" s="253"/>
      <c r="N34" s="253"/>
      <c r="P34" s="256"/>
      <c r="Q34" s="256"/>
      <c r="R34" s="256"/>
      <c r="S34" s="256"/>
      <c r="T34" s="256"/>
      <c r="U34" s="256"/>
      <c r="V34" s="256"/>
      <c r="W34" s="256"/>
      <c r="X34" s="256"/>
      <c r="Y34" s="256"/>
      <c r="Z34" s="256"/>
      <c r="AA34" s="256"/>
      <c r="AB34" s="256"/>
      <c r="AC34" s="256"/>
      <c r="AD34" s="256"/>
      <c r="AE34" s="256"/>
      <c r="AF34" s="256"/>
    </row>
    <row r="35" spans="1:32" x14ac:dyDescent="0.25">
      <c r="A35" s="253"/>
      <c r="B35" s="253"/>
      <c r="C35" s="253"/>
      <c r="D35" s="253"/>
      <c r="E35" s="253"/>
      <c r="F35" s="253"/>
      <c r="G35" s="253"/>
      <c r="H35" s="253"/>
      <c r="I35" s="253"/>
      <c r="J35" s="253"/>
      <c r="K35" s="253"/>
      <c r="L35" s="253"/>
      <c r="M35" s="253"/>
      <c r="N35" s="253"/>
      <c r="P35" s="256"/>
      <c r="Q35" s="256"/>
      <c r="R35" s="256"/>
      <c r="S35" s="256"/>
      <c r="T35" s="256"/>
      <c r="U35" s="256"/>
      <c r="V35" s="256"/>
      <c r="W35" s="256"/>
      <c r="X35" s="256"/>
      <c r="Y35" s="256"/>
      <c r="Z35" s="256"/>
      <c r="AA35" s="256"/>
      <c r="AB35" s="256"/>
      <c r="AC35" s="256"/>
      <c r="AD35" s="256"/>
      <c r="AE35" s="256"/>
      <c r="AF35" s="256"/>
    </row>
    <row r="36" spans="1:32" x14ac:dyDescent="0.25">
      <c r="A36" s="253"/>
      <c r="B36" s="253"/>
      <c r="C36" s="253"/>
      <c r="D36" s="253"/>
      <c r="E36" s="253"/>
      <c r="F36" s="253"/>
      <c r="G36" s="253"/>
      <c r="H36" s="253"/>
      <c r="I36" s="253"/>
      <c r="J36" s="253"/>
      <c r="K36" s="253"/>
      <c r="L36" s="253"/>
      <c r="M36" s="253"/>
      <c r="N36" s="253"/>
      <c r="P36" s="256"/>
      <c r="Q36" s="256"/>
      <c r="R36" s="256"/>
      <c r="S36" s="256"/>
      <c r="T36" s="256"/>
      <c r="U36" s="256"/>
      <c r="V36" s="256"/>
      <c r="W36" s="256"/>
      <c r="X36" s="256"/>
      <c r="Y36" s="256"/>
      <c r="Z36" s="256"/>
      <c r="AA36" s="256"/>
      <c r="AB36" s="256"/>
      <c r="AC36" s="256"/>
      <c r="AD36" s="256"/>
      <c r="AE36" s="256"/>
      <c r="AF36" s="256"/>
    </row>
    <row r="37" spans="1:32" x14ac:dyDescent="0.25">
      <c r="A37" s="253"/>
      <c r="B37" s="253"/>
      <c r="C37" s="253"/>
      <c r="D37" s="253"/>
      <c r="E37" s="253"/>
      <c r="F37" s="253"/>
      <c r="G37" s="253"/>
      <c r="H37" s="253"/>
      <c r="I37" s="253"/>
      <c r="J37" s="253"/>
      <c r="K37" s="253"/>
      <c r="L37" s="253"/>
      <c r="M37" s="253"/>
      <c r="N37" s="253"/>
      <c r="P37" s="256"/>
      <c r="Q37" s="256"/>
      <c r="R37" s="256"/>
      <c r="S37" s="256"/>
      <c r="T37" s="256"/>
      <c r="U37" s="256"/>
      <c r="V37" s="256"/>
      <c r="W37" s="256"/>
      <c r="X37" s="256"/>
      <c r="Y37" s="256"/>
      <c r="Z37" s="256"/>
      <c r="AA37" s="256"/>
      <c r="AB37" s="256"/>
      <c r="AC37" s="256"/>
      <c r="AD37" s="256"/>
      <c r="AE37" s="256"/>
      <c r="AF37" s="256"/>
    </row>
    <row r="38" spans="1:32" x14ac:dyDescent="0.25">
      <c r="A38" s="253"/>
      <c r="B38" s="253"/>
      <c r="C38" s="253"/>
      <c r="D38" s="253"/>
      <c r="E38" s="253"/>
      <c r="F38" s="253"/>
      <c r="G38" s="253"/>
      <c r="H38" s="253"/>
      <c r="I38" s="253"/>
      <c r="J38" s="253"/>
      <c r="K38" s="253"/>
      <c r="L38" s="253"/>
      <c r="M38" s="253"/>
      <c r="N38" s="253"/>
      <c r="P38" s="256"/>
      <c r="Q38" s="256"/>
      <c r="R38" s="256"/>
      <c r="S38" s="256"/>
      <c r="T38" s="256"/>
      <c r="U38" s="256"/>
      <c r="V38" s="256"/>
      <c r="W38" s="256"/>
      <c r="X38" s="256"/>
      <c r="Y38" s="256"/>
      <c r="Z38" s="256"/>
      <c r="AA38" s="256"/>
      <c r="AB38" s="256"/>
      <c r="AC38" s="256"/>
      <c r="AD38" s="256"/>
      <c r="AE38" s="256"/>
      <c r="AF38" s="256"/>
    </row>
    <row r="39" spans="1:32" x14ac:dyDescent="0.25">
      <c r="A39" s="253"/>
      <c r="B39" s="253"/>
      <c r="C39" s="253"/>
      <c r="D39" s="253"/>
      <c r="E39" s="253"/>
      <c r="F39" s="253"/>
      <c r="G39" s="253"/>
      <c r="H39" s="253"/>
      <c r="I39" s="253"/>
      <c r="J39" s="253"/>
      <c r="K39" s="253"/>
      <c r="L39" s="253"/>
      <c r="M39" s="253"/>
      <c r="N39" s="253"/>
      <c r="P39" s="256"/>
      <c r="Q39" s="256"/>
      <c r="R39" s="256"/>
      <c r="S39" s="256"/>
      <c r="T39" s="256"/>
      <c r="U39" s="256"/>
      <c r="V39" s="256"/>
      <c r="W39" s="256"/>
      <c r="X39" s="256"/>
      <c r="Y39" s="256"/>
      <c r="Z39" s="256"/>
      <c r="AA39" s="256"/>
      <c r="AB39" s="256"/>
      <c r="AC39" s="256"/>
      <c r="AD39" s="256"/>
      <c r="AE39" s="256"/>
      <c r="AF39" s="256"/>
    </row>
    <row r="40" spans="1:32" x14ac:dyDescent="0.25">
      <c r="A40" s="253"/>
      <c r="B40" s="253"/>
      <c r="C40" s="253"/>
      <c r="D40" s="253"/>
      <c r="E40" s="253"/>
      <c r="F40" s="253"/>
      <c r="G40" s="253"/>
      <c r="H40" s="253"/>
      <c r="I40" s="253"/>
      <c r="J40" s="253"/>
      <c r="K40" s="253"/>
      <c r="L40" s="253"/>
      <c r="M40" s="253"/>
      <c r="N40" s="253"/>
      <c r="P40" s="256"/>
      <c r="Q40" s="256"/>
      <c r="R40" s="256"/>
      <c r="S40" s="256"/>
      <c r="T40" s="256"/>
      <c r="U40" s="256"/>
      <c r="V40" s="256"/>
      <c r="W40" s="256"/>
      <c r="X40" s="256"/>
      <c r="Y40" s="256"/>
      <c r="Z40" s="256"/>
      <c r="AA40" s="256"/>
      <c r="AB40" s="256"/>
      <c r="AC40" s="256"/>
      <c r="AD40" s="256"/>
      <c r="AE40" s="256"/>
      <c r="AF40" s="256"/>
    </row>
    <row r="41" spans="1:32" x14ac:dyDescent="0.25">
      <c r="A41" s="253"/>
      <c r="B41" s="253"/>
      <c r="C41" s="253"/>
      <c r="D41" s="253"/>
      <c r="E41" s="253"/>
      <c r="F41" s="253"/>
      <c r="G41" s="253"/>
      <c r="H41" s="253"/>
      <c r="I41" s="253"/>
      <c r="J41" s="253"/>
      <c r="K41" s="253"/>
      <c r="L41" s="253"/>
      <c r="M41" s="253"/>
      <c r="N41" s="253"/>
      <c r="P41" s="256"/>
      <c r="Q41" s="256"/>
      <c r="R41" s="256"/>
      <c r="S41" s="256"/>
      <c r="T41" s="256"/>
      <c r="U41" s="256"/>
      <c r="V41" s="256"/>
      <c r="W41" s="256"/>
      <c r="X41" s="256"/>
      <c r="Y41" s="256"/>
      <c r="Z41" s="256"/>
      <c r="AA41" s="256"/>
      <c r="AB41" s="256"/>
      <c r="AC41" s="256"/>
      <c r="AD41" s="256"/>
      <c r="AE41" s="256"/>
      <c r="AF41" s="256"/>
    </row>
    <row r="42" spans="1:32" x14ac:dyDescent="0.25">
      <c r="A42" s="253"/>
      <c r="B42" s="253"/>
      <c r="C42" s="253"/>
      <c r="D42" s="253"/>
      <c r="E42" s="253"/>
      <c r="F42" s="253"/>
      <c r="G42" s="253"/>
      <c r="H42" s="253"/>
      <c r="I42" s="253"/>
      <c r="J42" s="253"/>
      <c r="K42" s="253"/>
      <c r="L42" s="253"/>
      <c r="M42" s="253"/>
      <c r="N42" s="253"/>
      <c r="P42" s="256"/>
      <c r="Q42" s="256"/>
      <c r="R42" s="256"/>
      <c r="S42" s="256"/>
      <c r="T42" s="256"/>
      <c r="U42" s="256"/>
      <c r="V42" s="256"/>
      <c r="W42" s="256"/>
      <c r="X42" s="256"/>
      <c r="Y42" s="256"/>
      <c r="Z42" s="256"/>
      <c r="AA42" s="256"/>
      <c r="AB42" s="256"/>
      <c r="AC42" s="256"/>
      <c r="AD42" s="256"/>
      <c r="AE42" s="256"/>
      <c r="AF42" s="256"/>
    </row>
    <row r="43" spans="1:32" x14ac:dyDescent="0.25">
      <c r="A43" s="253"/>
      <c r="B43" s="253"/>
      <c r="C43" s="253"/>
      <c r="D43" s="253"/>
      <c r="E43" s="253"/>
      <c r="F43" s="253"/>
      <c r="G43" s="253"/>
      <c r="H43" s="253"/>
      <c r="I43" s="253"/>
      <c r="J43" s="253"/>
      <c r="K43" s="253"/>
      <c r="L43" s="253"/>
      <c r="M43" s="253"/>
      <c r="N43" s="253"/>
      <c r="P43" s="256"/>
      <c r="Q43" s="256"/>
      <c r="R43" s="256"/>
      <c r="S43" s="256"/>
      <c r="T43" s="256"/>
      <c r="U43" s="256"/>
      <c r="V43" s="256"/>
      <c r="W43" s="256"/>
      <c r="X43" s="256"/>
      <c r="Y43" s="256"/>
      <c r="Z43" s="256"/>
      <c r="AA43" s="256"/>
      <c r="AB43" s="256"/>
      <c r="AC43" s="256"/>
      <c r="AD43" s="256"/>
      <c r="AE43" s="256"/>
      <c r="AF43" s="256"/>
    </row>
  </sheetData>
  <sheetProtection algorithmName="SHA-512" hashValue="r/MdTtC44nhQ083W2tvfTNwGeMuz47UePIa69ClYzm9lhPC2Ymt+B3WotmD2LNVWEd5PT9pCc7LvuMxJHzSDmw==" saltValue="iMN4sH9YxTk+WymsAJPqKg==" spinCount="100000" sheet="1" objects="1" scenario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92D050"/>
  </sheetPr>
  <dimension ref="A1:AU1000"/>
  <sheetViews>
    <sheetView workbookViewId="0">
      <selection activeCell="B20" sqref="B20"/>
    </sheetView>
  </sheetViews>
  <sheetFormatPr defaultColWidth="14.42578125" defaultRowHeight="15" customHeight="1" x14ac:dyDescent="0.25"/>
  <cols>
    <col min="1" max="1" width="19.140625" customWidth="1"/>
    <col min="2" max="2" width="97.7109375" customWidth="1"/>
    <col min="3" max="3" width="69.140625" customWidth="1"/>
    <col min="4" max="4" width="44.7109375" customWidth="1"/>
    <col min="5" max="5" width="60.7109375" customWidth="1"/>
    <col min="6" max="6" width="6.7109375" customWidth="1"/>
    <col min="7" max="7" width="6.140625" customWidth="1"/>
    <col min="8" max="8" width="11.5703125" customWidth="1"/>
    <col min="9" max="9" width="5.140625" customWidth="1"/>
    <col min="10" max="10" width="3.28515625" customWidth="1"/>
    <col min="11" max="11" width="7.140625" customWidth="1"/>
    <col min="12" max="12" width="20" customWidth="1"/>
    <col min="13" max="13" width="5.7109375" customWidth="1"/>
    <col min="14" max="14" width="9.140625" customWidth="1"/>
    <col min="15" max="23" width="8.42578125" customWidth="1"/>
    <col min="24" max="24" width="9.42578125" customWidth="1"/>
    <col min="25" max="26" width="8.42578125" customWidth="1"/>
    <col min="27" max="47" width="14" customWidth="1"/>
  </cols>
  <sheetData>
    <row r="1" spans="1:47" ht="15" customHeight="1" x14ac:dyDescent="0.3">
      <c r="A1" s="133" t="s">
        <v>0</v>
      </c>
      <c r="B1" s="134"/>
      <c r="C1" s="135"/>
      <c r="D1" s="136"/>
      <c r="E1" s="137" t="s">
        <v>1</v>
      </c>
      <c r="F1" s="138"/>
      <c r="H1" s="1"/>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row>
    <row r="2" spans="1:47" ht="15" customHeight="1" x14ac:dyDescent="0.25">
      <c r="A2" s="3" t="s">
        <v>2</v>
      </c>
      <c r="B2" s="4"/>
      <c r="C2" s="5" t="s">
        <v>3</v>
      </c>
      <c r="D2" s="139" t="s">
        <v>4</v>
      </c>
      <c r="E2" s="140" t="s">
        <v>5079</v>
      </c>
      <c r="F2" s="6"/>
      <c r="H2" s="1"/>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row>
    <row r="3" spans="1:47" ht="15" customHeight="1" x14ac:dyDescent="0.25">
      <c r="A3" s="141" t="s">
        <v>5</v>
      </c>
      <c r="B3" s="7" t="s">
        <v>6</v>
      </c>
      <c r="C3" s="8"/>
      <c r="D3" s="9" t="s">
        <v>7</v>
      </c>
      <c r="E3" s="10" t="s">
        <v>8</v>
      </c>
      <c r="F3" s="11"/>
      <c r="H3" s="1"/>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row>
    <row r="4" spans="1:47" ht="15" customHeight="1" x14ac:dyDescent="0.25">
      <c r="A4" s="141" t="s">
        <v>9</v>
      </c>
      <c r="B4" s="7" t="s">
        <v>5087</v>
      </c>
      <c r="C4" s="8"/>
      <c r="D4" s="9"/>
      <c r="E4" s="10" t="s">
        <v>10</v>
      </c>
      <c r="F4" s="11"/>
      <c r="H4" s="1"/>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row>
    <row r="5" spans="1:47" ht="15" customHeight="1" x14ac:dyDescent="0.25">
      <c r="A5" s="141" t="s">
        <v>11</v>
      </c>
      <c r="B5" s="7" t="s">
        <v>12</v>
      </c>
      <c r="C5" s="8"/>
      <c r="D5" s="9"/>
      <c r="E5" s="10" t="s">
        <v>13</v>
      </c>
      <c r="F5" s="11"/>
      <c r="H5" s="1"/>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row>
    <row r="6" spans="1:47" ht="15" customHeight="1" x14ac:dyDescent="0.25">
      <c r="A6" s="141" t="s">
        <v>14</v>
      </c>
      <c r="B6" s="7" t="s">
        <v>5011</v>
      </c>
      <c r="C6" s="8"/>
      <c r="D6" s="9"/>
      <c r="E6" s="10" t="s">
        <v>15</v>
      </c>
      <c r="F6" s="11"/>
      <c r="H6" s="1"/>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row>
    <row r="7" spans="1:47" ht="15" customHeight="1" x14ac:dyDescent="0.25">
      <c r="A7" s="141" t="s">
        <v>16</v>
      </c>
      <c r="B7" s="7" t="s">
        <v>5012</v>
      </c>
      <c r="C7" s="8"/>
      <c r="D7" s="9"/>
      <c r="E7" s="10" t="s">
        <v>17</v>
      </c>
      <c r="F7" s="11"/>
      <c r="H7" s="1"/>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row>
    <row r="8" spans="1:47" ht="15" customHeight="1" x14ac:dyDescent="0.25">
      <c r="A8" s="141" t="s">
        <v>18</v>
      </c>
      <c r="B8" s="7" t="s">
        <v>19</v>
      </c>
      <c r="C8" s="5" t="s">
        <v>20</v>
      </c>
      <c r="D8" s="12" t="s">
        <v>21</v>
      </c>
      <c r="E8" s="10" t="s">
        <v>22</v>
      </c>
      <c r="F8" s="11"/>
      <c r="H8" s="1"/>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row>
    <row r="9" spans="1:47" ht="15" customHeight="1" x14ac:dyDescent="0.25">
      <c r="A9" s="141" t="s">
        <v>23</v>
      </c>
      <c r="B9" s="7" t="s">
        <v>24</v>
      </c>
      <c r="C9" s="5" t="s">
        <v>25</v>
      </c>
      <c r="D9" s="12" t="s">
        <v>26</v>
      </c>
      <c r="E9" s="10"/>
      <c r="F9" s="11"/>
      <c r="H9" s="1"/>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row>
    <row r="10" spans="1:47" ht="15" customHeight="1" x14ac:dyDescent="0.25">
      <c r="A10" s="141" t="s">
        <v>27</v>
      </c>
      <c r="B10" s="7" t="s">
        <v>5089</v>
      </c>
      <c r="C10" s="13" t="s">
        <v>28</v>
      </c>
      <c r="D10" s="14" t="s">
        <v>29</v>
      </c>
      <c r="E10" s="10" t="s">
        <v>30</v>
      </c>
      <c r="F10" s="11"/>
      <c r="H10" s="1"/>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row>
    <row r="11" spans="1:47" ht="15" customHeight="1" x14ac:dyDescent="0.25">
      <c r="A11" s="141" t="s">
        <v>31</v>
      </c>
      <c r="B11" s="7" t="s">
        <v>5088</v>
      </c>
      <c r="C11" s="13" t="s">
        <v>32</v>
      </c>
      <c r="D11" s="14" t="s">
        <v>33</v>
      </c>
      <c r="E11" s="10" t="s">
        <v>34</v>
      </c>
      <c r="F11" s="11"/>
      <c r="H11" s="1"/>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row>
    <row r="12" spans="1:47" ht="15" customHeight="1" x14ac:dyDescent="0.25">
      <c r="A12" s="142" t="s">
        <v>35</v>
      </c>
      <c r="B12" s="143" t="s">
        <v>36</v>
      </c>
      <c r="C12" s="13" t="s">
        <v>37</v>
      </c>
      <c r="D12" s="14" t="s">
        <v>38</v>
      </c>
      <c r="E12" s="10" t="s">
        <v>39</v>
      </c>
      <c r="F12" s="11"/>
      <c r="H12" s="1"/>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row>
    <row r="13" spans="1:47" ht="15" customHeight="1" x14ac:dyDescent="0.25">
      <c r="A13" s="144" t="s">
        <v>40</v>
      </c>
      <c r="B13" s="12"/>
      <c r="C13" s="13" t="s">
        <v>41</v>
      </c>
      <c r="D13" s="14" t="s">
        <v>42</v>
      </c>
      <c r="E13" s="10"/>
      <c r="F13" s="11"/>
      <c r="H13" s="1"/>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row>
    <row r="14" spans="1:47" ht="15" customHeight="1" x14ac:dyDescent="0.25">
      <c r="A14" s="145" t="s">
        <v>43</v>
      </c>
      <c r="B14" s="12" t="s">
        <v>44</v>
      </c>
      <c r="C14" s="15"/>
      <c r="D14" s="14" t="s">
        <v>45</v>
      </c>
      <c r="E14" s="10" t="s">
        <v>46</v>
      </c>
      <c r="F14" s="11"/>
      <c r="H14" s="1"/>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row>
    <row r="15" spans="1:47" ht="15" customHeight="1" x14ac:dyDescent="0.25">
      <c r="A15" s="145" t="s">
        <v>47</v>
      </c>
      <c r="B15" s="12" t="s">
        <v>48</v>
      </c>
      <c r="C15" s="15"/>
      <c r="D15" s="14" t="s">
        <v>49</v>
      </c>
      <c r="E15" s="10" t="s">
        <v>50</v>
      </c>
      <c r="F15" s="11"/>
      <c r="H15" s="1"/>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row>
    <row r="16" spans="1:47" ht="15" customHeight="1" x14ac:dyDescent="0.25">
      <c r="A16" s="146" t="s">
        <v>35</v>
      </c>
      <c r="B16" s="207" t="s">
        <v>5013</v>
      </c>
      <c r="C16" s="15"/>
      <c r="D16" s="14" t="s">
        <v>51</v>
      </c>
      <c r="E16" s="8" t="s">
        <v>52</v>
      </c>
      <c r="F16" s="9"/>
      <c r="H16" s="1"/>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row>
    <row r="17" spans="1:47" ht="15" customHeight="1" x14ac:dyDescent="0.25">
      <c r="A17" s="145" t="s">
        <v>53</v>
      </c>
      <c r="B17" s="12" t="s">
        <v>54</v>
      </c>
      <c r="C17" s="15"/>
      <c r="D17" s="16" t="s">
        <v>55</v>
      </c>
      <c r="E17" s="147" t="s">
        <v>56</v>
      </c>
      <c r="F17" s="148"/>
      <c r="H17" s="1"/>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row>
    <row r="18" spans="1:47" ht="15" customHeight="1" x14ac:dyDescent="0.25">
      <c r="A18" s="145" t="s">
        <v>57</v>
      </c>
      <c r="B18" s="12" t="s">
        <v>58</v>
      </c>
      <c r="C18" s="15"/>
      <c r="D18" s="14" t="s">
        <v>59</v>
      </c>
      <c r="E18" s="17" t="s">
        <v>60</v>
      </c>
      <c r="F18" s="18"/>
      <c r="H18" s="1"/>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row>
    <row r="19" spans="1:47" ht="15" customHeight="1" x14ac:dyDescent="0.25">
      <c r="A19" s="145" t="s">
        <v>61</v>
      </c>
      <c r="B19" s="12" t="s">
        <v>62</v>
      </c>
      <c r="C19" s="149" t="s">
        <v>63</v>
      </c>
      <c r="D19" s="150" t="s">
        <v>64</v>
      </c>
      <c r="E19" s="19" t="s">
        <v>65</v>
      </c>
      <c r="F19" s="18">
        <v>1</v>
      </c>
      <c r="H19" s="1"/>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row>
    <row r="20" spans="1:47" ht="15" customHeight="1" x14ac:dyDescent="0.25">
      <c r="A20" s="145" t="s">
        <v>66</v>
      </c>
      <c r="B20" s="12" t="s">
        <v>67</v>
      </c>
      <c r="C20" s="20" t="s">
        <v>68</v>
      </c>
      <c r="D20" s="21"/>
      <c r="E20" s="19" t="s">
        <v>69</v>
      </c>
      <c r="F20" s="18">
        <v>2</v>
      </c>
      <c r="H20" s="1"/>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row>
    <row r="21" spans="1:47" ht="15" customHeight="1" x14ac:dyDescent="0.25">
      <c r="A21" s="145" t="s">
        <v>70</v>
      </c>
      <c r="B21" s="12" t="s">
        <v>71</v>
      </c>
      <c r="C21" s="22" t="s">
        <v>72</v>
      </c>
      <c r="D21" s="202" t="s">
        <v>73</v>
      </c>
      <c r="E21" s="19" t="s">
        <v>74</v>
      </c>
      <c r="F21" s="18">
        <v>2.1</v>
      </c>
      <c r="H21" s="1"/>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71" t="s">
        <v>75</v>
      </c>
      <c r="AT21" s="272"/>
      <c r="AU21" s="272"/>
    </row>
    <row r="22" spans="1:47" ht="15" customHeight="1" x14ac:dyDescent="0.25">
      <c r="A22" s="145" t="s">
        <v>76</v>
      </c>
      <c r="B22" s="12" t="s">
        <v>77</v>
      </c>
      <c r="C22" s="22" t="s">
        <v>78</v>
      </c>
      <c r="D22" s="202" t="s">
        <v>79</v>
      </c>
      <c r="E22" s="19" t="s">
        <v>80</v>
      </c>
      <c r="F22" s="18">
        <v>2.2000000000000002</v>
      </c>
      <c r="H22" s="1"/>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72"/>
      <c r="AT22" s="272"/>
      <c r="AU22" s="272"/>
    </row>
    <row r="23" spans="1:47" ht="14.25" customHeight="1" x14ac:dyDescent="0.25">
      <c r="A23" s="151" t="s">
        <v>5082</v>
      </c>
      <c r="B23" s="152" t="s">
        <v>5090</v>
      </c>
      <c r="C23" s="22" t="s">
        <v>81</v>
      </c>
      <c r="D23" s="202" t="s">
        <v>82</v>
      </c>
      <c r="E23" s="19" t="s">
        <v>83</v>
      </c>
      <c r="F23" s="18">
        <v>2.2999999999999998</v>
      </c>
      <c r="H23" s="1"/>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72"/>
      <c r="AT23" s="272"/>
      <c r="AU23" s="272"/>
    </row>
    <row r="24" spans="1:47" ht="15" customHeight="1" x14ac:dyDescent="0.25">
      <c r="A24" s="153" t="s">
        <v>84</v>
      </c>
      <c r="B24" s="143" t="s">
        <v>85</v>
      </c>
      <c r="C24" s="22" t="s">
        <v>86</v>
      </c>
      <c r="D24" s="202" t="s">
        <v>87</v>
      </c>
      <c r="E24" s="19" t="s">
        <v>88</v>
      </c>
      <c r="F24" s="18">
        <v>3.1</v>
      </c>
      <c r="H24" s="1"/>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72"/>
      <c r="AT24" s="272"/>
      <c r="AU24" s="272"/>
    </row>
    <row r="25" spans="1:47" ht="15" customHeight="1" x14ac:dyDescent="0.25">
      <c r="A25" s="289" t="s">
        <v>89</v>
      </c>
      <c r="B25" s="154" t="s">
        <v>90</v>
      </c>
      <c r="C25" s="22" t="s">
        <v>91</v>
      </c>
      <c r="D25" s="202" t="s">
        <v>92</v>
      </c>
      <c r="E25" s="19" t="s">
        <v>93</v>
      </c>
      <c r="F25" s="18">
        <v>3.2</v>
      </c>
      <c r="H25" s="1"/>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row>
    <row r="26" spans="1:47" ht="15" customHeight="1" x14ac:dyDescent="0.25">
      <c r="A26" s="155" t="s">
        <v>94</v>
      </c>
      <c r="B26" s="156" t="s">
        <v>95</v>
      </c>
      <c r="C26" s="22" t="s">
        <v>96</v>
      </c>
      <c r="D26" s="202" t="s">
        <v>97</v>
      </c>
      <c r="E26" s="19" t="s">
        <v>98</v>
      </c>
      <c r="F26" s="18">
        <v>3.3</v>
      </c>
      <c r="H26" s="1"/>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row>
    <row r="27" spans="1:47" ht="15" customHeight="1" x14ac:dyDescent="0.25">
      <c r="A27" s="157" t="s">
        <v>99</v>
      </c>
      <c r="B27" s="158" t="s">
        <v>100</v>
      </c>
      <c r="C27" s="22" t="s">
        <v>101</v>
      </c>
      <c r="D27" s="202" t="s">
        <v>102</v>
      </c>
      <c r="E27" s="19" t="s">
        <v>103</v>
      </c>
      <c r="F27" s="18">
        <v>4.0999999999999996</v>
      </c>
      <c r="H27" s="1"/>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row>
    <row r="28" spans="1:47" ht="15" customHeight="1" x14ac:dyDescent="0.25">
      <c r="A28" s="159" t="s">
        <v>104</v>
      </c>
      <c r="B28" s="160" t="s">
        <v>105</v>
      </c>
      <c r="C28" s="22" t="s">
        <v>106</v>
      </c>
      <c r="D28" s="202" t="s">
        <v>107</v>
      </c>
      <c r="E28" s="19" t="s">
        <v>108</v>
      </c>
      <c r="F28" s="18">
        <v>4.2</v>
      </c>
      <c r="H28" s="1"/>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row>
    <row r="29" spans="1:47" ht="15" customHeight="1" x14ac:dyDescent="0.25">
      <c r="A29" s="161" t="s">
        <v>109</v>
      </c>
      <c r="B29" s="162" t="s">
        <v>110</v>
      </c>
      <c r="C29" s="22" t="s">
        <v>111</v>
      </c>
      <c r="D29" s="202" t="s">
        <v>112</v>
      </c>
      <c r="E29" s="19" t="s">
        <v>113</v>
      </c>
      <c r="F29" s="18">
        <v>4.3</v>
      </c>
      <c r="H29" s="1"/>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row>
    <row r="30" spans="1:47" ht="15" customHeight="1" x14ac:dyDescent="0.25">
      <c r="A30" s="23"/>
      <c r="B30" s="24"/>
      <c r="C30" s="22" t="s">
        <v>114</v>
      </c>
      <c r="D30" s="21" t="s">
        <v>115</v>
      </c>
      <c r="E30" s="19" t="s">
        <v>116</v>
      </c>
      <c r="F30" s="18"/>
      <c r="H30" s="1"/>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row>
    <row r="31" spans="1:47" ht="15" customHeight="1" x14ac:dyDescent="0.25">
      <c r="A31" s="163"/>
      <c r="B31" s="164"/>
      <c r="C31" s="22" t="s">
        <v>117</v>
      </c>
      <c r="D31" s="202" t="s">
        <v>118</v>
      </c>
      <c r="E31" s="23"/>
      <c r="F31" s="25"/>
      <c r="H31" s="1"/>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row>
    <row r="32" spans="1:47" ht="15" customHeight="1" x14ac:dyDescent="0.25">
      <c r="A32" s="165" t="s">
        <v>119</v>
      </c>
      <c r="B32" s="26"/>
      <c r="C32" s="22" t="s">
        <v>120</v>
      </c>
      <c r="D32" s="202" t="s">
        <v>121</v>
      </c>
      <c r="E32" s="163"/>
      <c r="F32" s="166"/>
      <c r="H32" s="1"/>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row>
    <row r="33" spans="1:47" ht="15" customHeight="1" x14ac:dyDescent="0.25">
      <c r="A33" s="167" t="s">
        <v>122</v>
      </c>
      <c r="B33" s="27" t="s">
        <v>123</v>
      </c>
      <c r="C33" s="22" t="s">
        <v>124</v>
      </c>
      <c r="D33" s="203" t="s">
        <v>125</v>
      </c>
      <c r="E33" s="5" t="s">
        <v>126</v>
      </c>
      <c r="F33" s="11"/>
      <c r="H33" s="1"/>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row>
    <row r="34" spans="1:47" ht="15" customHeight="1" x14ac:dyDescent="0.25">
      <c r="A34" s="8"/>
      <c r="B34" s="28" t="s">
        <v>127</v>
      </c>
      <c r="C34" s="22" t="s">
        <v>128</v>
      </c>
      <c r="D34" s="203" t="s">
        <v>129</v>
      </c>
      <c r="E34" s="10" t="s">
        <v>130</v>
      </c>
      <c r="F34" s="11"/>
      <c r="H34" s="1"/>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row>
    <row r="35" spans="1:47" ht="15" customHeight="1" x14ac:dyDescent="0.25">
      <c r="A35" s="167" t="s">
        <v>131</v>
      </c>
      <c r="B35" s="27" t="s">
        <v>132</v>
      </c>
      <c r="C35" s="22" t="s">
        <v>133</v>
      </c>
      <c r="D35" s="203" t="s">
        <v>134</v>
      </c>
      <c r="E35" s="10" t="s">
        <v>135</v>
      </c>
      <c r="F35" s="11"/>
      <c r="H35" s="1"/>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row>
    <row r="36" spans="1:47" ht="15" customHeight="1" x14ac:dyDescent="0.25">
      <c r="A36" s="8"/>
      <c r="B36" s="28" t="s">
        <v>136</v>
      </c>
      <c r="C36" s="22" t="s">
        <v>137</v>
      </c>
      <c r="D36" s="203" t="s">
        <v>138</v>
      </c>
      <c r="E36" s="10" t="s">
        <v>5010</v>
      </c>
      <c r="F36" s="11"/>
      <c r="H36" s="1"/>
      <c r="I36" s="29"/>
      <c r="J36" s="29"/>
      <c r="K36" s="29"/>
      <c r="L36" s="29"/>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row>
    <row r="37" spans="1:47" ht="15" customHeight="1" x14ac:dyDescent="0.25">
      <c r="A37" s="167" t="s">
        <v>139</v>
      </c>
      <c r="B37" s="27" t="s">
        <v>140</v>
      </c>
      <c r="C37" s="22" t="s">
        <v>141</v>
      </c>
      <c r="D37" s="203" t="s">
        <v>142</v>
      </c>
      <c r="E37" s="10" t="s">
        <v>143</v>
      </c>
      <c r="F37" s="11"/>
      <c r="H37" s="1"/>
      <c r="I37" s="29"/>
      <c r="J37" s="29"/>
      <c r="K37" s="29"/>
      <c r="L37" s="29"/>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row>
    <row r="38" spans="1:47" ht="15" customHeight="1" x14ac:dyDescent="0.25">
      <c r="A38" s="8"/>
      <c r="B38" s="28" t="s">
        <v>144</v>
      </c>
      <c r="C38" s="22" t="s">
        <v>145</v>
      </c>
      <c r="D38" s="203" t="s">
        <v>146</v>
      </c>
      <c r="E38" s="10" t="s">
        <v>147</v>
      </c>
      <c r="F38" s="11"/>
      <c r="H38" s="1"/>
      <c r="I38" s="29"/>
      <c r="J38" s="29"/>
      <c r="K38" s="29"/>
      <c r="L38" s="29"/>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row>
    <row r="39" spans="1:47" ht="15" customHeight="1" x14ac:dyDescent="0.25">
      <c r="A39" s="167" t="s">
        <v>148</v>
      </c>
      <c r="B39" s="27" t="s">
        <v>149</v>
      </c>
      <c r="C39" s="22" t="s">
        <v>150</v>
      </c>
      <c r="D39" s="203" t="s">
        <v>151</v>
      </c>
      <c r="E39" s="8" t="s">
        <v>152</v>
      </c>
      <c r="F39" s="9"/>
      <c r="H39" s="1"/>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row>
    <row r="40" spans="1:47" ht="15" customHeight="1" x14ac:dyDescent="0.25">
      <c r="A40" s="8"/>
      <c r="B40" s="28" t="s">
        <v>153</v>
      </c>
      <c r="C40" s="22" t="s">
        <v>154</v>
      </c>
      <c r="D40" s="203" t="s">
        <v>155</v>
      </c>
      <c r="E40" s="151" t="s">
        <v>156</v>
      </c>
      <c r="F40" s="148"/>
      <c r="H40" s="1"/>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row>
    <row r="41" spans="1:47" ht="15" customHeight="1" x14ac:dyDescent="0.25">
      <c r="A41" s="167" t="s">
        <v>157</v>
      </c>
      <c r="B41" s="27" t="s">
        <v>158</v>
      </c>
      <c r="C41" s="22" t="s">
        <v>159</v>
      </c>
      <c r="D41" s="203" t="s">
        <v>160</v>
      </c>
      <c r="E41" s="17" t="s">
        <v>161</v>
      </c>
      <c r="F41" s="18"/>
      <c r="H41" s="1"/>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row>
    <row r="42" spans="1:47" ht="15" customHeight="1" x14ac:dyDescent="0.25">
      <c r="A42" s="8"/>
      <c r="B42" s="28" t="s">
        <v>162</v>
      </c>
      <c r="C42" s="22" t="s">
        <v>163</v>
      </c>
      <c r="D42" s="203" t="s">
        <v>164</v>
      </c>
      <c r="E42" s="19" t="s">
        <v>165</v>
      </c>
      <c r="F42" s="18"/>
      <c r="H42" s="1"/>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row>
    <row r="43" spans="1:47" ht="15" customHeight="1" x14ac:dyDescent="0.25">
      <c r="A43" s="15" t="s">
        <v>166</v>
      </c>
      <c r="B43" s="27" t="s">
        <v>167</v>
      </c>
      <c r="C43" s="22" t="s">
        <v>168</v>
      </c>
      <c r="D43" s="203" t="s">
        <v>169</v>
      </c>
      <c r="E43" s="19" t="s">
        <v>170</v>
      </c>
      <c r="F43" s="18"/>
      <c r="H43" s="1"/>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row>
    <row r="44" spans="1:47" ht="15" customHeight="1" x14ac:dyDescent="0.25">
      <c r="A44" s="151"/>
      <c r="B44" s="28" t="s">
        <v>171</v>
      </c>
      <c r="C44" s="22" t="s">
        <v>172</v>
      </c>
      <c r="D44" s="203" t="s">
        <v>173</v>
      </c>
      <c r="E44" s="19" t="s">
        <v>174</v>
      </c>
      <c r="F44" s="18"/>
      <c r="H44" s="1"/>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row>
    <row r="45" spans="1:47" ht="15" customHeight="1" x14ac:dyDescent="0.25">
      <c r="A45" s="2"/>
      <c r="B45" s="129"/>
      <c r="C45" s="96" t="s">
        <v>175</v>
      </c>
      <c r="D45" s="30"/>
      <c r="E45" s="31"/>
      <c r="F45" s="32"/>
      <c r="G45" s="1"/>
      <c r="H45" s="1"/>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row>
    <row r="46" spans="1:47" ht="15" customHeight="1" x14ac:dyDescent="0.25">
      <c r="B46" s="130"/>
      <c r="C46" s="92" t="s">
        <v>176</v>
      </c>
      <c r="D46" s="273"/>
      <c r="E46" s="272"/>
      <c r="F46" s="1"/>
      <c r="G46" s="1"/>
      <c r="H46" s="1"/>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row>
    <row r="47" spans="1:47" ht="15" customHeight="1" x14ac:dyDescent="0.25">
      <c r="A47" s="2"/>
      <c r="B47" s="131"/>
      <c r="C47" s="14" t="s">
        <v>177</v>
      </c>
      <c r="D47" s="273"/>
      <c r="E47" s="272"/>
      <c r="F47" s="272"/>
      <c r="G47" s="1"/>
      <c r="H47" s="1"/>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row>
    <row r="48" spans="1:47" ht="15" customHeight="1" x14ac:dyDescent="0.25">
      <c r="A48" s="2"/>
      <c r="B48" s="131"/>
      <c r="C48" s="92" t="s">
        <v>178</v>
      </c>
      <c r="D48" s="273"/>
      <c r="E48" s="272"/>
      <c r="F48" s="1"/>
      <c r="G48" s="1"/>
      <c r="H48" s="1"/>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row>
    <row r="49" spans="1:47" ht="15" customHeight="1" x14ac:dyDescent="0.25">
      <c r="A49" s="2"/>
      <c r="B49" s="131"/>
      <c r="C49" s="150"/>
      <c r="D49" s="273"/>
      <c r="E49" s="272"/>
      <c r="F49" s="1"/>
      <c r="G49" s="1"/>
      <c r="H49" s="1"/>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row>
    <row r="50" spans="1:47" ht="15" customHeight="1" x14ac:dyDescent="0.25">
      <c r="A50" s="2"/>
      <c r="B50" s="128"/>
      <c r="C50" s="127"/>
      <c r="D50" s="1"/>
      <c r="E50" s="1"/>
      <c r="F50" s="1"/>
      <c r="G50" s="1"/>
      <c r="H50" s="1"/>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row>
    <row r="51" spans="1:47" ht="15" customHeight="1" x14ac:dyDescent="0.25">
      <c r="A51" s="2"/>
      <c r="B51" s="33"/>
      <c r="C51" s="168"/>
      <c r="D51" s="34"/>
      <c r="E51" s="34"/>
      <c r="F51" s="34"/>
      <c r="G51" s="34"/>
      <c r="H51" s="34"/>
      <c r="I51" s="35"/>
      <c r="J51" s="35"/>
      <c r="K51" s="35"/>
      <c r="L51" s="35"/>
      <c r="M51" s="35"/>
      <c r="N51" s="35"/>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row>
    <row r="52" spans="1:47" ht="15" customHeight="1" x14ac:dyDescent="0.25">
      <c r="A52" s="2"/>
      <c r="B52" s="33"/>
      <c r="C52" s="34"/>
      <c r="D52" s="1"/>
      <c r="E52" s="1"/>
      <c r="F52" s="1"/>
      <c r="G52" s="1"/>
      <c r="H52" s="1"/>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row>
    <row r="53" spans="1:47" ht="15" customHeight="1" x14ac:dyDescent="0.25">
      <c r="A53" s="2"/>
      <c r="B53" s="33"/>
      <c r="C53" s="1"/>
      <c r="D53" s="1"/>
      <c r="E53" s="1"/>
      <c r="F53" s="1"/>
      <c r="G53" s="1"/>
      <c r="H53" s="1"/>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row>
    <row r="54" spans="1:47" ht="15" customHeight="1" x14ac:dyDescent="0.25">
      <c r="A54" s="2"/>
      <c r="B54" s="33"/>
      <c r="C54" s="1"/>
      <c r="D54" s="1"/>
      <c r="E54" s="1"/>
      <c r="F54" s="1"/>
      <c r="G54" s="1"/>
      <c r="H54" s="1"/>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row>
    <row r="55" spans="1:47" ht="15" customHeight="1" x14ac:dyDescent="0.25">
      <c r="A55" s="2"/>
      <c r="B55" s="33"/>
      <c r="C55" s="1"/>
      <c r="D55" s="1"/>
      <c r="E55" s="1"/>
      <c r="F55" s="1"/>
      <c r="G55" s="1"/>
      <c r="H55" s="1"/>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row>
    <row r="56" spans="1:47" ht="15" customHeight="1" x14ac:dyDescent="0.25">
      <c r="A56" s="204"/>
      <c r="B56" s="36"/>
      <c r="C56" s="34"/>
      <c r="D56" s="1"/>
      <c r="E56" s="1"/>
      <c r="F56" s="1"/>
      <c r="G56" s="1"/>
      <c r="H56" s="1"/>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row>
    <row r="57" spans="1:47" ht="15" customHeight="1" x14ac:dyDescent="0.25">
      <c r="A57" s="204"/>
      <c r="B57" s="36"/>
      <c r="C57" s="1"/>
      <c r="D57" s="1"/>
      <c r="E57" s="1"/>
      <c r="F57" s="1"/>
      <c r="G57" s="1"/>
      <c r="H57" s="1"/>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row>
    <row r="58" spans="1:47" ht="15" customHeight="1" x14ac:dyDescent="0.25">
      <c r="A58" s="204"/>
      <c r="B58" s="36"/>
      <c r="C58" s="1"/>
      <c r="D58" s="1"/>
      <c r="E58" s="1"/>
      <c r="F58" s="1"/>
      <c r="G58" s="1"/>
      <c r="H58" s="1"/>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row>
    <row r="59" spans="1:47" ht="15" customHeight="1" x14ac:dyDescent="0.25">
      <c r="A59" s="2"/>
      <c r="B59" s="33"/>
      <c r="C59" s="1"/>
      <c r="D59" s="1"/>
      <c r="E59" s="1"/>
      <c r="F59" s="1"/>
      <c r="G59" s="1"/>
      <c r="H59" s="1"/>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row>
    <row r="60" spans="1:47" ht="15" customHeight="1" x14ac:dyDescent="0.25">
      <c r="A60" s="2"/>
      <c r="B60" s="33"/>
      <c r="C60" s="1"/>
      <c r="D60" s="1"/>
      <c r="E60" s="34"/>
      <c r="F60" s="1"/>
      <c r="G60" s="1"/>
      <c r="H60" s="1"/>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row>
    <row r="61" spans="1:47" ht="15" customHeight="1" x14ac:dyDescent="0.25">
      <c r="A61" s="2"/>
      <c r="B61" s="33"/>
      <c r="C61" s="1"/>
      <c r="D61" s="1"/>
      <c r="E61" s="1"/>
      <c r="F61" s="1"/>
      <c r="G61" s="1"/>
      <c r="H61" s="1"/>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row>
    <row r="62" spans="1:47" ht="15" customHeight="1" x14ac:dyDescent="0.25">
      <c r="A62" s="2"/>
      <c r="B62" s="33"/>
      <c r="C62" s="1"/>
      <c r="D62" s="1"/>
      <c r="E62" s="1"/>
      <c r="F62" s="1"/>
      <c r="G62" s="1"/>
      <c r="H62" s="1"/>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row>
    <row r="63" spans="1:47" ht="15" customHeight="1" x14ac:dyDescent="0.25">
      <c r="A63" s="2"/>
      <c r="B63" s="33"/>
      <c r="C63" s="1"/>
      <c r="D63" s="1"/>
      <c r="E63" s="1"/>
      <c r="F63" s="1"/>
      <c r="G63" s="1"/>
      <c r="H63" s="1"/>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row>
    <row r="64" spans="1:47" ht="15" customHeight="1" x14ac:dyDescent="0.25">
      <c r="A64" s="2"/>
      <c r="B64" s="33"/>
      <c r="C64" s="1"/>
      <c r="D64" s="1"/>
      <c r="E64" s="1"/>
      <c r="F64" s="1"/>
      <c r="G64" s="1"/>
      <c r="H64" s="1"/>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row>
    <row r="65" spans="1:47" ht="15" customHeight="1" x14ac:dyDescent="0.25">
      <c r="A65" s="2"/>
      <c r="B65" s="33"/>
      <c r="C65" s="1"/>
      <c r="D65" s="1"/>
      <c r="E65" s="1"/>
      <c r="F65" s="1"/>
      <c r="G65" s="1"/>
      <c r="H65" s="1"/>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row>
    <row r="66" spans="1:47" ht="15" customHeight="1" x14ac:dyDescent="0.25">
      <c r="A66" s="2"/>
      <c r="B66" s="33"/>
      <c r="C66" s="1"/>
      <c r="D66" s="1"/>
      <c r="E66" s="1"/>
      <c r="F66" s="1"/>
      <c r="G66" s="1"/>
      <c r="H66" s="1"/>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row>
    <row r="67" spans="1:47" ht="15" customHeight="1" x14ac:dyDescent="0.25">
      <c r="A67" s="2"/>
      <c r="B67" s="33"/>
      <c r="C67" s="34"/>
      <c r="D67" s="1"/>
      <c r="E67" s="1"/>
      <c r="F67" s="1"/>
      <c r="G67" s="1"/>
      <c r="H67" s="1"/>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row>
    <row r="68" spans="1:47" ht="15" customHeight="1" x14ac:dyDescent="0.25">
      <c r="A68" s="2"/>
      <c r="B68" s="33"/>
      <c r="C68" s="37"/>
      <c r="D68" s="1"/>
      <c r="E68" s="34"/>
      <c r="F68" s="1"/>
      <c r="G68" s="1"/>
      <c r="H68" s="1"/>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row>
    <row r="69" spans="1:47" ht="15" customHeight="1" x14ac:dyDescent="0.25">
      <c r="A69" s="2"/>
      <c r="B69" s="33"/>
      <c r="C69" s="37"/>
      <c r="D69" s="1"/>
      <c r="E69" s="1"/>
      <c r="F69" s="1"/>
      <c r="G69" s="1"/>
      <c r="H69" s="1"/>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row>
    <row r="70" spans="1:47" ht="15" customHeight="1" x14ac:dyDescent="0.25">
      <c r="A70" s="2"/>
      <c r="B70" s="33"/>
      <c r="C70" s="37"/>
      <c r="D70" s="1"/>
      <c r="E70" s="1"/>
      <c r="F70" s="1"/>
      <c r="G70" s="1"/>
      <c r="H70" s="1"/>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row>
    <row r="71" spans="1:47" ht="15" customHeight="1" x14ac:dyDescent="0.25">
      <c r="A71" s="2"/>
      <c r="B71" s="33"/>
      <c r="C71" s="37"/>
      <c r="D71" s="1"/>
      <c r="E71" s="1"/>
      <c r="F71" s="1"/>
      <c r="G71" s="1"/>
      <c r="H71" s="1"/>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row>
    <row r="72" spans="1:47" ht="15" customHeight="1" x14ac:dyDescent="0.25">
      <c r="A72" s="2"/>
      <c r="B72" s="33"/>
      <c r="C72" s="37"/>
      <c r="D72" s="1"/>
      <c r="E72" s="1"/>
      <c r="F72" s="1"/>
      <c r="G72" s="1"/>
      <c r="H72" s="1"/>
      <c r="I72" s="2"/>
      <c r="J72" s="35"/>
      <c r="K72" s="35"/>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row>
    <row r="73" spans="1:47" ht="15" customHeight="1" x14ac:dyDescent="0.25">
      <c r="A73" s="2"/>
      <c r="B73" s="33"/>
      <c r="C73" s="37"/>
      <c r="D73" s="1"/>
      <c r="E73" s="1"/>
      <c r="F73" s="1"/>
      <c r="G73" s="1"/>
      <c r="H73" s="1"/>
      <c r="I73" s="2"/>
      <c r="J73" s="35"/>
      <c r="K73" s="35"/>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row>
    <row r="74" spans="1:47" ht="15" customHeight="1" x14ac:dyDescent="0.25">
      <c r="A74" s="2"/>
      <c r="B74" s="33"/>
      <c r="C74" s="37"/>
      <c r="D74" s="1"/>
      <c r="E74" s="1"/>
      <c r="F74" s="1"/>
      <c r="G74" s="1"/>
      <c r="H74" s="1"/>
      <c r="I74" s="2"/>
      <c r="J74" s="35"/>
      <c r="K74" s="35"/>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row>
    <row r="75" spans="1:47" ht="15" customHeight="1" x14ac:dyDescent="0.25">
      <c r="A75" s="2"/>
      <c r="B75" s="33"/>
      <c r="C75" s="34"/>
      <c r="D75" s="1"/>
      <c r="E75" s="1"/>
      <c r="F75" s="1"/>
      <c r="G75" s="1"/>
      <c r="H75" s="1"/>
      <c r="I75" s="2"/>
      <c r="J75" s="35"/>
      <c r="K75" s="35"/>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row>
    <row r="76" spans="1:47" ht="15" customHeight="1" x14ac:dyDescent="0.25">
      <c r="A76" s="2"/>
      <c r="B76" s="33"/>
      <c r="C76" s="1"/>
      <c r="D76" s="1"/>
      <c r="E76" s="1"/>
      <c r="F76" s="1"/>
      <c r="G76" s="1"/>
      <c r="H76" s="1"/>
      <c r="I76" s="2"/>
      <c r="J76" s="35"/>
      <c r="K76" s="35"/>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row>
    <row r="77" spans="1:47" ht="15" customHeight="1" x14ac:dyDescent="0.25">
      <c r="A77" s="2"/>
      <c r="B77" s="33"/>
      <c r="C77" s="1"/>
      <c r="D77" s="1"/>
      <c r="E77" s="1"/>
      <c r="F77" s="1"/>
      <c r="G77" s="1"/>
      <c r="H77" s="1"/>
      <c r="I77" s="2"/>
      <c r="J77" s="35"/>
      <c r="K77" s="35"/>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row>
    <row r="78" spans="1:47" ht="15" customHeight="1" x14ac:dyDescent="0.25">
      <c r="A78" s="2"/>
      <c r="B78" s="33"/>
      <c r="C78" s="1"/>
      <c r="D78" s="1"/>
      <c r="E78" s="1"/>
      <c r="F78" s="1"/>
      <c r="G78" s="1"/>
      <c r="H78" s="1"/>
      <c r="I78" s="2"/>
      <c r="J78" s="35"/>
      <c r="K78" s="35"/>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row>
    <row r="79" spans="1:47" ht="15" customHeight="1" x14ac:dyDescent="0.25">
      <c r="A79" s="2"/>
      <c r="B79" s="33"/>
      <c r="C79" s="1"/>
      <c r="D79" s="1"/>
      <c r="E79" s="1"/>
      <c r="F79" s="1"/>
      <c r="G79" s="1"/>
      <c r="H79" s="1"/>
      <c r="I79" s="2"/>
      <c r="J79" s="35"/>
      <c r="K79" s="35"/>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row>
    <row r="80" spans="1:47" ht="15" customHeight="1" x14ac:dyDescent="0.25">
      <c r="A80" s="2"/>
      <c r="B80" s="33"/>
      <c r="C80" s="1"/>
      <c r="D80" s="1"/>
      <c r="E80" s="1"/>
      <c r="F80" s="1"/>
      <c r="G80" s="1"/>
      <c r="H80" s="1"/>
      <c r="I80" s="2"/>
      <c r="J80" s="35"/>
      <c r="K80" s="35"/>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row>
    <row r="81" spans="1:47" ht="15" customHeight="1" x14ac:dyDescent="0.25">
      <c r="A81" s="2"/>
      <c r="B81" s="33"/>
      <c r="C81" s="1"/>
      <c r="D81" s="1"/>
      <c r="E81" s="1"/>
      <c r="F81" s="1"/>
      <c r="G81" s="1"/>
      <c r="H81" s="1"/>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row>
    <row r="82" spans="1:47" ht="15" customHeight="1" x14ac:dyDescent="0.25">
      <c r="A82" s="2"/>
      <c r="B82" s="33"/>
      <c r="C82" s="1"/>
      <c r="D82" s="1"/>
      <c r="E82" s="1"/>
      <c r="F82" s="1"/>
      <c r="G82" s="1"/>
      <c r="H82" s="1"/>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row>
    <row r="83" spans="1:47" ht="15" customHeight="1" x14ac:dyDescent="0.25">
      <c r="A83" s="2"/>
      <c r="B83" s="33" t="s">
        <v>179</v>
      </c>
      <c r="C83" s="1"/>
      <c r="D83" s="1"/>
      <c r="E83" s="1"/>
      <c r="F83" s="1"/>
      <c r="G83" s="1"/>
      <c r="H83" s="1"/>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row>
    <row r="84" spans="1:47" ht="15" customHeight="1" x14ac:dyDescent="0.25">
      <c r="A84" s="2"/>
      <c r="B84" s="33"/>
      <c r="C84" s="1"/>
      <c r="D84" s="1"/>
      <c r="E84" s="1"/>
      <c r="F84" s="1"/>
      <c r="G84" s="1"/>
      <c r="H84" s="1"/>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row>
    <row r="85" spans="1:47" ht="15" customHeight="1" x14ac:dyDescent="0.25">
      <c r="A85" s="204"/>
      <c r="B85" s="38"/>
      <c r="C85" s="1"/>
      <c r="D85" s="1"/>
      <c r="E85" s="1"/>
      <c r="F85" s="1"/>
      <c r="G85" s="1"/>
      <c r="H85" s="1"/>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row>
    <row r="86" spans="1:47" ht="15" customHeight="1" x14ac:dyDescent="0.25">
      <c r="A86" s="2"/>
      <c r="B86" s="33"/>
      <c r="C86" s="1"/>
      <c r="D86" s="1"/>
      <c r="E86" s="1"/>
      <c r="F86" s="1"/>
      <c r="G86" s="1"/>
      <c r="H86" s="1"/>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row>
    <row r="87" spans="1:47" ht="15" customHeight="1" x14ac:dyDescent="0.25">
      <c r="A87" s="2"/>
      <c r="B87" s="33"/>
      <c r="C87" s="1"/>
      <c r="D87" s="1"/>
      <c r="E87" s="1"/>
      <c r="F87" s="1"/>
      <c r="G87" s="1"/>
      <c r="H87" s="1"/>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row>
    <row r="88" spans="1:47" ht="15" customHeight="1" x14ac:dyDescent="0.25">
      <c r="A88" s="2"/>
      <c r="B88" s="33"/>
      <c r="C88" s="1"/>
      <c r="D88" s="1"/>
      <c r="E88" s="1"/>
      <c r="F88" s="1"/>
      <c r="G88" s="1"/>
      <c r="H88" s="1"/>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row>
    <row r="89" spans="1:47" ht="15" customHeight="1" x14ac:dyDescent="0.25">
      <c r="A89" s="2"/>
      <c r="B89" s="33"/>
      <c r="C89" s="1"/>
      <c r="D89" s="1"/>
      <c r="E89" s="1"/>
      <c r="F89" s="1"/>
      <c r="G89" s="1"/>
      <c r="H89" s="1"/>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row>
    <row r="90" spans="1:47" ht="15" customHeight="1" x14ac:dyDescent="0.25">
      <c r="A90" s="2"/>
      <c r="B90" s="33"/>
      <c r="C90" s="1"/>
      <c r="D90" s="1"/>
      <c r="E90" s="1"/>
      <c r="F90" s="1"/>
      <c r="G90" s="1"/>
      <c r="H90" s="1"/>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row>
    <row r="91" spans="1:47" ht="15" customHeight="1" x14ac:dyDescent="0.25">
      <c r="A91" s="2"/>
      <c r="B91" s="33"/>
      <c r="C91" s="1"/>
      <c r="D91" s="1"/>
      <c r="E91" s="1"/>
      <c r="F91" s="1"/>
      <c r="G91" s="1"/>
      <c r="H91" s="1"/>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row>
    <row r="92" spans="1:47" ht="15" customHeight="1" x14ac:dyDescent="0.25">
      <c r="A92" s="2"/>
      <c r="B92" s="33"/>
      <c r="C92" s="1"/>
      <c r="D92" s="1"/>
      <c r="E92" s="1"/>
      <c r="F92" s="1"/>
      <c r="G92" s="1"/>
      <c r="H92" s="1"/>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row>
    <row r="93" spans="1:47" ht="15.75" customHeight="1" x14ac:dyDescent="0.25">
      <c r="A93" s="2"/>
      <c r="B93" s="33"/>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row>
    <row r="94" spans="1:47" ht="15.75" customHeight="1" x14ac:dyDescent="0.25">
      <c r="A94" s="2"/>
      <c r="B94" s="33"/>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row>
    <row r="95" spans="1:47" ht="15.75" customHeight="1" x14ac:dyDescent="0.25">
      <c r="A95" s="2"/>
      <c r="B95" s="33"/>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row>
    <row r="96" spans="1:47" ht="15.75" customHeight="1" x14ac:dyDescent="0.25">
      <c r="A96" s="2"/>
      <c r="B96" s="33"/>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row>
    <row r="97" spans="1:47" ht="15.75" customHeight="1" x14ac:dyDescent="0.25">
      <c r="A97" s="2"/>
      <c r="B97" s="33"/>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row>
    <row r="98" spans="1:47" ht="15.75" customHeight="1" x14ac:dyDescent="0.25">
      <c r="A98" s="2"/>
      <c r="B98" s="33"/>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row>
    <row r="99" spans="1:47" ht="15.75" customHeight="1" x14ac:dyDescent="0.25">
      <c r="A99" s="2"/>
      <c r="B99" s="33"/>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row>
    <row r="100" spans="1:47" ht="15.75" customHeight="1" x14ac:dyDescent="0.25">
      <c r="A100" s="2"/>
      <c r="B100" s="33"/>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row>
    <row r="101" spans="1:47" ht="15.75" customHeight="1" x14ac:dyDescent="0.25">
      <c r="A101" s="2"/>
      <c r="B101" s="33"/>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row>
    <row r="102" spans="1:47" ht="15.75" customHeight="1" x14ac:dyDescent="0.25">
      <c r="A102" s="2"/>
      <c r="B102" s="33"/>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row>
    <row r="103" spans="1:47" ht="15.75" customHeight="1" x14ac:dyDescent="0.25">
      <c r="A103" s="2"/>
      <c r="B103" s="33"/>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row>
    <row r="104" spans="1:47" ht="15.75" customHeight="1" x14ac:dyDescent="0.25">
      <c r="A104" s="2"/>
      <c r="B104" s="33"/>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row>
    <row r="105" spans="1:47" ht="15.75" customHeight="1" x14ac:dyDescent="0.25">
      <c r="A105" s="2"/>
      <c r="B105" s="33"/>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row>
    <row r="106" spans="1:47" ht="15.75" customHeight="1" x14ac:dyDescent="0.25">
      <c r="A106" s="2"/>
      <c r="B106" s="33"/>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row>
    <row r="107" spans="1:47" ht="15.75" customHeight="1" x14ac:dyDescent="0.25">
      <c r="A107" s="2"/>
      <c r="B107" s="33"/>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row>
    <row r="108" spans="1:47" ht="15.75" customHeight="1" x14ac:dyDescent="0.25">
      <c r="A108" s="2"/>
      <c r="B108" s="33"/>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row>
    <row r="109" spans="1:47" ht="15.75" customHeight="1" x14ac:dyDescent="0.25">
      <c r="A109" s="2"/>
      <c r="B109" s="33"/>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row>
    <row r="110" spans="1:47" ht="15.75" customHeight="1" x14ac:dyDescent="0.25">
      <c r="A110" s="2"/>
      <c r="B110" s="33"/>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row>
    <row r="111" spans="1:47" ht="15.75" customHeight="1" x14ac:dyDescent="0.25">
      <c r="A111" s="2"/>
      <c r="B111" s="33"/>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row>
    <row r="112" spans="1:47" ht="15.75" customHeight="1" x14ac:dyDescent="0.25">
      <c r="A112" s="2"/>
      <c r="B112" s="33"/>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row>
    <row r="113" spans="1:47" ht="15.75" customHeight="1" x14ac:dyDescent="0.25">
      <c r="A113" s="2"/>
      <c r="B113" s="33"/>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row>
    <row r="114" spans="1:47" ht="15.75" customHeight="1" x14ac:dyDescent="0.25">
      <c r="A114" s="2"/>
      <c r="B114" s="33"/>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row>
    <row r="115" spans="1:47" ht="15.75" customHeight="1" x14ac:dyDescent="0.25">
      <c r="A115" s="2"/>
      <c r="B115" s="33"/>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row>
    <row r="116" spans="1:47" ht="15.75" customHeight="1" x14ac:dyDescent="0.25">
      <c r="A116" s="2"/>
      <c r="B116" s="33"/>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row>
    <row r="117" spans="1:47" ht="15.75" customHeight="1" x14ac:dyDescent="0.25">
      <c r="A117" s="2"/>
      <c r="B117" s="33"/>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row>
    <row r="118" spans="1:47" ht="15.75" customHeight="1" x14ac:dyDescent="0.25">
      <c r="A118" s="2"/>
      <c r="B118" s="33"/>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row>
    <row r="119" spans="1:47" ht="15.75" customHeight="1" x14ac:dyDescent="0.25">
      <c r="A119" s="2"/>
      <c r="B119" s="33"/>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row>
    <row r="120" spans="1:47" ht="15.75" customHeight="1" x14ac:dyDescent="0.25">
      <c r="A120" s="2"/>
      <c r="B120" s="33"/>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row>
    <row r="121" spans="1:47" ht="15.75" customHeight="1" x14ac:dyDescent="0.25">
      <c r="A121" s="2"/>
      <c r="B121" s="33"/>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row>
    <row r="122" spans="1:47" ht="15.75" customHeight="1" x14ac:dyDescent="0.25">
      <c r="A122" s="2"/>
      <c r="B122" s="33"/>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row>
    <row r="123" spans="1:47" ht="15.75" customHeight="1" x14ac:dyDescent="0.25">
      <c r="A123" s="2"/>
      <c r="B123" s="33"/>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row>
    <row r="124" spans="1:47" ht="15.75" customHeight="1" x14ac:dyDescent="0.25">
      <c r="A124" s="2"/>
      <c r="B124" s="33"/>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row>
    <row r="125" spans="1:47" ht="15.75" customHeight="1" x14ac:dyDescent="0.25">
      <c r="A125" s="2"/>
      <c r="B125" s="33"/>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row>
    <row r="126" spans="1:47" ht="15.75" customHeight="1" x14ac:dyDescent="0.25">
      <c r="A126" s="2"/>
      <c r="B126" s="33"/>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row>
    <row r="127" spans="1:47" ht="15.75" customHeight="1" x14ac:dyDescent="0.25">
      <c r="A127" s="2"/>
      <c r="B127" s="33"/>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row>
    <row r="128" spans="1:47" ht="15.75" customHeight="1" x14ac:dyDescent="0.25">
      <c r="A128" s="2"/>
      <c r="B128" s="33"/>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row>
    <row r="129" spans="1:47" ht="15.75" customHeight="1" x14ac:dyDescent="0.25">
      <c r="A129" s="2"/>
      <c r="B129" s="33"/>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row>
    <row r="130" spans="1:47" ht="15.75" customHeight="1" x14ac:dyDescent="0.25">
      <c r="A130" s="2"/>
      <c r="B130" s="33"/>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row>
    <row r="131" spans="1:47" ht="15.75" customHeight="1" x14ac:dyDescent="0.25">
      <c r="A131" s="2"/>
      <c r="B131" s="33"/>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row>
    <row r="132" spans="1:47" ht="15.75" customHeight="1" x14ac:dyDescent="0.25">
      <c r="A132" s="2"/>
      <c r="B132" s="33"/>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row>
    <row r="133" spans="1:47" ht="15.75" customHeight="1" x14ac:dyDescent="0.25">
      <c r="A133" s="2"/>
      <c r="B133" s="33"/>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row>
    <row r="134" spans="1:47" ht="15.75" customHeight="1" x14ac:dyDescent="0.25">
      <c r="A134" s="2"/>
      <c r="B134" s="33"/>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row>
    <row r="135" spans="1:47" ht="15.75" customHeight="1" x14ac:dyDescent="0.25">
      <c r="A135" s="2"/>
      <c r="B135" s="33"/>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row>
    <row r="136" spans="1:47" ht="15.75" customHeight="1" x14ac:dyDescent="0.25">
      <c r="A136" s="2"/>
      <c r="B136" s="33"/>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row>
    <row r="137" spans="1:47" ht="15.75" customHeight="1" x14ac:dyDescent="0.25">
      <c r="A137" s="2"/>
      <c r="B137" s="33"/>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row>
    <row r="138" spans="1:47" ht="15.75" customHeight="1" x14ac:dyDescent="0.25">
      <c r="A138" s="2"/>
      <c r="B138" s="33"/>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row>
    <row r="139" spans="1:47" ht="15.75" customHeight="1" x14ac:dyDescent="0.25">
      <c r="A139" s="2"/>
      <c r="B139" s="33"/>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row>
    <row r="140" spans="1:47" ht="15.75" customHeight="1" x14ac:dyDescent="0.25">
      <c r="A140" s="2"/>
      <c r="B140" s="33"/>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row>
    <row r="141" spans="1:47" ht="15.75" customHeight="1" x14ac:dyDescent="0.25">
      <c r="A141" s="2"/>
      <c r="B141" s="33"/>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row>
    <row r="142" spans="1:47" ht="15.75" customHeight="1" x14ac:dyDescent="0.25">
      <c r="A142" s="2"/>
      <c r="B142" s="33"/>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row>
    <row r="143" spans="1:47" ht="15.75" customHeight="1" x14ac:dyDescent="0.25">
      <c r="A143" s="2"/>
      <c r="B143" s="33"/>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row>
    <row r="144" spans="1:47" ht="15.75" customHeight="1" x14ac:dyDescent="0.25">
      <c r="A144" s="2"/>
      <c r="B144" s="33"/>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row>
    <row r="145" spans="1:47" ht="15.75" customHeight="1" x14ac:dyDescent="0.25">
      <c r="A145" s="2"/>
      <c r="B145" s="33"/>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row>
    <row r="146" spans="1:47" ht="15.75" customHeight="1" x14ac:dyDescent="0.25">
      <c r="A146" s="2"/>
      <c r="B146" s="33"/>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row>
    <row r="147" spans="1:47" ht="15.75" customHeight="1" x14ac:dyDescent="0.25">
      <c r="A147" s="2"/>
      <c r="B147" s="33"/>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row>
    <row r="148" spans="1:47" ht="15.75" customHeight="1" x14ac:dyDescent="0.25">
      <c r="A148" s="2"/>
      <c r="B148" s="33"/>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row>
    <row r="149" spans="1:47" ht="15.75" customHeight="1" x14ac:dyDescent="0.25">
      <c r="A149" s="2"/>
      <c r="B149" s="33"/>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row>
    <row r="150" spans="1:47" ht="15.75" customHeight="1" x14ac:dyDescent="0.25">
      <c r="A150" s="2"/>
      <c r="B150" s="33"/>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row>
    <row r="151" spans="1:47" ht="15.75" customHeight="1" x14ac:dyDescent="0.25">
      <c r="A151" s="2"/>
      <c r="B151" s="33"/>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row>
    <row r="152" spans="1:47" ht="15.75" customHeight="1" x14ac:dyDescent="0.25">
      <c r="A152" s="2"/>
      <c r="B152" s="33"/>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row>
    <row r="153" spans="1:47" ht="15.75" customHeight="1" x14ac:dyDescent="0.25">
      <c r="A153" s="2"/>
      <c r="B153" s="33"/>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row>
    <row r="154" spans="1:47" ht="15.75" customHeight="1" x14ac:dyDescent="0.25">
      <c r="A154" s="2"/>
      <c r="B154" s="33"/>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row>
    <row r="155" spans="1:47" ht="15.75" customHeight="1" x14ac:dyDescent="0.25">
      <c r="A155" s="2"/>
      <c r="B155" s="33"/>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row>
    <row r="156" spans="1:47" ht="15.75" customHeight="1" x14ac:dyDescent="0.25">
      <c r="A156" s="2"/>
      <c r="B156" s="33"/>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row>
    <row r="157" spans="1:47" ht="15.75" customHeight="1" x14ac:dyDescent="0.25">
      <c r="A157" s="2"/>
      <c r="B157" s="33"/>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row>
    <row r="158" spans="1:47" ht="15.75" customHeight="1" x14ac:dyDescent="0.25">
      <c r="A158" s="2"/>
      <c r="B158" s="33"/>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row>
    <row r="159" spans="1:47" ht="15.75" customHeight="1" x14ac:dyDescent="0.25">
      <c r="A159" s="2"/>
      <c r="B159" s="33"/>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row>
    <row r="160" spans="1:47" ht="15.75" customHeight="1" x14ac:dyDescent="0.25">
      <c r="A160" s="2"/>
      <c r="B160" s="33"/>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row>
    <row r="161" spans="1:47" ht="15.75" customHeight="1" x14ac:dyDescent="0.25">
      <c r="A161" s="2"/>
      <c r="B161" s="33"/>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row>
    <row r="162" spans="1:47" ht="15.75" customHeight="1" x14ac:dyDescent="0.25">
      <c r="A162" s="2"/>
      <c r="B162" s="33"/>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row>
    <row r="163" spans="1:47" ht="15.75" customHeight="1" x14ac:dyDescent="0.25">
      <c r="A163" s="2"/>
      <c r="B163" s="33"/>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row>
    <row r="164" spans="1:47" ht="15.75" customHeight="1" x14ac:dyDescent="0.25">
      <c r="A164" s="2"/>
      <c r="B164" s="33"/>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row>
    <row r="165" spans="1:47" ht="15.75" customHeight="1" x14ac:dyDescent="0.25">
      <c r="A165" s="2"/>
      <c r="B165" s="33"/>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row>
    <row r="166" spans="1:47" ht="15.75" customHeight="1" x14ac:dyDescent="0.25">
      <c r="A166" s="2"/>
      <c r="B166" s="33"/>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row>
    <row r="167" spans="1:47" ht="15.75" customHeight="1" x14ac:dyDescent="0.25">
      <c r="A167" s="2"/>
      <c r="B167" s="33"/>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row>
    <row r="168" spans="1:47" ht="15.75" customHeight="1" x14ac:dyDescent="0.25">
      <c r="A168" s="2"/>
      <c r="B168" s="33"/>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row>
    <row r="169" spans="1:47" ht="15.75" customHeight="1" x14ac:dyDescent="0.25">
      <c r="A169" s="2"/>
      <c r="B169" s="33"/>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row>
    <row r="170" spans="1:47" ht="15.75" customHeight="1" x14ac:dyDescent="0.25">
      <c r="A170" s="2"/>
      <c r="B170" s="33"/>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row>
    <row r="171" spans="1:47" ht="15.75" customHeight="1" x14ac:dyDescent="0.25">
      <c r="A171" s="2"/>
      <c r="B171" s="33"/>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row>
    <row r="172" spans="1:47" ht="15.75" customHeight="1" x14ac:dyDescent="0.25">
      <c r="A172" s="2"/>
      <c r="B172" s="33"/>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row>
    <row r="173" spans="1:47" ht="15.75" customHeight="1" x14ac:dyDescent="0.25">
      <c r="A173" s="2"/>
      <c r="B173" s="33"/>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row>
    <row r="174" spans="1:47" ht="15.75" customHeight="1" x14ac:dyDescent="0.25">
      <c r="A174" s="2"/>
      <c r="B174" s="33"/>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row>
    <row r="175" spans="1:47" ht="15.75" customHeight="1" x14ac:dyDescent="0.25">
      <c r="A175" s="2"/>
      <c r="B175" s="33"/>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row>
    <row r="176" spans="1:47" ht="15.75" customHeight="1" x14ac:dyDescent="0.25">
      <c r="A176" s="2"/>
      <c r="B176" s="33"/>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row>
    <row r="177" spans="1:47" ht="15.75" customHeight="1" x14ac:dyDescent="0.25">
      <c r="A177" s="2"/>
      <c r="B177" s="33"/>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row>
    <row r="178" spans="1:47" ht="15.75" customHeight="1" x14ac:dyDescent="0.25">
      <c r="A178" s="2"/>
      <c r="B178" s="33"/>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row>
    <row r="179" spans="1:47" ht="15.75" customHeight="1" x14ac:dyDescent="0.25">
      <c r="A179" s="2"/>
      <c r="B179" s="33"/>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row>
    <row r="180" spans="1:47" ht="15.75" customHeight="1" x14ac:dyDescent="0.25">
      <c r="A180" s="2"/>
      <c r="B180" s="33"/>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row>
    <row r="181" spans="1:47" ht="15.75" customHeight="1" x14ac:dyDescent="0.25">
      <c r="A181" s="2"/>
      <c r="B181" s="33"/>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row>
    <row r="182" spans="1:47" ht="15.75" customHeight="1" x14ac:dyDescent="0.25">
      <c r="A182" s="2"/>
      <c r="B182" s="33"/>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row>
    <row r="183" spans="1:47" ht="15.75" customHeight="1" x14ac:dyDescent="0.25">
      <c r="A183" s="2"/>
      <c r="B183" s="33"/>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row>
    <row r="184" spans="1:47" ht="15.75" customHeight="1" x14ac:dyDescent="0.25">
      <c r="A184" s="2"/>
      <c r="B184" s="33"/>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row>
    <row r="185" spans="1:47" ht="15.75" customHeight="1" x14ac:dyDescent="0.25">
      <c r="A185" s="2"/>
      <c r="B185" s="33"/>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row>
    <row r="186" spans="1:47" ht="15.75" customHeight="1" x14ac:dyDescent="0.25">
      <c r="A186" s="2"/>
      <c r="B186" s="33"/>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row>
    <row r="187" spans="1:47" ht="15.75" customHeight="1" x14ac:dyDescent="0.25">
      <c r="A187" s="2"/>
      <c r="B187" s="33"/>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row>
    <row r="188" spans="1:47" ht="15.75" customHeight="1" x14ac:dyDescent="0.25">
      <c r="A188" s="2"/>
      <c r="B188" s="33"/>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row>
    <row r="189" spans="1:47" ht="15.75" customHeight="1" x14ac:dyDescent="0.25">
      <c r="A189" s="2"/>
      <c r="B189" s="33"/>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row>
    <row r="190" spans="1:47" ht="15.75" customHeight="1" x14ac:dyDescent="0.25">
      <c r="A190" s="2"/>
      <c r="B190" s="33"/>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row>
    <row r="191" spans="1:47" ht="15.75" customHeight="1" x14ac:dyDescent="0.25">
      <c r="A191" s="2"/>
      <c r="B191" s="33"/>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row>
    <row r="192" spans="1:47" ht="15.75" customHeight="1" x14ac:dyDescent="0.25">
      <c r="A192" s="2"/>
      <c r="B192" s="33"/>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row>
    <row r="193" spans="1:47" ht="15.75" customHeight="1" x14ac:dyDescent="0.25">
      <c r="A193" s="2"/>
      <c r="B193" s="33"/>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row>
    <row r="194" spans="1:47" ht="15.75" customHeight="1" x14ac:dyDescent="0.25">
      <c r="A194" s="2"/>
      <c r="B194" s="33"/>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row>
    <row r="195" spans="1:47" ht="15.75" customHeight="1" x14ac:dyDescent="0.25">
      <c r="A195" s="2"/>
      <c r="B195" s="33"/>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row>
    <row r="196" spans="1:47" ht="15.75" customHeight="1" x14ac:dyDescent="0.25">
      <c r="A196" s="2"/>
      <c r="B196" s="33"/>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row>
    <row r="197" spans="1:47" ht="15.75" customHeight="1" x14ac:dyDescent="0.25">
      <c r="A197" s="2"/>
      <c r="B197" s="33"/>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row>
    <row r="198" spans="1:47" ht="15.75" customHeight="1" x14ac:dyDescent="0.25">
      <c r="A198" s="2"/>
      <c r="B198" s="33"/>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row>
    <row r="199" spans="1:47" ht="15.75" customHeight="1" x14ac:dyDescent="0.25">
      <c r="A199" s="2"/>
      <c r="B199" s="33"/>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row>
    <row r="200" spans="1:47" ht="15.75" customHeight="1" x14ac:dyDescent="0.25">
      <c r="A200" s="2"/>
      <c r="B200" s="33"/>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row>
    <row r="201" spans="1:47" ht="15.75" customHeight="1" x14ac:dyDescent="0.25">
      <c r="A201" s="2"/>
      <c r="B201" s="33"/>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row>
    <row r="202" spans="1:47" ht="15.75" customHeight="1" x14ac:dyDescent="0.25">
      <c r="A202" s="2"/>
      <c r="B202" s="33"/>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row>
    <row r="203" spans="1:47" ht="15.75" customHeight="1" x14ac:dyDescent="0.25">
      <c r="A203" s="2"/>
      <c r="B203" s="33"/>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row>
    <row r="204" spans="1:47" ht="15.75" customHeight="1" x14ac:dyDescent="0.25">
      <c r="A204" s="2"/>
      <c r="B204" s="33"/>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row>
    <row r="205" spans="1:47" ht="15.75" customHeight="1" x14ac:dyDescent="0.25">
      <c r="A205" s="2"/>
      <c r="B205" s="33"/>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row>
    <row r="206" spans="1:47" ht="15.75" customHeight="1" x14ac:dyDescent="0.25">
      <c r="A206" s="2"/>
      <c r="B206" s="33"/>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row>
    <row r="207" spans="1:47" ht="15.75" customHeight="1" x14ac:dyDescent="0.25">
      <c r="A207" s="2"/>
      <c r="B207" s="33"/>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row>
    <row r="208" spans="1:47" ht="15.75" customHeight="1" x14ac:dyDescent="0.25">
      <c r="A208" s="2"/>
      <c r="B208" s="33"/>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row>
    <row r="209" spans="1:47" ht="15.75" customHeight="1" x14ac:dyDescent="0.25">
      <c r="A209" s="2"/>
      <c r="B209" s="33"/>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row>
    <row r="210" spans="1:47" ht="15.75" customHeight="1" x14ac:dyDescent="0.25">
      <c r="A210" s="2"/>
      <c r="B210" s="33"/>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row>
    <row r="211" spans="1:47" ht="15.75" customHeight="1" x14ac:dyDescent="0.25">
      <c r="A211" s="2"/>
      <c r="B211" s="33"/>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row>
    <row r="212" spans="1:47" ht="15.75" customHeight="1" x14ac:dyDescent="0.25">
      <c r="A212" s="2"/>
      <c r="B212" s="33"/>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row>
    <row r="213" spans="1:47" ht="15.75" customHeight="1" x14ac:dyDescent="0.25">
      <c r="A213" s="2"/>
      <c r="B213" s="33"/>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row>
    <row r="214" spans="1:47" ht="15.75" customHeight="1" x14ac:dyDescent="0.25">
      <c r="A214" s="2"/>
      <c r="B214" s="33"/>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row>
    <row r="215" spans="1:47" ht="15.75" customHeight="1" x14ac:dyDescent="0.25">
      <c r="A215" s="2"/>
      <c r="B215" s="33"/>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row>
    <row r="216" spans="1:47" ht="15.75" customHeight="1" x14ac:dyDescent="0.25">
      <c r="A216" s="2"/>
      <c r="B216" s="33"/>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row>
    <row r="217" spans="1:47" ht="15.75" customHeight="1" x14ac:dyDescent="0.25">
      <c r="A217" s="2"/>
      <c r="B217" s="33"/>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row>
    <row r="218" spans="1:47" ht="15.75" customHeight="1" x14ac:dyDescent="0.25">
      <c r="A218" s="2"/>
      <c r="B218" s="33"/>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row>
    <row r="219" spans="1:47" ht="15.75" customHeight="1" x14ac:dyDescent="0.25">
      <c r="A219" s="2"/>
      <c r="B219" s="33"/>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row>
    <row r="220" spans="1:47" ht="15.75" customHeight="1" x14ac:dyDescent="0.25">
      <c r="A220" s="2"/>
      <c r="B220" s="33"/>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row>
    <row r="221" spans="1:47" ht="15.75" customHeight="1" x14ac:dyDescent="0.25">
      <c r="A221" s="2"/>
      <c r="B221" s="33"/>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row>
    <row r="222" spans="1:47" ht="15.75" customHeight="1" x14ac:dyDescent="0.25">
      <c r="A222" s="2"/>
      <c r="B222" s="33"/>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row>
    <row r="223" spans="1:47" ht="15.75" customHeight="1" x14ac:dyDescent="0.25">
      <c r="A223" s="2"/>
      <c r="B223" s="33"/>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row>
    <row r="224" spans="1:47" ht="15.75" customHeight="1" x14ac:dyDescent="0.25">
      <c r="A224" s="2"/>
      <c r="B224" s="33"/>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row>
    <row r="225" spans="1:47" ht="15.75" customHeight="1" x14ac:dyDescent="0.25">
      <c r="A225" s="2"/>
      <c r="B225" s="33"/>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row>
    <row r="226" spans="1:47" ht="15.75" customHeight="1" x14ac:dyDescent="0.25">
      <c r="A226" s="2"/>
      <c r="B226" s="33"/>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row>
    <row r="227" spans="1:47" ht="15.75" customHeight="1" x14ac:dyDescent="0.25">
      <c r="A227" s="2"/>
      <c r="B227" s="33"/>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row>
    <row r="228" spans="1:47" ht="15.75" customHeight="1" x14ac:dyDescent="0.25">
      <c r="A228" s="2"/>
      <c r="B228" s="33"/>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row>
    <row r="229" spans="1:47" ht="15.75" customHeight="1" x14ac:dyDescent="0.25">
      <c r="A229" s="2"/>
      <c r="B229" s="33"/>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row>
    <row r="230" spans="1:47" ht="15.75" customHeight="1" x14ac:dyDescent="0.25">
      <c r="A230" s="2"/>
      <c r="B230" s="33"/>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row>
    <row r="231" spans="1:47" ht="15.75" customHeight="1" x14ac:dyDescent="0.25">
      <c r="A231" s="2"/>
      <c r="B231" s="33"/>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row>
    <row r="232" spans="1:47" ht="15.75" customHeight="1" x14ac:dyDescent="0.25">
      <c r="A232" s="2"/>
      <c r="B232" s="33"/>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row>
    <row r="233" spans="1:47" ht="15.75" customHeight="1" x14ac:dyDescent="0.25">
      <c r="A233" s="2"/>
      <c r="B233" s="33"/>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row>
    <row r="234" spans="1:47" ht="15.75" customHeight="1" x14ac:dyDescent="0.25">
      <c r="A234" s="2"/>
      <c r="B234" s="33"/>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row>
    <row r="235" spans="1:47" ht="15.75" customHeight="1" x14ac:dyDescent="0.25">
      <c r="A235" s="2"/>
      <c r="B235" s="33"/>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row>
    <row r="236" spans="1:47" ht="15.75" customHeight="1" x14ac:dyDescent="0.25">
      <c r="A236" s="2"/>
      <c r="B236" s="33"/>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row>
    <row r="237" spans="1:47" ht="15.75" customHeight="1" x14ac:dyDescent="0.25">
      <c r="A237" s="2"/>
      <c r="B237" s="33"/>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row>
    <row r="238" spans="1:47" ht="15.75" customHeight="1" x14ac:dyDescent="0.25">
      <c r="A238" s="2"/>
      <c r="B238" s="33"/>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row>
    <row r="239" spans="1:47" ht="15.75" customHeight="1" x14ac:dyDescent="0.25">
      <c r="A239" s="2"/>
      <c r="B239" s="33"/>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row>
    <row r="240" spans="1:47" ht="15.75" customHeight="1" x14ac:dyDescent="0.25">
      <c r="A240" s="2"/>
      <c r="B240" s="33"/>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row>
    <row r="241" spans="1:47" ht="15.75" customHeight="1" x14ac:dyDescent="0.25">
      <c r="A241" s="2"/>
      <c r="B241" s="33"/>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row>
    <row r="242" spans="1:47" ht="15.75" customHeight="1" x14ac:dyDescent="0.25">
      <c r="A242" s="2"/>
      <c r="B242" s="33"/>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row>
    <row r="243" spans="1:47" ht="15.75" customHeight="1" x14ac:dyDescent="0.25">
      <c r="A243" s="2"/>
      <c r="B243" s="33"/>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row>
    <row r="244" spans="1:47" ht="15.75" customHeight="1" x14ac:dyDescent="0.25">
      <c r="A244" s="2"/>
      <c r="B244" s="33"/>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row>
    <row r="245" spans="1:47" ht="15.75" customHeight="1" x14ac:dyDescent="0.25">
      <c r="A245" s="2"/>
      <c r="B245" s="33"/>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row>
    <row r="246" spans="1:47" ht="15.75" customHeight="1" x14ac:dyDescent="0.25">
      <c r="A246" s="2"/>
      <c r="B246" s="33"/>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row>
    <row r="247" spans="1:47" ht="15.75" customHeight="1" x14ac:dyDescent="0.25">
      <c r="A247" s="2"/>
      <c r="B247" s="33"/>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row>
    <row r="248" spans="1:47" ht="15.75" customHeight="1" x14ac:dyDescent="0.25">
      <c r="A248" s="2"/>
      <c r="B248" s="33"/>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row>
    <row r="249" spans="1:47" ht="15.75" customHeight="1" x14ac:dyDescent="0.25">
      <c r="A249" s="2"/>
      <c r="B249" s="33"/>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row>
    <row r="250" spans="1:47" ht="15.75" customHeight="1" x14ac:dyDescent="0.25">
      <c r="A250" s="2"/>
      <c r="B250" s="33"/>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row>
    <row r="251" spans="1:47" ht="15.75" customHeight="1" x14ac:dyDescent="0.25">
      <c r="A251" s="2"/>
      <c r="B251" s="33"/>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row>
    <row r="252" spans="1:47" ht="15.75" customHeight="1" x14ac:dyDescent="0.25">
      <c r="A252" s="2"/>
      <c r="B252" s="33"/>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row>
    <row r="253" spans="1:47" ht="15.75" customHeight="1" x14ac:dyDescent="0.25">
      <c r="A253" s="2"/>
      <c r="B253" s="33"/>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row>
    <row r="254" spans="1:47" ht="15.75" customHeight="1" x14ac:dyDescent="0.25">
      <c r="A254" s="2"/>
      <c r="B254" s="33"/>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row>
    <row r="255" spans="1:47" ht="15.75" customHeight="1" x14ac:dyDescent="0.25">
      <c r="A255" s="2"/>
      <c r="B255" s="33"/>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row>
    <row r="256" spans="1:47" ht="15.75" customHeight="1" x14ac:dyDescent="0.25">
      <c r="A256" s="2"/>
      <c r="B256" s="33"/>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row>
    <row r="257" spans="1:47" ht="15.75" customHeight="1" x14ac:dyDescent="0.25">
      <c r="A257" s="2"/>
      <c r="B257" s="33"/>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row>
    <row r="258" spans="1:47" ht="15.75" customHeight="1" x14ac:dyDescent="0.25">
      <c r="A258" s="2"/>
      <c r="B258" s="33"/>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row>
    <row r="259" spans="1:47" ht="15.75" customHeight="1" x14ac:dyDescent="0.25">
      <c r="A259" s="2"/>
      <c r="B259" s="33"/>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row>
    <row r="260" spans="1:47" ht="15.75" customHeight="1" x14ac:dyDescent="0.25">
      <c r="A260" s="2"/>
      <c r="B260" s="33"/>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row>
    <row r="261" spans="1:47" ht="15.75" customHeight="1" x14ac:dyDescent="0.25">
      <c r="A261" s="2"/>
      <c r="B261" s="33"/>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row>
    <row r="262" spans="1:47" ht="15.75" customHeight="1" x14ac:dyDescent="0.25">
      <c r="A262" s="2"/>
      <c r="B262" s="33"/>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row>
    <row r="263" spans="1:47" ht="15.75" customHeight="1" x14ac:dyDescent="0.25">
      <c r="A263" s="2"/>
      <c r="B263" s="33"/>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row>
    <row r="264" spans="1:47" ht="15.75" customHeight="1" x14ac:dyDescent="0.25">
      <c r="A264" s="2"/>
      <c r="B264" s="33"/>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row>
    <row r="265" spans="1:47" ht="15.75" customHeight="1" x14ac:dyDescent="0.25">
      <c r="A265" s="2"/>
      <c r="B265" s="33"/>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row>
    <row r="266" spans="1:47" ht="15.75" customHeight="1" x14ac:dyDescent="0.25">
      <c r="A266" s="2"/>
      <c r="B266" s="33"/>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row>
    <row r="267" spans="1:47" ht="15.75" customHeight="1" x14ac:dyDescent="0.25">
      <c r="A267" s="2"/>
      <c r="B267" s="33"/>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row>
    <row r="268" spans="1:47" ht="15.75" customHeight="1" x14ac:dyDescent="0.25">
      <c r="A268" s="2"/>
      <c r="B268" s="33"/>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row>
    <row r="269" spans="1:47" ht="15.75" customHeight="1" x14ac:dyDescent="0.25">
      <c r="A269" s="2"/>
      <c r="B269" s="33"/>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row>
    <row r="270" spans="1:47" ht="15.75" customHeight="1" x14ac:dyDescent="0.25">
      <c r="A270" s="2"/>
      <c r="B270" s="33"/>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row>
    <row r="271" spans="1:47" ht="15.75" customHeight="1" x14ac:dyDescent="0.25">
      <c r="A271" s="2"/>
      <c r="B271" s="33"/>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row>
    <row r="272" spans="1:47" ht="15.75" customHeight="1" x14ac:dyDescent="0.25">
      <c r="A272" s="2"/>
      <c r="B272" s="33"/>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row>
    <row r="273" spans="1:47" ht="15.75" customHeight="1" x14ac:dyDescent="0.25">
      <c r="A273" s="2"/>
      <c r="B273" s="33"/>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row>
    <row r="274" spans="1:47" ht="15.75" customHeight="1" x14ac:dyDescent="0.25">
      <c r="A274" s="2"/>
      <c r="B274" s="33"/>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row>
    <row r="275" spans="1:47" ht="15.75" customHeight="1" x14ac:dyDescent="0.25">
      <c r="A275" s="2"/>
      <c r="B275" s="33"/>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row>
    <row r="276" spans="1:47" ht="15.75" customHeight="1" x14ac:dyDescent="0.25">
      <c r="A276" s="2"/>
      <c r="B276" s="33"/>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row>
    <row r="277" spans="1:47" ht="15.75" customHeight="1" x14ac:dyDescent="0.25">
      <c r="A277" s="2"/>
      <c r="B277" s="33"/>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row>
    <row r="278" spans="1:47" ht="15.75" customHeight="1" x14ac:dyDescent="0.25">
      <c r="A278" s="2"/>
      <c r="B278" s="33"/>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row>
    <row r="279" spans="1:47" ht="15.75" customHeight="1" x14ac:dyDescent="0.25">
      <c r="A279" s="2"/>
      <c r="B279" s="33"/>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row>
    <row r="280" spans="1:47" ht="15.75" customHeight="1" x14ac:dyDescent="0.25">
      <c r="A280" s="2"/>
      <c r="B280" s="33"/>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row>
    <row r="281" spans="1:47" ht="15.75" customHeight="1" x14ac:dyDescent="0.25">
      <c r="A281" s="2"/>
      <c r="B281" s="33"/>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row>
    <row r="282" spans="1:47" ht="15.75" customHeight="1" x14ac:dyDescent="0.25">
      <c r="A282" s="2"/>
      <c r="B282" s="33"/>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row>
    <row r="283" spans="1:47" ht="15.75" customHeight="1" x14ac:dyDescent="0.25">
      <c r="A283" s="2"/>
      <c r="B283" s="33"/>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row>
    <row r="284" spans="1:47" ht="15.75" customHeight="1" x14ac:dyDescent="0.25">
      <c r="A284" s="2"/>
      <c r="B284" s="33"/>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row>
    <row r="285" spans="1:47" ht="15.75" customHeight="1" x14ac:dyDescent="0.25">
      <c r="A285" s="2"/>
      <c r="B285" s="33"/>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row>
    <row r="286" spans="1:47" ht="15.75" customHeight="1" x14ac:dyDescent="0.25">
      <c r="A286" s="2"/>
      <c r="B286" s="33"/>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row>
    <row r="287" spans="1:47" ht="15.75" customHeight="1" x14ac:dyDescent="0.25">
      <c r="A287" s="2"/>
      <c r="B287" s="33"/>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row>
    <row r="288" spans="1:47" ht="15.75" customHeight="1" x14ac:dyDescent="0.25">
      <c r="A288" s="2"/>
      <c r="B288" s="33"/>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row>
    <row r="289" spans="1:47" ht="15.75" customHeight="1" x14ac:dyDescent="0.25">
      <c r="A289" s="2"/>
      <c r="B289" s="33"/>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row>
    <row r="290" spans="1:47" ht="15.75" customHeight="1" x14ac:dyDescent="0.25">
      <c r="A290" s="2"/>
      <c r="B290" s="33"/>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row>
    <row r="291" spans="1:47" ht="15.75" customHeight="1" x14ac:dyDescent="0.25">
      <c r="A291" s="2"/>
      <c r="B291" s="33"/>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row>
    <row r="292" spans="1:47" ht="15.75" customHeight="1" x14ac:dyDescent="0.25">
      <c r="A292" s="2"/>
      <c r="B292" s="33"/>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row>
    <row r="293" spans="1:47" ht="15.75" customHeight="1" x14ac:dyDescent="0.25">
      <c r="A293" s="2"/>
      <c r="B293" s="33"/>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row>
    <row r="294" spans="1:47" ht="15.75" customHeight="1" x14ac:dyDescent="0.25">
      <c r="A294" s="2"/>
      <c r="B294" s="33"/>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row>
    <row r="295" spans="1:47" ht="15.75" customHeight="1" x14ac:dyDescent="0.25">
      <c r="A295" s="2"/>
      <c r="B295" s="33"/>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row>
    <row r="296" spans="1:47" ht="15.75" customHeight="1" x14ac:dyDescent="0.25">
      <c r="A296" s="2"/>
      <c r="B296" s="33"/>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row>
    <row r="297" spans="1:47" ht="15.75" customHeight="1" x14ac:dyDescent="0.25">
      <c r="A297" s="2"/>
      <c r="B297" s="33"/>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row>
    <row r="298" spans="1:47" ht="15.75" customHeight="1" x14ac:dyDescent="0.25">
      <c r="A298" s="2"/>
      <c r="B298" s="33"/>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row>
    <row r="299" spans="1:47" ht="15.75" customHeight="1" x14ac:dyDescent="0.25">
      <c r="A299" s="2"/>
      <c r="B299" s="33"/>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row>
    <row r="300" spans="1:47" ht="15.75" customHeight="1" x14ac:dyDescent="0.25">
      <c r="A300" s="2"/>
      <c r="B300" s="33"/>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row>
    <row r="301" spans="1:47" ht="15.75" customHeight="1" x14ac:dyDescent="0.25">
      <c r="A301" s="2"/>
      <c r="B301" s="33"/>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row>
    <row r="302" spans="1:47" ht="15.75" customHeight="1" x14ac:dyDescent="0.25">
      <c r="A302" s="2"/>
      <c r="B302" s="33"/>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row>
    <row r="303" spans="1:47" ht="15.75" customHeight="1" x14ac:dyDescent="0.25">
      <c r="A303" s="2"/>
      <c r="B303" s="33"/>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row>
    <row r="304" spans="1:47" ht="15.75" customHeight="1" x14ac:dyDescent="0.25">
      <c r="A304" s="2"/>
      <c r="B304" s="33"/>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row>
    <row r="305" spans="1:47" ht="15.75" customHeight="1" x14ac:dyDescent="0.25">
      <c r="A305" s="2"/>
      <c r="B305" s="33"/>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row>
    <row r="306" spans="1:47" ht="15.75" customHeight="1" x14ac:dyDescent="0.25">
      <c r="A306" s="2"/>
      <c r="B306" s="33"/>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row>
    <row r="307" spans="1:47" ht="15.75" customHeight="1" x14ac:dyDescent="0.25">
      <c r="A307" s="2"/>
      <c r="B307" s="33"/>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row>
    <row r="308" spans="1:47" ht="15.75" customHeight="1" x14ac:dyDescent="0.25">
      <c r="A308" s="2"/>
      <c r="B308" s="33"/>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row>
    <row r="309" spans="1:47" ht="15.75" customHeight="1" x14ac:dyDescent="0.25">
      <c r="A309" s="2"/>
      <c r="B309" s="33"/>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row>
    <row r="310" spans="1:47" ht="15.75" customHeight="1" x14ac:dyDescent="0.25">
      <c r="A310" s="2"/>
      <c r="B310" s="33"/>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row>
    <row r="311" spans="1:47" ht="15.75" customHeight="1" x14ac:dyDescent="0.25">
      <c r="A311" s="2"/>
      <c r="B311" s="33"/>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row>
    <row r="312" spans="1:47" ht="15.75" customHeight="1" x14ac:dyDescent="0.25">
      <c r="A312" s="2"/>
      <c r="B312" s="33"/>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row>
    <row r="313" spans="1:47" ht="15.75" customHeight="1" x14ac:dyDescent="0.25">
      <c r="A313" s="2"/>
      <c r="B313" s="33"/>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row>
    <row r="314" spans="1:47" ht="15.75" customHeight="1" x14ac:dyDescent="0.25">
      <c r="A314" s="2"/>
      <c r="B314" s="33"/>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row>
    <row r="315" spans="1:47" ht="15.75" customHeight="1" x14ac:dyDescent="0.25">
      <c r="A315" s="2"/>
      <c r="B315" s="33"/>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row>
    <row r="316" spans="1:47" ht="15.75" customHeight="1" x14ac:dyDescent="0.25">
      <c r="A316" s="2"/>
      <c r="B316" s="33"/>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row>
    <row r="317" spans="1:47" ht="15.75" customHeight="1" x14ac:dyDescent="0.25">
      <c r="A317" s="2"/>
      <c r="B317" s="33"/>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row>
    <row r="318" spans="1:47" ht="15.75" customHeight="1" x14ac:dyDescent="0.25">
      <c r="A318" s="2"/>
      <c r="B318" s="33"/>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row>
    <row r="319" spans="1:47" ht="15.75" customHeight="1" x14ac:dyDescent="0.25">
      <c r="A319" s="2"/>
      <c r="B319" s="33"/>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row>
    <row r="320" spans="1:47" ht="15.75" customHeight="1" x14ac:dyDescent="0.25">
      <c r="A320" s="2"/>
      <c r="B320" s="33"/>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row>
    <row r="321" spans="1:47" ht="15.75" customHeight="1" x14ac:dyDescent="0.25">
      <c r="A321" s="2"/>
      <c r="B321" s="33"/>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row>
    <row r="322" spans="1:47" ht="15.75" customHeight="1" x14ac:dyDescent="0.25">
      <c r="A322" s="2"/>
      <c r="B322" s="33"/>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row>
    <row r="323" spans="1:47" ht="15.75" customHeight="1" x14ac:dyDescent="0.25">
      <c r="A323" s="2"/>
      <c r="B323" s="33"/>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row>
    <row r="324" spans="1:47" ht="15.75" customHeight="1" x14ac:dyDescent="0.25">
      <c r="A324" s="2"/>
      <c r="B324" s="33"/>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row>
    <row r="325" spans="1:47" ht="15.75" customHeight="1" x14ac:dyDescent="0.25">
      <c r="A325" s="2"/>
      <c r="B325" s="33"/>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row>
    <row r="326" spans="1:47" ht="15.75" customHeight="1" x14ac:dyDescent="0.25">
      <c r="A326" s="2"/>
      <c r="B326" s="33"/>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row>
    <row r="327" spans="1:47" ht="15.75" customHeight="1" x14ac:dyDescent="0.25">
      <c r="A327" s="2"/>
      <c r="B327" s="33"/>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row>
    <row r="328" spans="1:47" ht="15.75" customHeight="1" x14ac:dyDescent="0.25">
      <c r="A328" s="2"/>
      <c r="B328" s="33"/>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row>
    <row r="329" spans="1:47" ht="15.75" customHeight="1" x14ac:dyDescent="0.25">
      <c r="A329" s="2"/>
      <c r="B329" s="33"/>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row>
    <row r="330" spans="1:47" ht="15.75" customHeight="1" x14ac:dyDescent="0.25">
      <c r="A330" s="2"/>
      <c r="B330" s="33"/>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row>
    <row r="331" spans="1:47" ht="15.75" customHeight="1" x14ac:dyDescent="0.25">
      <c r="A331" s="2"/>
      <c r="B331" s="33"/>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row>
    <row r="332" spans="1:47" ht="15.75" customHeight="1" x14ac:dyDescent="0.25">
      <c r="A332" s="2"/>
      <c r="B332" s="33"/>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row>
    <row r="333" spans="1:47" ht="15.75" customHeight="1" x14ac:dyDescent="0.25">
      <c r="A333" s="2"/>
      <c r="B333" s="33"/>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row>
    <row r="334" spans="1:47" ht="15.75" customHeight="1" x14ac:dyDescent="0.25">
      <c r="A334" s="2"/>
      <c r="B334" s="33"/>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row>
    <row r="335" spans="1:47" ht="15.75" customHeight="1" x14ac:dyDescent="0.25">
      <c r="A335" s="2"/>
      <c r="B335" s="33"/>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row>
    <row r="336" spans="1:47" ht="15.75" customHeight="1" x14ac:dyDescent="0.25">
      <c r="A336" s="2"/>
      <c r="B336" s="33"/>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row>
    <row r="337" spans="1:47" ht="15.75" customHeight="1" x14ac:dyDescent="0.25">
      <c r="A337" s="2"/>
      <c r="B337" s="33"/>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row>
    <row r="338" spans="1:47" ht="15.75" customHeight="1" x14ac:dyDescent="0.25">
      <c r="A338" s="2"/>
      <c r="B338" s="33"/>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row>
    <row r="339" spans="1:47" ht="15.75" customHeight="1" x14ac:dyDescent="0.25">
      <c r="A339" s="2"/>
      <c r="B339" s="33"/>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row>
    <row r="340" spans="1:47" ht="15.75" customHeight="1" x14ac:dyDescent="0.25">
      <c r="A340" s="2"/>
      <c r="B340" s="33"/>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row>
    <row r="341" spans="1:47" ht="15.75" customHeight="1" x14ac:dyDescent="0.25">
      <c r="A341" s="2"/>
      <c r="B341" s="33"/>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row>
    <row r="342" spans="1:47" ht="15.75" customHeight="1" x14ac:dyDescent="0.25">
      <c r="A342" s="2"/>
      <c r="B342" s="33"/>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row>
    <row r="343" spans="1:47" ht="15.75" customHeight="1" x14ac:dyDescent="0.25">
      <c r="A343" s="2"/>
      <c r="B343" s="33"/>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row>
    <row r="344" spans="1:47" ht="15.75" customHeight="1" x14ac:dyDescent="0.25">
      <c r="A344" s="2"/>
      <c r="B344" s="33"/>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row>
    <row r="345" spans="1:47" ht="15.75" customHeight="1" x14ac:dyDescent="0.25">
      <c r="A345" s="2"/>
      <c r="B345" s="33"/>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row>
    <row r="346" spans="1:47" ht="15.75" customHeight="1" x14ac:dyDescent="0.25">
      <c r="A346" s="2"/>
      <c r="B346" s="33"/>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row>
    <row r="347" spans="1:47" ht="15.75" customHeight="1" x14ac:dyDescent="0.25">
      <c r="A347" s="2"/>
      <c r="B347" s="33"/>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row>
    <row r="348" spans="1:47" ht="15.75" customHeight="1" x14ac:dyDescent="0.25">
      <c r="A348" s="2"/>
      <c r="B348" s="33"/>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row>
    <row r="349" spans="1:47" ht="15.75" customHeight="1" x14ac:dyDescent="0.25">
      <c r="A349" s="2"/>
      <c r="B349" s="33"/>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row>
    <row r="350" spans="1:47" ht="15.75" customHeight="1" x14ac:dyDescent="0.25">
      <c r="A350" s="2"/>
      <c r="B350" s="33"/>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row>
    <row r="351" spans="1:47" ht="15.75" customHeight="1" x14ac:dyDescent="0.25">
      <c r="A351" s="2"/>
      <c r="B351" s="33"/>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row>
    <row r="352" spans="1:47" ht="15.75" customHeight="1" x14ac:dyDescent="0.25">
      <c r="A352" s="2"/>
      <c r="B352" s="33"/>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row>
    <row r="353" spans="1:47" ht="15.75" customHeight="1" x14ac:dyDescent="0.25">
      <c r="A353" s="2"/>
      <c r="B353" s="33"/>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row>
    <row r="354" spans="1:47" ht="15.75" customHeight="1" x14ac:dyDescent="0.25">
      <c r="A354" s="2"/>
      <c r="B354" s="33"/>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row>
    <row r="355" spans="1:47" ht="15.75" customHeight="1" x14ac:dyDescent="0.25">
      <c r="A355" s="2"/>
      <c r="B355" s="33"/>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row>
    <row r="356" spans="1:47" ht="15.75" customHeight="1" x14ac:dyDescent="0.25">
      <c r="A356" s="2"/>
      <c r="B356" s="33"/>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row>
    <row r="357" spans="1:47" ht="15.75" customHeight="1" x14ac:dyDescent="0.25">
      <c r="A357" s="2"/>
      <c r="B357" s="33"/>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row>
    <row r="358" spans="1:47" ht="15.75" customHeight="1" x14ac:dyDescent="0.25">
      <c r="A358" s="2"/>
      <c r="B358" s="33"/>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row>
    <row r="359" spans="1:47" ht="15.75" customHeight="1" x14ac:dyDescent="0.25">
      <c r="A359" s="2"/>
      <c r="B359" s="33"/>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row>
    <row r="360" spans="1:47" ht="15.75" customHeight="1" x14ac:dyDescent="0.25">
      <c r="A360" s="2"/>
      <c r="B360" s="33"/>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row>
    <row r="361" spans="1:47" ht="15.75" customHeight="1" x14ac:dyDescent="0.25">
      <c r="A361" s="2"/>
      <c r="B361" s="33"/>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row>
    <row r="362" spans="1:47" ht="15.75" customHeight="1" x14ac:dyDescent="0.25">
      <c r="A362" s="2"/>
      <c r="B362" s="33"/>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row>
    <row r="363" spans="1:47" ht="15.75" customHeight="1" x14ac:dyDescent="0.25">
      <c r="A363" s="2"/>
      <c r="B363" s="33"/>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row>
    <row r="364" spans="1:47" ht="15.75" customHeight="1" x14ac:dyDescent="0.25">
      <c r="A364" s="2"/>
      <c r="B364" s="33"/>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row>
    <row r="365" spans="1:47" ht="15.75" customHeight="1" x14ac:dyDescent="0.25">
      <c r="A365" s="2"/>
      <c r="B365" s="33"/>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row>
    <row r="366" spans="1:47" ht="15.75" customHeight="1" x14ac:dyDescent="0.25">
      <c r="A366" s="2"/>
      <c r="B366" s="33"/>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row>
    <row r="367" spans="1:47" ht="15.75" customHeight="1" x14ac:dyDescent="0.25">
      <c r="A367" s="2"/>
      <c r="B367" s="33"/>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row>
    <row r="368" spans="1:47" ht="15.75" customHeight="1" x14ac:dyDescent="0.25">
      <c r="A368" s="2"/>
      <c r="B368" s="33"/>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row>
    <row r="369" spans="1:47" ht="15.75" customHeight="1" x14ac:dyDescent="0.25">
      <c r="A369" s="2"/>
      <c r="B369" s="33"/>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row>
    <row r="370" spans="1:47" ht="15.75" customHeight="1" x14ac:dyDescent="0.25">
      <c r="A370" s="2"/>
      <c r="B370" s="33"/>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row>
    <row r="371" spans="1:47" ht="15.75" customHeight="1" x14ac:dyDescent="0.25">
      <c r="A371" s="2"/>
      <c r="B371" s="33"/>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row>
    <row r="372" spans="1:47" ht="15.75" customHeight="1" x14ac:dyDescent="0.25">
      <c r="A372" s="2"/>
      <c r="B372" s="33"/>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row>
    <row r="373" spans="1:47" ht="15.75" customHeight="1" x14ac:dyDescent="0.25">
      <c r="A373" s="2"/>
      <c r="B373" s="33"/>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row>
    <row r="374" spans="1:47" ht="15.75" customHeight="1" x14ac:dyDescent="0.25">
      <c r="A374" s="2"/>
      <c r="B374" s="33"/>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row>
    <row r="375" spans="1:47" ht="15.75" customHeight="1" x14ac:dyDescent="0.25">
      <c r="A375" s="2"/>
      <c r="B375" s="33"/>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row>
    <row r="376" spans="1:47" ht="15.75" customHeight="1" x14ac:dyDescent="0.25">
      <c r="A376" s="2"/>
      <c r="B376" s="33"/>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row>
    <row r="377" spans="1:47" ht="15.75" customHeight="1" x14ac:dyDescent="0.25">
      <c r="A377" s="2"/>
      <c r="B377" s="33"/>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row>
    <row r="378" spans="1:47" ht="15.75" customHeight="1" x14ac:dyDescent="0.25">
      <c r="A378" s="2"/>
      <c r="B378" s="33"/>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row>
    <row r="379" spans="1:47" ht="15.75" customHeight="1" x14ac:dyDescent="0.25">
      <c r="A379" s="2"/>
      <c r="B379" s="33"/>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row>
    <row r="380" spans="1:47" ht="15.75" customHeight="1" x14ac:dyDescent="0.25">
      <c r="A380" s="2"/>
      <c r="B380" s="33"/>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row>
    <row r="381" spans="1:47" ht="15.75" customHeight="1" x14ac:dyDescent="0.25">
      <c r="A381" s="2"/>
      <c r="B381" s="33"/>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row>
    <row r="382" spans="1:47" ht="15.75" customHeight="1" x14ac:dyDescent="0.25">
      <c r="A382" s="2"/>
      <c r="B382" s="33"/>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row>
    <row r="383" spans="1:47" ht="15.75" customHeight="1" x14ac:dyDescent="0.25">
      <c r="A383" s="2"/>
      <c r="B383" s="33"/>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row>
    <row r="384" spans="1:47" ht="15.75" customHeight="1" x14ac:dyDescent="0.25">
      <c r="A384" s="2"/>
      <c r="B384" s="33"/>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row>
    <row r="385" spans="1:47" ht="15.75" customHeight="1" x14ac:dyDescent="0.25">
      <c r="A385" s="2"/>
      <c r="B385" s="33"/>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row>
    <row r="386" spans="1:47" ht="15.75" customHeight="1" x14ac:dyDescent="0.25">
      <c r="A386" s="2"/>
      <c r="B386" s="33"/>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row>
    <row r="387" spans="1:47" ht="15.75" customHeight="1" x14ac:dyDescent="0.25">
      <c r="A387" s="2"/>
      <c r="B387" s="33"/>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row>
    <row r="388" spans="1:47" ht="15.75" customHeight="1" x14ac:dyDescent="0.25">
      <c r="A388" s="2"/>
      <c r="B388" s="33"/>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row>
    <row r="389" spans="1:47" ht="15.75" customHeight="1" x14ac:dyDescent="0.25">
      <c r="A389" s="2"/>
      <c r="B389" s="33"/>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row>
    <row r="390" spans="1:47" ht="15.75" customHeight="1" x14ac:dyDescent="0.25">
      <c r="A390" s="2"/>
      <c r="B390" s="33"/>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row>
    <row r="391" spans="1:47" ht="15.75" customHeight="1" x14ac:dyDescent="0.25">
      <c r="A391" s="2"/>
      <c r="B391" s="33"/>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row>
    <row r="392" spans="1:47" ht="15.75" customHeight="1" x14ac:dyDescent="0.25">
      <c r="A392" s="2"/>
      <c r="B392" s="33"/>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row>
    <row r="393" spans="1:47" ht="15.75" customHeight="1" x14ac:dyDescent="0.25">
      <c r="A393" s="2"/>
      <c r="B393" s="33"/>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row>
    <row r="394" spans="1:47" ht="15.75" customHeight="1" x14ac:dyDescent="0.25">
      <c r="A394" s="2"/>
      <c r="B394" s="33"/>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row>
    <row r="395" spans="1:47" ht="15.75" customHeight="1" x14ac:dyDescent="0.25">
      <c r="A395" s="2"/>
      <c r="B395" s="33"/>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row>
    <row r="396" spans="1:47" ht="15.75" customHeight="1" x14ac:dyDescent="0.25">
      <c r="A396" s="2"/>
      <c r="B396" s="33"/>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row>
    <row r="397" spans="1:47" ht="15.75" customHeight="1" x14ac:dyDescent="0.25">
      <c r="A397" s="2"/>
      <c r="B397" s="33"/>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row>
    <row r="398" spans="1:47" ht="15.75" customHeight="1" x14ac:dyDescent="0.25">
      <c r="A398" s="2"/>
      <c r="B398" s="33"/>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row>
    <row r="399" spans="1:47" ht="15.75" customHeight="1" x14ac:dyDescent="0.25">
      <c r="A399" s="2"/>
      <c r="B399" s="33"/>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row>
    <row r="400" spans="1:47" ht="15.75" customHeight="1" x14ac:dyDescent="0.25">
      <c r="A400" s="2"/>
      <c r="B400" s="33"/>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row>
    <row r="401" spans="1:47" ht="15.75" customHeight="1" x14ac:dyDescent="0.25">
      <c r="A401" s="2"/>
      <c r="B401" s="33"/>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row>
    <row r="402" spans="1:47" ht="15.75" customHeight="1" x14ac:dyDescent="0.25">
      <c r="A402" s="2"/>
      <c r="B402" s="33"/>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row>
    <row r="403" spans="1:47" ht="15.75" customHeight="1" x14ac:dyDescent="0.25">
      <c r="A403" s="2"/>
      <c r="B403" s="33"/>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row>
    <row r="404" spans="1:47" ht="15.75" customHeight="1" x14ac:dyDescent="0.25">
      <c r="A404" s="2"/>
      <c r="B404" s="33"/>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row>
    <row r="405" spans="1:47" ht="15.75" customHeight="1" x14ac:dyDescent="0.25">
      <c r="A405" s="2"/>
      <c r="B405" s="33"/>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row>
    <row r="406" spans="1:47" ht="15.75" customHeight="1" x14ac:dyDescent="0.25">
      <c r="A406" s="2"/>
      <c r="B406" s="33"/>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row>
    <row r="407" spans="1:47" ht="15.75" customHeight="1" x14ac:dyDescent="0.25">
      <c r="A407" s="2"/>
      <c r="B407" s="33"/>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row>
    <row r="408" spans="1:47" ht="15.75" customHeight="1" x14ac:dyDescent="0.25">
      <c r="A408" s="2"/>
      <c r="B408" s="33"/>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row>
    <row r="409" spans="1:47" ht="15.75" customHeight="1" x14ac:dyDescent="0.25">
      <c r="A409" s="2"/>
      <c r="B409" s="33"/>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row>
    <row r="410" spans="1:47" ht="15.75" customHeight="1" x14ac:dyDescent="0.25">
      <c r="A410" s="2"/>
      <c r="B410" s="33"/>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row>
    <row r="411" spans="1:47" ht="15.75" customHeight="1" x14ac:dyDescent="0.25">
      <c r="A411" s="2"/>
      <c r="B411" s="33"/>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row>
    <row r="412" spans="1:47" ht="15.75" customHeight="1" x14ac:dyDescent="0.25">
      <c r="A412" s="2"/>
      <c r="B412" s="33"/>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row>
    <row r="413" spans="1:47" ht="15.75" customHeight="1" x14ac:dyDescent="0.25">
      <c r="A413" s="2"/>
      <c r="B413" s="33"/>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row>
    <row r="414" spans="1:47" ht="15.75" customHeight="1" x14ac:dyDescent="0.25">
      <c r="A414" s="2"/>
      <c r="B414" s="33"/>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row>
    <row r="415" spans="1:47" ht="15.75" customHeight="1" x14ac:dyDescent="0.25">
      <c r="A415" s="2"/>
      <c r="B415" s="33"/>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row>
    <row r="416" spans="1:47" ht="15.75" customHeight="1" x14ac:dyDescent="0.25">
      <c r="A416" s="2"/>
      <c r="B416" s="33"/>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row>
    <row r="417" spans="1:47" ht="15.75" customHeight="1" x14ac:dyDescent="0.25">
      <c r="A417" s="2"/>
      <c r="B417" s="33"/>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row>
    <row r="418" spans="1:47" ht="15.75" customHeight="1" x14ac:dyDescent="0.25">
      <c r="A418" s="2"/>
      <c r="B418" s="33"/>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row>
    <row r="419" spans="1:47" ht="15.75" customHeight="1" x14ac:dyDescent="0.25">
      <c r="A419" s="2"/>
      <c r="B419" s="33"/>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row>
    <row r="420" spans="1:47" ht="15.75" customHeight="1" x14ac:dyDescent="0.25">
      <c r="A420" s="2"/>
      <c r="B420" s="33"/>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row>
    <row r="421" spans="1:47" ht="15.75" customHeight="1" x14ac:dyDescent="0.25">
      <c r="A421" s="2"/>
      <c r="B421" s="33"/>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row>
    <row r="422" spans="1:47" ht="15.75" customHeight="1" x14ac:dyDescent="0.25">
      <c r="A422" s="2"/>
      <c r="B422" s="33"/>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row>
    <row r="423" spans="1:47" ht="15.75" customHeight="1" x14ac:dyDescent="0.25">
      <c r="A423" s="2"/>
      <c r="B423" s="33"/>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row>
    <row r="424" spans="1:47" ht="15.75" customHeight="1" x14ac:dyDescent="0.25">
      <c r="A424" s="2"/>
      <c r="B424" s="33"/>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row>
    <row r="425" spans="1:47" ht="15.75" customHeight="1" x14ac:dyDescent="0.25">
      <c r="A425" s="2"/>
      <c r="B425" s="33"/>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row>
    <row r="426" spans="1:47" ht="15.75" customHeight="1" x14ac:dyDescent="0.25">
      <c r="A426" s="2"/>
      <c r="B426" s="33"/>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row>
    <row r="427" spans="1:47" ht="15.75" customHeight="1" x14ac:dyDescent="0.25">
      <c r="A427" s="2"/>
      <c r="B427" s="33"/>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row>
    <row r="428" spans="1:47" ht="15.75" customHeight="1" x14ac:dyDescent="0.25">
      <c r="A428" s="2"/>
      <c r="B428" s="33"/>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row>
    <row r="429" spans="1:47" ht="15.75" customHeight="1" x14ac:dyDescent="0.25">
      <c r="A429" s="2"/>
      <c r="B429" s="33"/>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row>
    <row r="430" spans="1:47" ht="15.75" customHeight="1" x14ac:dyDescent="0.25">
      <c r="A430" s="2"/>
      <c r="B430" s="33"/>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row>
    <row r="431" spans="1:47" ht="15.75" customHeight="1" x14ac:dyDescent="0.25">
      <c r="A431" s="2"/>
      <c r="B431" s="33"/>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row>
    <row r="432" spans="1:47" ht="15.75" customHeight="1" x14ac:dyDescent="0.25">
      <c r="A432" s="2"/>
      <c r="B432" s="33"/>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row>
    <row r="433" spans="1:47" ht="15.75" customHeight="1" x14ac:dyDescent="0.25">
      <c r="A433" s="2"/>
      <c r="B433" s="33"/>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row>
    <row r="434" spans="1:47" ht="15.75" customHeight="1" x14ac:dyDescent="0.25">
      <c r="A434" s="2"/>
      <c r="B434" s="33"/>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row>
    <row r="435" spans="1:47" ht="15.75" customHeight="1" x14ac:dyDescent="0.25">
      <c r="A435" s="2"/>
      <c r="B435" s="33"/>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row>
    <row r="436" spans="1:47" ht="15.75" customHeight="1" x14ac:dyDescent="0.25">
      <c r="A436" s="2"/>
      <c r="B436" s="33"/>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row>
    <row r="437" spans="1:47" ht="15.75" customHeight="1" x14ac:dyDescent="0.25">
      <c r="A437" s="2"/>
      <c r="B437" s="33"/>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row>
    <row r="438" spans="1:47" ht="15.75" customHeight="1" x14ac:dyDescent="0.25">
      <c r="A438" s="2"/>
      <c r="B438" s="33"/>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row>
    <row r="439" spans="1:47" ht="15.75" customHeight="1" x14ac:dyDescent="0.25">
      <c r="A439" s="2"/>
      <c r="B439" s="33"/>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row>
    <row r="440" spans="1:47" ht="15.75" customHeight="1" x14ac:dyDescent="0.25">
      <c r="A440" s="2"/>
      <c r="B440" s="33"/>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row>
    <row r="441" spans="1:47" ht="15.75" customHeight="1" x14ac:dyDescent="0.25">
      <c r="A441" s="2"/>
      <c r="B441" s="33"/>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row>
    <row r="442" spans="1:47" ht="15.75" customHeight="1" x14ac:dyDescent="0.25">
      <c r="A442" s="2"/>
      <c r="B442" s="33"/>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row>
    <row r="443" spans="1:47" ht="15.75" customHeight="1" x14ac:dyDescent="0.25">
      <c r="A443" s="2"/>
      <c r="B443" s="33"/>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row>
    <row r="444" spans="1:47" ht="15.75" customHeight="1" x14ac:dyDescent="0.25">
      <c r="A444" s="2"/>
      <c r="B444" s="33"/>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row>
    <row r="445" spans="1:47" ht="15.75" customHeight="1" x14ac:dyDescent="0.25">
      <c r="A445" s="2"/>
      <c r="B445" s="33"/>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row>
    <row r="446" spans="1:47" ht="15.75" customHeight="1" x14ac:dyDescent="0.25">
      <c r="A446" s="2"/>
      <c r="B446" s="33"/>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row>
    <row r="447" spans="1:47" ht="15.75" customHeight="1" x14ac:dyDescent="0.25">
      <c r="A447" s="2"/>
      <c r="B447" s="33"/>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row>
    <row r="448" spans="1:47" ht="15.75" customHeight="1" x14ac:dyDescent="0.25">
      <c r="A448" s="2"/>
      <c r="B448" s="33"/>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row>
    <row r="449" spans="1:47" ht="15.75" customHeight="1" x14ac:dyDescent="0.25">
      <c r="A449" s="2"/>
      <c r="B449" s="33"/>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row>
    <row r="450" spans="1:47" ht="15.75" customHeight="1" x14ac:dyDescent="0.25">
      <c r="A450" s="2"/>
      <c r="B450" s="33"/>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row>
    <row r="451" spans="1:47" ht="15.75" customHeight="1" x14ac:dyDescent="0.25">
      <c r="A451" s="2"/>
      <c r="B451" s="33"/>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row>
    <row r="452" spans="1:47" ht="15.75" customHeight="1" x14ac:dyDescent="0.25">
      <c r="A452" s="2"/>
      <c r="B452" s="33"/>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row>
    <row r="453" spans="1:47" ht="15.75" customHeight="1" x14ac:dyDescent="0.25">
      <c r="A453" s="2"/>
      <c r="B453" s="33"/>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row>
    <row r="454" spans="1:47" ht="15.75" customHeight="1" x14ac:dyDescent="0.25">
      <c r="A454" s="2"/>
      <c r="B454" s="33"/>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row>
    <row r="455" spans="1:47" ht="15.75" customHeight="1" x14ac:dyDescent="0.25">
      <c r="A455" s="2"/>
      <c r="B455" s="33"/>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row>
    <row r="456" spans="1:47" ht="15.75" customHeight="1" x14ac:dyDescent="0.25">
      <c r="A456" s="2"/>
      <c r="B456" s="33"/>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row>
    <row r="457" spans="1:47" ht="15.75" customHeight="1" x14ac:dyDescent="0.25">
      <c r="A457" s="2"/>
      <c r="B457" s="33"/>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row>
    <row r="458" spans="1:47" ht="15.75" customHeight="1" x14ac:dyDescent="0.25">
      <c r="A458" s="2"/>
      <c r="B458" s="33"/>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row>
    <row r="459" spans="1:47" ht="15.75" customHeight="1" x14ac:dyDescent="0.25">
      <c r="A459" s="2"/>
      <c r="B459" s="33"/>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row>
    <row r="460" spans="1:47" ht="15.75" customHeight="1" x14ac:dyDescent="0.25">
      <c r="A460" s="2"/>
      <c r="B460" s="33"/>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row>
    <row r="461" spans="1:47" ht="15.75" customHeight="1" x14ac:dyDescent="0.25">
      <c r="A461" s="2"/>
      <c r="B461" s="33"/>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row>
    <row r="462" spans="1:47" ht="15.75" customHeight="1" x14ac:dyDescent="0.25">
      <c r="A462" s="2"/>
      <c r="B462" s="33"/>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row>
    <row r="463" spans="1:47" ht="15.75" customHeight="1" x14ac:dyDescent="0.25">
      <c r="A463" s="2"/>
      <c r="B463" s="33"/>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row>
    <row r="464" spans="1:47" ht="15.75" customHeight="1" x14ac:dyDescent="0.25">
      <c r="A464" s="2"/>
      <c r="B464" s="33"/>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row>
    <row r="465" spans="1:47" ht="15.75" customHeight="1" x14ac:dyDescent="0.25">
      <c r="A465" s="2"/>
      <c r="B465" s="33"/>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row>
    <row r="466" spans="1:47" ht="15.75" customHeight="1" x14ac:dyDescent="0.25">
      <c r="A466" s="2"/>
      <c r="B466" s="33"/>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row>
    <row r="467" spans="1:47" ht="15.75" customHeight="1" x14ac:dyDescent="0.25">
      <c r="A467" s="2"/>
      <c r="B467" s="33"/>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row>
    <row r="468" spans="1:47" ht="15.75" customHeight="1" x14ac:dyDescent="0.25">
      <c r="A468" s="2"/>
      <c r="B468" s="33"/>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row>
    <row r="469" spans="1:47" ht="15.75" customHeight="1" x14ac:dyDescent="0.25">
      <c r="A469" s="2"/>
      <c r="B469" s="33"/>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row>
    <row r="470" spans="1:47" ht="15.75" customHeight="1" x14ac:dyDescent="0.25">
      <c r="A470" s="2"/>
      <c r="B470" s="33"/>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row>
    <row r="471" spans="1:47" ht="15.75" customHeight="1" x14ac:dyDescent="0.25">
      <c r="A471" s="2"/>
      <c r="B471" s="33"/>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row>
    <row r="472" spans="1:47" ht="15.75" customHeight="1" x14ac:dyDescent="0.25">
      <c r="A472" s="2"/>
      <c r="B472" s="33"/>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row>
    <row r="473" spans="1:47" ht="15.75" customHeight="1" x14ac:dyDescent="0.25">
      <c r="A473" s="2"/>
      <c r="B473" s="33"/>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row>
    <row r="474" spans="1:47" ht="15.75" customHeight="1" x14ac:dyDescent="0.25">
      <c r="A474" s="2"/>
      <c r="B474" s="33"/>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row>
    <row r="475" spans="1:47" ht="15.75" customHeight="1" x14ac:dyDescent="0.25">
      <c r="A475" s="2"/>
      <c r="B475" s="33"/>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row>
    <row r="476" spans="1:47" ht="15.75" customHeight="1" x14ac:dyDescent="0.25">
      <c r="A476" s="2"/>
      <c r="B476" s="33"/>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row>
    <row r="477" spans="1:47" ht="15.75" customHeight="1" x14ac:dyDescent="0.25">
      <c r="A477" s="2"/>
      <c r="B477" s="33"/>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row>
    <row r="478" spans="1:47" ht="15.75" customHeight="1" x14ac:dyDescent="0.25">
      <c r="A478" s="2"/>
      <c r="B478" s="33"/>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row>
    <row r="479" spans="1:47" ht="15.75" customHeight="1" x14ac:dyDescent="0.25">
      <c r="A479" s="2"/>
      <c r="B479" s="33"/>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row>
    <row r="480" spans="1:47" ht="15.75" customHeight="1" x14ac:dyDescent="0.25">
      <c r="A480" s="2"/>
      <c r="B480" s="33"/>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row>
    <row r="481" spans="1:47" ht="15.75" customHeight="1" x14ac:dyDescent="0.25">
      <c r="A481" s="2"/>
      <c r="B481" s="33"/>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row>
    <row r="482" spans="1:47" ht="15.75" customHeight="1" x14ac:dyDescent="0.25">
      <c r="A482" s="2"/>
      <c r="B482" s="33"/>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row>
    <row r="483" spans="1:47" ht="15.75" customHeight="1" x14ac:dyDescent="0.25">
      <c r="A483" s="2"/>
      <c r="B483" s="33"/>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row>
    <row r="484" spans="1:47" ht="15.75" customHeight="1" x14ac:dyDescent="0.25">
      <c r="A484" s="2"/>
      <c r="B484" s="33"/>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row>
    <row r="485" spans="1:47" ht="15.75" customHeight="1" x14ac:dyDescent="0.25">
      <c r="A485" s="2"/>
      <c r="B485" s="33"/>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row>
    <row r="486" spans="1:47" ht="15.75" customHeight="1" x14ac:dyDescent="0.25">
      <c r="A486" s="2"/>
      <c r="B486" s="33"/>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row>
    <row r="487" spans="1:47" ht="15.75" customHeight="1" x14ac:dyDescent="0.25">
      <c r="A487" s="2"/>
      <c r="B487" s="33"/>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row>
    <row r="488" spans="1:47" ht="15.75" customHeight="1" x14ac:dyDescent="0.25">
      <c r="A488" s="2"/>
      <c r="B488" s="33"/>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row>
    <row r="489" spans="1:47" ht="15.75" customHeight="1" x14ac:dyDescent="0.25">
      <c r="A489" s="2"/>
      <c r="B489" s="33"/>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row>
    <row r="490" spans="1:47" ht="15.75" customHeight="1" x14ac:dyDescent="0.25">
      <c r="A490" s="2"/>
      <c r="B490" s="33"/>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row>
    <row r="491" spans="1:47" ht="15.75" customHeight="1" x14ac:dyDescent="0.25">
      <c r="A491" s="2"/>
      <c r="B491" s="33"/>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row>
    <row r="492" spans="1:47" ht="15.75" customHeight="1" x14ac:dyDescent="0.25">
      <c r="A492" s="2"/>
      <c r="B492" s="33"/>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row>
    <row r="493" spans="1:47" ht="15.75" customHeight="1" x14ac:dyDescent="0.25">
      <c r="A493" s="2"/>
      <c r="B493" s="33"/>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row>
    <row r="494" spans="1:47" ht="15.75" customHeight="1" x14ac:dyDescent="0.25">
      <c r="A494" s="2"/>
      <c r="B494" s="33"/>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row>
    <row r="495" spans="1:47" ht="15.75" customHeight="1" x14ac:dyDescent="0.25">
      <c r="A495" s="2"/>
      <c r="B495" s="33"/>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row>
    <row r="496" spans="1:47" ht="15.75" customHeight="1" x14ac:dyDescent="0.25">
      <c r="A496" s="2"/>
      <c r="B496" s="33"/>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row>
    <row r="497" spans="1:47" ht="15.75" customHeight="1" x14ac:dyDescent="0.25">
      <c r="A497" s="2"/>
      <c r="B497" s="33"/>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row>
    <row r="498" spans="1:47" ht="15.75" customHeight="1" x14ac:dyDescent="0.25">
      <c r="A498" s="2"/>
      <c r="B498" s="33"/>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row>
    <row r="499" spans="1:47" ht="15.75" customHeight="1" x14ac:dyDescent="0.25">
      <c r="A499" s="2"/>
      <c r="B499" s="33"/>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row>
    <row r="500" spans="1:47" ht="15.75" customHeight="1" x14ac:dyDescent="0.25">
      <c r="A500" s="2"/>
      <c r="B500" s="33"/>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row>
    <row r="501" spans="1:47" ht="15.75" customHeight="1" x14ac:dyDescent="0.25">
      <c r="A501" s="2"/>
      <c r="B501" s="33"/>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row>
    <row r="502" spans="1:47" ht="15.75" customHeight="1" x14ac:dyDescent="0.25">
      <c r="A502" s="2"/>
      <c r="B502" s="33"/>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row>
    <row r="503" spans="1:47" ht="15.75" customHeight="1" x14ac:dyDescent="0.25">
      <c r="A503" s="2"/>
      <c r="B503" s="33"/>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row>
    <row r="504" spans="1:47" ht="15.75" customHeight="1" x14ac:dyDescent="0.25">
      <c r="A504" s="2"/>
      <c r="B504" s="33"/>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row>
    <row r="505" spans="1:47" ht="15.75" customHeight="1" x14ac:dyDescent="0.25">
      <c r="A505" s="2"/>
      <c r="B505" s="33"/>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row>
    <row r="506" spans="1:47" ht="15.75" customHeight="1" x14ac:dyDescent="0.25">
      <c r="A506" s="2"/>
      <c r="B506" s="33"/>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row>
    <row r="507" spans="1:47" ht="15.75" customHeight="1" x14ac:dyDescent="0.25">
      <c r="A507" s="2"/>
      <c r="B507" s="33"/>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row>
    <row r="508" spans="1:47" ht="15.75" customHeight="1" x14ac:dyDescent="0.25">
      <c r="A508" s="2"/>
      <c r="B508" s="33"/>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row>
    <row r="509" spans="1:47" ht="15.75" customHeight="1" x14ac:dyDescent="0.25">
      <c r="A509" s="2"/>
      <c r="B509" s="33"/>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row>
    <row r="510" spans="1:47" ht="15.75" customHeight="1" x14ac:dyDescent="0.25">
      <c r="A510" s="2"/>
      <c r="B510" s="33"/>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row>
    <row r="511" spans="1:47" ht="15.75" customHeight="1" x14ac:dyDescent="0.25">
      <c r="A511" s="2"/>
      <c r="B511" s="33"/>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row>
    <row r="512" spans="1:47" ht="15.75" customHeight="1" x14ac:dyDescent="0.25">
      <c r="A512" s="2"/>
      <c r="B512" s="33"/>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row>
    <row r="513" spans="1:47" ht="15.75" customHeight="1" x14ac:dyDescent="0.25">
      <c r="A513" s="2"/>
      <c r="B513" s="33"/>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row>
    <row r="514" spans="1:47" ht="15.75" customHeight="1" x14ac:dyDescent="0.25">
      <c r="A514" s="2"/>
      <c r="B514" s="33"/>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row>
    <row r="515" spans="1:47" ht="15.75" customHeight="1" x14ac:dyDescent="0.25">
      <c r="A515" s="2"/>
      <c r="B515" s="33"/>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row>
    <row r="516" spans="1:47" ht="15.75" customHeight="1" x14ac:dyDescent="0.25">
      <c r="A516" s="2"/>
      <c r="B516" s="33"/>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row>
    <row r="517" spans="1:47" ht="15.75" customHeight="1" x14ac:dyDescent="0.25">
      <c r="A517" s="2"/>
      <c r="B517" s="33"/>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row>
    <row r="518" spans="1:47" ht="15.75" customHeight="1" x14ac:dyDescent="0.25">
      <c r="A518" s="2"/>
      <c r="B518" s="33"/>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row>
    <row r="519" spans="1:47" ht="15.75" customHeight="1" x14ac:dyDescent="0.25">
      <c r="A519" s="2"/>
      <c r="B519" s="33"/>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row>
    <row r="520" spans="1:47" ht="15.75" customHeight="1" x14ac:dyDescent="0.25">
      <c r="A520" s="2"/>
      <c r="B520" s="33"/>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row>
    <row r="521" spans="1:47" ht="15.75" customHeight="1" x14ac:dyDescent="0.25">
      <c r="A521" s="2"/>
      <c r="B521" s="33"/>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row>
    <row r="522" spans="1:47" ht="15.75" customHeight="1" x14ac:dyDescent="0.25">
      <c r="A522" s="2"/>
      <c r="B522" s="33"/>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row>
    <row r="523" spans="1:47" ht="15.75" customHeight="1" x14ac:dyDescent="0.25">
      <c r="A523" s="2"/>
      <c r="B523" s="33"/>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row>
    <row r="524" spans="1:47" ht="15.75" customHeight="1" x14ac:dyDescent="0.25">
      <c r="A524" s="2"/>
      <c r="B524" s="33"/>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row>
    <row r="525" spans="1:47" ht="15.75" customHeight="1" x14ac:dyDescent="0.25">
      <c r="A525" s="2"/>
      <c r="B525" s="33"/>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row>
    <row r="526" spans="1:47" ht="15.75" customHeight="1" x14ac:dyDescent="0.25">
      <c r="A526" s="2"/>
      <c r="B526" s="33"/>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row>
    <row r="527" spans="1:47" ht="15.75" customHeight="1" x14ac:dyDescent="0.25">
      <c r="A527" s="2"/>
      <c r="B527" s="33"/>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row>
    <row r="528" spans="1:47" ht="15.75" customHeight="1" x14ac:dyDescent="0.25">
      <c r="A528" s="2"/>
      <c r="B528" s="33"/>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row>
    <row r="529" spans="1:47" ht="15.75" customHeight="1" x14ac:dyDescent="0.25">
      <c r="A529" s="2"/>
      <c r="B529" s="33"/>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row>
    <row r="530" spans="1:47" ht="15.75" customHeight="1" x14ac:dyDescent="0.25">
      <c r="A530" s="2"/>
      <c r="B530" s="33"/>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row>
    <row r="531" spans="1:47" ht="15.75" customHeight="1" x14ac:dyDescent="0.25">
      <c r="A531" s="2"/>
      <c r="B531" s="33"/>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row>
    <row r="532" spans="1:47" ht="15.75" customHeight="1" x14ac:dyDescent="0.25">
      <c r="A532" s="2"/>
      <c r="B532" s="33"/>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row>
    <row r="533" spans="1:47" ht="15.75" customHeight="1" x14ac:dyDescent="0.25">
      <c r="A533" s="2"/>
      <c r="B533" s="33"/>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row>
    <row r="534" spans="1:47" ht="15.75" customHeight="1" x14ac:dyDescent="0.25">
      <c r="A534" s="2"/>
      <c r="B534" s="33"/>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row>
    <row r="535" spans="1:47" ht="15.75" customHeight="1" x14ac:dyDescent="0.25">
      <c r="A535" s="2"/>
      <c r="B535" s="33"/>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row>
    <row r="536" spans="1:47" ht="15.75" customHeight="1" x14ac:dyDescent="0.25">
      <c r="A536" s="2"/>
      <c r="B536" s="33"/>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row>
    <row r="537" spans="1:47" ht="15.75" customHeight="1" x14ac:dyDescent="0.25">
      <c r="A537" s="2"/>
      <c r="B537" s="33"/>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row>
    <row r="538" spans="1:47" ht="15.75" customHeight="1" x14ac:dyDescent="0.25">
      <c r="A538" s="2"/>
      <c r="B538" s="33"/>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row>
    <row r="539" spans="1:47" ht="15.75" customHeight="1" x14ac:dyDescent="0.25">
      <c r="A539" s="2"/>
      <c r="B539" s="33"/>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row>
    <row r="540" spans="1:47" ht="15.75" customHeight="1" x14ac:dyDescent="0.25">
      <c r="A540" s="2"/>
      <c r="B540" s="33"/>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row>
    <row r="541" spans="1:47" ht="15.75" customHeight="1" x14ac:dyDescent="0.25">
      <c r="A541" s="2"/>
      <c r="B541" s="33"/>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row>
    <row r="542" spans="1:47" ht="15.75" customHeight="1" x14ac:dyDescent="0.25">
      <c r="A542" s="2"/>
      <c r="B542" s="33"/>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row>
    <row r="543" spans="1:47" ht="15.75" customHeight="1" x14ac:dyDescent="0.25">
      <c r="A543" s="2"/>
      <c r="B543" s="33"/>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row>
    <row r="544" spans="1:47" ht="15.75" customHeight="1" x14ac:dyDescent="0.25">
      <c r="A544" s="2"/>
      <c r="B544" s="33"/>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row>
    <row r="545" spans="1:47" ht="15.75" customHeight="1" x14ac:dyDescent="0.25">
      <c r="A545" s="2"/>
      <c r="B545" s="33"/>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row>
    <row r="546" spans="1:47" ht="15.75" customHeight="1" x14ac:dyDescent="0.25">
      <c r="A546" s="2"/>
      <c r="B546" s="33"/>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row>
    <row r="547" spans="1:47" ht="15.75" customHeight="1" x14ac:dyDescent="0.25">
      <c r="A547" s="2"/>
      <c r="B547" s="33"/>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row>
    <row r="548" spans="1:47" ht="15.75" customHeight="1" x14ac:dyDescent="0.25">
      <c r="A548" s="2"/>
      <c r="B548" s="33"/>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row>
    <row r="549" spans="1:47" ht="15.75" customHeight="1" x14ac:dyDescent="0.25">
      <c r="A549" s="2"/>
      <c r="B549" s="33"/>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row>
    <row r="550" spans="1:47" ht="15.75" customHeight="1" x14ac:dyDescent="0.25">
      <c r="A550" s="2"/>
      <c r="B550" s="33"/>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row>
    <row r="551" spans="1:47" ht="15.75" customHeight="1" x14ac:dyDescent="0.25">
      <c r="A551" s="2"/>
      <c r="B551" s="33"/>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row>
    <row r="552" spans="1:47" ht="15.75" customHeight="1" x14ac:dyDescent="0.25">
      <c r="A552" s="2"/>
      <c r="B552" s="33"/>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row>
    <row r="553" spans="1:47" ht="15.75" customHeight="1" x14ac:dyDescent="0.25">
      <c r="A553" s="2"/>
      <c r="B553" s="33"/>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row>
    <row r="554" spans="1:47" ht="15.75" customHeight="1" x14ac:dyDescent="0.25">
      <c r="A554" s="2"/>
      <c r="B554" s="33"/>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row>
    <row r="555" spans="1:47" ht="15.75" customHeight="1" x14ac:dyDescent="0.25">
      <c r="A555" s="2"/>
      <c r="B555" s="33"/>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row>
    <row r="556" spans="1:47" ht="15.75" customHeight="1" x14ac:dyDescent="0.25">
      <c r="A556" s="2"/>
      <c r="B556" s="33"/>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row>
    <row r="557" spans="1:47" ht="15.75" customHeight="1" x14ac:dyDescent="0.25">
      <c r="A557" s="2"/>
      <c r="B557" s="33"/>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row>
    <row r="558" spans="1:47" ht="15.75" customHeight="1" x14ac:dyDescent="0.25">
      <c r="A558" s="2"/>
      <c r="B558" s="33"/>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row>
    <row r="559" spans="1:47" ht="15.75" customHeight="1" x14ac:dyDescent="0.25">
      <c r="A559" s="2"/>
      <c r="B559" s="33"/>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row>
    <row r="560" spans="1:47" ht="15.75" customHeight="1" x14ac:dyDescent="0.25">
      <c r="A560" s="2"/>
      <c r="B560" s="33"/>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row>
    <row r="561" spans="1:47" ht="15.75" customHeight="1" x14ac:dyDescent="0.25">
      <c r="A561" s="2"/>
      <c r="B561" s="33"/>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row>
    <row r="562" spans="1:47" ht="15.75" customHeight="1" x14ac:dyDescent="0.25">
      <c r="A562" s="2"/>
      <c r="B562" s="33"/>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row>
    <row r="563" spans="1:47" ht="15.75" customHeight="1" x14ac:dyDescent="0.25">
      <c r="A563" s="2"/>
      <c r="B563" s="33"/>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row>
    <row r="564" spans="1:47" ht="15.75" customHeight="1" x14ac:dyDescent="0.25">
      <c r="A564" s="2"/>
      <c r="B564" s="33"/>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row>
    <row r="565" spans="1:47" ht="15.75" customHeight="1" x14ac:dyDescent="0.25">
      <c r="A565" s="2"/>
      <c r="B565" s="33"/>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row>
    <row r="566" spans="1:47" ht="15.75" customHeight="1" x14ac:dyDescent="0.25">
      <c r="A566" s="2"/>
      <c r="B566" s="33"/>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row>
    <row r="567" spans="1:47" ht="15.75" customHeight="1" x14ac:dyDescent="0.25">
      <c r="A567" s="2"/>
      <c r="B567" s="33"/>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row>
    <row r="568" spans="1:47" ht="15.75" customHeight="1" x14ac:dyDescent="0.25">
      <c r="A568" s="2"/>
      <c r="B568" s="33"/>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row>
    <row r="569" spans="1:47" ht="15.75" customHeight="1" x14ac:dyDescent="0.25">
      <c r="A569" s="2"/>
      <c r="B569" s="33"/>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row>
    <row r="570" spans="1:47" ht="15.75" customHeight="1" x14ac:dyDescent="0.25">
      <c r="A570" s="2"/>
      <c r="B570" s="33"/>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row>
    <row r="571" spans="1:47" ht="15.75" customHeight="1" x14ac:dyDescent="0.25">
      <c r="A571" s="2"/>
      <c r="B571" s="33"/>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row>
    <row r="572" spans="1:47" ht="15.75" customHeight="1" x14ac:dyDescent="0.25">
      <c r="A572" s="2"/>
      <c r="B572" s="33"/>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row>
    <row r="573" spans="1:47" ht="15.75" customHeight="1" x14ac:dyDescent="0.25">
      <c r="A573" s="2"/>
      <c r="B573" s="33"/>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row>
    <row r="574" spans="1:47" ht="15.75" customHeight="1" x14ac:dyDescent="0.25">
      <c r="A574" s="2"/>
      <c r="B574" s="33"/>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row>
    <row r="575" spans="1:47" ht="15.75" customHeight="1" x14ac:dyDescent="0.25">
      <c r="A575" s="2"/>
      <c r="B575" s="33"/>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row>
    <row r="576" spans="1:47" ht="15.75" customHeight="1" x14ac:dyDescent="0.25">
      <c r="A576" s="2"/>
      <c r="B576" s="33"/>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row>
    <row r="577" spans="1:47" ht="15.75" customHeight="1" x14ac:dyDescent="0.25">
      <c r="A577" s="2"/>
      <c r="B577" s="33"/>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row>
    <row r="578" spans="1:47" ht="15.75" customHeight="1" x14ac:dyDescent="0.25">
      <c r="A578" s="2"/>
      <c r="B578" s="33"/>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row>
    <row r="579" spans="1:47" ht="15.75" customHeight="1" x14ac:dyDescent="0.25">
      <c r="A579" s="2"/>
      <c r="B579" s="33"/>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row>
    <row r="580" spans="1:47" ht="15.75" customHeight="1" x14ac:dyDescent="0.25">
      <c r="A580" s="2"/>
      <c r="B580" s="33"/>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row>
    <row r="581" spans="1:47" ht="15.75" customHeight="1" x14ac:dyDescent="0.25">
      <c r="A581" s="2"/>
      <c r="B581" s="33"/>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row>
    <row r="582" spans="1:47" ht="15.75" customHeight="1" x14ac:dyDescent="0.25">
      <c r="A582" s="2"/>
      <c r="B582" s="33"/>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row>
    <row r="583" spans="1:47" ht="15.75" customHeight="1" x14ac:dyDescent="0.25">
      <c r="A583" s="2"/>
      <c r="B583" s="33"/>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row>
    <row r="584" spans="1:47" ht="15.75" customHeight="1" x14ac:dyDescent="0.25">
      <c r="A584" s="2"/>
      <c r="B584" s="33"/>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row>
    <row r="585" spans="1:47" ht="15.75" customHeight="1" x14ac:dyDescent="0.25">
      <c r="A585" s="2"/>
      <c r="B585" s="33"/>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row>
    <row r="586" spans="1:47" ht="15.75" customHeight="1" x14ac:dyDescent="0.25">
      <c r="A586" s="2"/>
      <c r="B586" s="33"/>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row>
    <row r="587" spans="1:47" ht="15.75" customHeight="1" x14ac:dyDescent="0.25">
      <c r="A587" s="2"/>
      <c r="B587" s="33"/>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row>
    <row r="588" spans="1:47" ht="15.75" customHeight="1" x14ac:dyDescent="0.25">
      <c r="A588" s="2"/>
      <c r="B588" s="33"/>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row>
    <row r="589" spans="1:47" ht="15.75" customHeight="1" x14ac:dyDescent="0.25">
      <c r="A589" s="2"/>
      <c r="B589" s="33"/>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row>
    <row r="590" spans="1:47" ht="15.75" customHeight="1" x14ac:dyDescent="0.25">
      <c r="A590" s="2"/>
      <c r="B590" s="33"/>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row>
    <row r="591" spans="1:47" ht="15.75" customHeight="1" x14ac:dyDescent="0.25">
      <c r="A591" s="2"/>
      <c r="B591" s="33"/>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row>
    <row r="592" spans="1:47" ht="15.75" customHeight="1" x14ac:dyDescent="0.25">
      <c r="A592" s="2"/>
      <c r="B592" s="33"/>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row>
    <row r="593" spans="1:47" ht="15.75" customHeight="1" x14ac:dyDescent="0.25">
      <c r="A593" s="2"/>
      <c r="B593" s="33"/>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row>
    <row r="594" spans="1:47" ht="15.75" customHeight="1" x14ac:dyDescent="0.25">
      <c r="A594" s="2"/>
      <c r="B594" s="33"/>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row>
    <row r="595" spans="1:47" ht="15.75" customHeight="1" x14ac:dyDescent="0.25">
      <c r="A595" s="2"/>
      <c r="B595" s="33"/>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row>
    <row r="596" spans="1:47" ht="15.75" customHeight="1" x14ac:dyDescent="0.25">
      <c r="A596" s="2"/>
      <c r="B596" s="33"/>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row>
    <row r="597" spans="1:47" ht="15.75" customHeight="1" x14ac:dyDescent="0.25">
      <c r="A597" s="2"/>
      <c r="B597" s="33"/>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row>
    <row r="598" spans="1:47" ht="15.75" customHeight="1" x14ac:dyDescent="0.25">
      <c r="A598" s="2"/>
      <c r="B598" s="33"/>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row>
    <row r="599" spans="1:47" ht="15.75" customHeight="1" x14ac:dyDescent="0.25">
      <c r="A599" s="2"/>
      <c r="B599" s="33"/>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row>
    <row r="600" spans="1:47" ht="15.75" customHeight="1" x14ac:dyDescent="0.25">
      <c r="A600" s="2"/>
      <c r="B600" s="33"/>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row>
    <row r="601" spans="1:47" ht="15.75" customHeight="1" x14ac:dyDescent="0.25">
      <c r="A601" s="2"/>
      <c r="B601" s="33"/>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row>
    <row r="602" spans="1:47" ht="15.75" customHeight="1" x14ac:dyDescent="0.25">
      <c r="A602" s="2"/>
      <c r="B602" s="33"/>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row>
    <row r="603" spans="1:47" ht="15.75" customHeight="1" x14ac:dyDescent="0.25">
      <c r="A603" s="2"/>
      <c r="B603" s="33"/>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row>
    <row r="604" spans="1:47" ht="15.75" customHeight="1" x14ac:dyDescent="0.25">
      <c r="A604" s="2"/>
      <c r="B604" s="33"/>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row>
    <row r="605" spans="1:47" ht="15.75" customHeight="1" x14ac:dyDescent="0.25">
      <c r="A605" s="2"/>
      <c r="B605" s="33"/>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row>
    <row r="606" spans="1:47" ht="15.75" customHeight="1" x14ac:dyDescent="0.25">
      <c r="A606" s="2"/>
      <c r="B606" s="33"/>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row>
    <row r="607" spans="1:47" ht="15.75" customHeight="1" x14ac:dyDescent="0.25">
      <c r="A607" s="2"/>
      <c r="B607" s="33"/>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row>
    <row r="608" spans="1:47" ht="15.75" customHeight="1" x14ac:dyDescent="0.25">
      <c r="A608" s="2"/>
      <c r="B608" s="33"/>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row>
    <row r="609" spans="1:47" ht="15.75" customHeight="1" x14ac:dyDescent="0.25">
      <c r="A609" s="2"/>
      <c r="B609" s="33"/>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row>
    <row r="610" spans="1:47" ht="15.75" customHeight="1" x14ac:dyDescent="0.25">
      <c r="A610" s="2"/>
      <c r="B610" s="33"/>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row>
    <row r="611" spans="1:47" ht="15.75" customHeight="1" x14ac:dyDescent="0.25">
      <c r="A611" s="2"/>
      <c r="B611" s="33"/>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row>
    <row r="612" spans="1:47" ht="15.75" customHeight="1" x14ac:dyDescent="0.25">
      <c r="A612" s="2"/>
      <c r="B612" s="33"/>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row>
    <row r="613" spans="1:47" ht="15.75" customHeight="1" x14ac:dyDescent="0.25">
      <c r="A613" s="2"/>
      <c r="B613" s="33"/>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row>
    <row r="614" spans="1:47" ht="15.75" customHeight="1" x14ac:dyDescent="0.25">
      <c r="A614" s="2"/>
      <c r="B614" s="33"/>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row>
    <row r="615" spans="1:47" ht="15.75" customHeight="1" x14ac:dyDescent="0.25">
      <c r="A615" s="2"/>
      <c r="B615" s="33"/>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row>
    <row r="616" spans="1:47" ht="15.75" customHeight="1" x14ac:dyDescent="0.25">
      <c r="A616" s="2"/>
      <c r="B616" s="33"/>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row>
    <row r="617" spans="1:47" ht="15.75" customHeight="1" x14ac:dyDescent="0.25">
      <c r="A617" s="2"/>
      <c r="B617" s="33"/>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row>
    <row r="618" spans="1:47" ht="15.75" customHeight="1" x14ac:dyDescent="0.25">
      <c r="A618" s="2"/>
      <c r="B618" s="33"/>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row>
    <row r="619" spans="1:47" ht="15.75" customHeight="1" x14ac:dyDescent="0.25">
      <c r="A619" s="2"/>
      <c r="B619" s="33"/>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row>
    <row r="620" spans="1:47" ht="15.75" customHeight="1" x14ac:dyDescent="0.25">
      <c r="A620" s="2"/>
      <c r="B620" s="33"/>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row>
    <row r="621" spans="1:47" ht="15.75" customHeight="1" x14ac:dyDescent="0.25">
      <c r="A621" s="2"/>
      <c r="B621" s="33"/>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row>
    <row r="622" spans="1:47" ht="15.75" customHeight="1" x14ac:dyDescent="0.25">
      <c r="A622" s="2"/>
      <c r="B622" s="33"/>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row>
    <row r="623" spans="1:47" ht="15.75" customHeight="1" x14ac:dyDescent="0.25">
      <c r="A623" s="2"/>
      <c r="B623" s="33"/>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row>
    <row r="624" spans="1:47" ht="15.75" customHeight="1" x14ac:dyDescent="0.25">
      <c r="A624" s="2"/>
      <c r="B624" s="33"/>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row>
    <row r="625" spans="1:47" ht="15.75" customHeight="1" x14ac:dyDescent="0.25">
      <c r="A625" s="2"/>
      <c r="B625" s="33"/>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row>
    <row r="626" spans="1:47" ht="15.75" customHeight="1" x14ac:dyDescent="0.25">
      <c r="A626" s="2"/>
      <c r="B626" s="33"/>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row>
    <row r="627" spans="1:47" ht="15.75" customHeight="1" x14ac:dyDescent="0.25">
      <c r="A627" s="2"/>
      <c r="B627" s="33"/>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row>
    <row r="628" spans="1:47" ht="15.75" customHeight="1" x14ac:dyDescent="0.25">
      <c r="A628" s="2"/>
      <c r="B628" s="33"/>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row>
    <row r="629" spans="1:47" ht="15.75" customHeight="1" x14ac:dyDescent="0.25">
      <c r="A629" s="2"/>
      <c r="B629" s="33"/>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row>
    <row r="630" spans="1:47" ht="15.75" customHeight="1" x14ac:dyDescent="0.25">
      <c r="A630" s="2"/>
      <c r="B630" s="33"/>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row>
    <row r="631" spans="1:47" ht="15.75" customHeight="1" x14ac:dyDescent="0.25">
      <c r="A631" s="2"/>
      <c r="B631" s="33"/>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row>
    <row r="632" spans="1:47" ht="15.75" customHeight="1" x14ac:dyDescent="0.25">
      <c r="A632" s="2"/>
      <c r="B632" s="33"/>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row>
    <row r="633" spans="1:47" ht="15.75" customHeight="1" x14ac:dyDescent="0.25">
      <c r="A633" s="2"/>
      <c r="B633" s="33"/>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row>
    <row r="634" spans="1:47" ht="15.75" customHeight="1" x14ac:dyDescent="0.25">
      <c r="A634" s="2"/>
      <c r="B634" s="33"/>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row>
    <row r="635" spans="1:47" ht="15.75" customHeight="1" x14ac:dyDescent="0.25">
      <c r="A635" s="2"/>
      <c r="B635" s="33"/>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row>
    <row r="636" spans="1:47" ht="15.75" customHeight="1" x14ac:dyDescent="0.25">
      <c r="A636" s="2"/>
      <c r="B636" s="33"/>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row>
    <row r="637" spans="1:47" ht="15.75" customHeight="1" x14ac:dyDescent="0.25">
      <c r="A637" s="2"/>
      <c r="B637" s="33"/>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row>
    <row r="638" spans="1:47" ht="15.75" customHeight="1" x14ac:dyDescent="0.25">
      <c r="A638" s="2"/>
      <c r="B638" s="33"/>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row>
    <row r="639" spans="1:47" ht="15.75" customHeight="1" x14ac:dyDescent="0.25">
      <c r="A639" s="2"/>
      <c r="B639" s="33"/>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row>
    <row r="640" spans="1:47" ht="15.75" customHeight="1" x14ac:dyDescent="0.25">
      <c r="A640" s="2"/>
      <c r="B640" s="33"/>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row>
    <row r="641" spans="1:47" ht="15.75" customHeight="1" x14ac:dyDescent="0.25">
      <c r="A641" s="2"/>
      <c r="B641" s="33"/>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row>
    <row r="642" spans="1:47" ht="15.75" customHeight="1" x14ac:dyDescent="0.25">
      <c r="A642" s="2"/>
      <c r="B642" s="33"/>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row>
    <row r="643" spans="1:47" ht="15.75" customHeight="1" x14ac:dyDescent="0.25">
      <c r="A643" s="2"/>
      <c r="B643" s="33"/>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row>
    <row r="644" spans="1:47" ht="15.75" customHeight="1" x14ac:dyDescent="0.25">
      <c r="A644" s="2"/>
      <c r="B644" s="33"/>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row>
    <row r="645" spans="1:47" ht="15.75" customHeight="1" x14ac:dyDescent="0.25">
      <c r="A645" s="2"/>
      <c r="B645" s="33"/>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row>
    <row r="646" spans="1:47" ht="15.75" customHeight="1" x14ac:dyDescent="0.25">
      <c r="A646" s="2"/>
      <c r="B646" s="33"/>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row>
    <row r="647" spans="1:47" ht="15.75" customHeight="1" x14ac:dyDescent="0.25">
      <c r="A647" s="2"/>
      <c r="B647" s="33"/>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row>
    <row r="648" spans="1:47" ht="15.75" customHeight="1" x14ac:dyDescent="0.25">
      <c r="A648" s="2"/>
      <c r="B648" s="33"/>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row>
    <row r="649" spans="1:47" ht="15.75" customHeight="1" x14ac:dyDescent="0.25">
      <c r="A649" s="2"/>
      <c r="B649" s="33"/>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row>
    <row r="650" spans="1:47" ht="15.75" customHeight="1" x14ac:dyDescent="0.25">
      <c r="A650" s="2"/>
      <c r="B650" s="33"/>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row>
    <row r="651" spans="1:47" ht="15.75" customHeight="1" x14ac:dyDescent="0.25">
      <c r="A651" s="2"/>
      <c r="B651" s="33"/>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row>
    <row r="652" spans="1:47" ht="15.75" customHeight="1" x14ac:dyDescent="0.25">
      <c r="A652" s="2"/>
      <c r="B652" s="33"/>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row>
    <row r="653" spans="1:47" ht="15.75" customHeight="1" x14ac:dyDescent="0.25">
      <c r="A653" s="2"/>
      <c r="B653" s="33"/>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row>
    <row r="654" spans="1:47" ht="15.75" customHeight="1" x14ac:dyDescent="0.25">
      <c r="A654" s="2"/>
      <c r="B654" s="33"/>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row>
    <row r="655" spans="1:47" ht="15.75" customHeight="1" x14ac:dyDescent="0.25">
      <c r="A655" s="2"/>
      <c r="B655" s="33"/>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row>
    <row r="656" spans="1:47" ht="15.75" customHeight="1" x14ac:dyDescent="0.25">
      <c r="A656" s="2"/>
      <c r="B656" s="33"/>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row>
    <row r="657" spans="1:47" ht="15.75" customHeight="1" x14ac:dyDescent="0.25">
      <c r="A657" s="2"/>
      <c r="B657" s="33"/>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row>
    <row r="658" spans="1:47" ht="15.75" customHeight="1" x14ac:dyDescent="0.25">
      <c r="A658" s="2"/>
      <c r="B658" s="33"/>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row>
    <row r="659" spans="1:47" ht="15.75" customHeight="1" x14ac:dyDescent="0.25">
      <c r="A659" s="2"/>
      <c r="B659" s="33"/>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row>
    <row r="660" spans="1:47" ht="15.75" customHeight="1" x14ac:dyDescent="0.25">
      <c r="A660" s="2"/>
      <c r="B660" s="33"/>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row>
    <row r="661" spans="1:47" ht="15.75" customHeight="1" x14ac:dyDescent="0.25">
      <c r="A661" s="2"/>
      <c r="B661" s="33"/>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row>
    <row r="662" spans="1:47" ht="15.75" customHeight="1" x14ac:dyDescent="0.25">
      <c r="A662" s="2"/>
      <c r="B662" s="33"/>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row>
    <row r="663" spans="1:47" ht="15.75" customHeight="1" x14ac:dyDescent="0.25">
      <c r="A663" s="2"/>
      <c r="B663" s="33"/>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row>
    <row r="664" spans="1:47" ht="15.75" customHeight="1" x14ac:dyDescent="0.25">
      <c r="A664" s="2"/>
      <c r="B664" s="33"/>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row>
    <row r="665" spans="1:47" ht="15.75" customHeight="1" x14ac:dyDescent="0.25">
      <c r="A665" s="2"/>
      <c r="B665" s="33"/>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row>
    <row r="666" spans="1:47" ht="15.75" customHeight="1" x14ac:dyDescent="0.25">
      <c r="A666" s="2"/>
      <c r="B666" s="33"/>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row>
    <row r="667" spans="1:47" ht="15.75" customHeight="1" x14ac:dyDescent="0.25">
      <c r="A667" s="2"/>
      <c r="B667" s="33"/>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row>
    <row r="668" spans="1:47" ht="15.75" customHeight="1" x14ac:dyDescent="0.25">
      <c r="A668" s="2"/>
      <c r="B668" s="33"/>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row>
    <row r="669" spans="1:47" ht="15.75" customHeight="1" x14ac:dyDescent="0.25">
      <c r="A669" s="2"/>
      <c r="B669" s="33"/>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row>
    <row r="670" spans="1:47" ht="15.75" customHeight="1" x14ac:dyDescent="0.25">
      <c r="A670" s="2"/>
      <c r="B670" s="33"/>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row>
    <row r="671" spans="1:47" ht="15.75" customHeight="1" x14ac:dyDescent="0.25">
      <c r="A671" s="2"/>
      <c r="B671" s="33"/>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row>
    <row r="672" spans="1:47" ht="15.75" customHeight="1" x14ac:dyDescent="0.25">
      <c r="A672" s="2"/>
      <c r="B672" s="33"/>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row>
    <row r="673" spans="1:47" ht="15.75" customHeight="1" x14ac:dyDescent="0.25">
      <c r="A673" s="2"/>
      <c r="B673" s="33"/>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row>
    <row r="674" spans="1:47" ht="15.75" customHeight="1" x14ac:dyDescent="0.25">
      <c r="A674" s="2"/>
      <c r="B674" s="33"/>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row>
    <row r="675" spans="1:47" ht="15.75" customHeight="1" x14ac:dyDescent="0.25">
      <c r="A675" s="2"/>
      <c r="B675" s="33"/>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row>
    <row r="676" spans="1:47" ht="15.75" customHeight="1" x14ac:dyDescent="0.25">
      <c r="A676" s="2"/>
      <c r="B676" s="33"/>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row>
    <row r="677" spans="1:47" ht="15.75" customHeight="1" x14ac:dyDescent="0.25">
      <c r="A677" s="2"/>
      <c r="B677" s="33"/>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row>
    <row r="678" spans="1:47" ht="15.75" customHeight="1" x14ac:dyDescent="0.25">
      <c r="A678" s="2"/>
      <c r="B678" s="33"/>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row>
    <row r="679" spans="1:47" ht="15.75" customHeight="1" x14ac:dyDescent="0.25">
      <c r="A679" s="2"/>
      <c r="B679" s="33"/>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row>
    <row r="680" spans="1:47" ht="15.75" customHeight="1" x14ac:dyDescent="0.25">
      <c r="A680" s="2"/>
      <c r="B680" s="33"/>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row>
    <row r="681" spans="1:47" ht="15.75" customHeight="1" x14ac:dyDescent="0.25">
      <c r="A681" s="2"/>
      <c r="B681" s="33"/>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row>
    <row r="682" spans="1:47" ht="15.75" customHeight="1" x14ac:dyDescent="0.25">
      <c r="A682" s="2"/>
      <c r="B682" s="33"/>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row>
    <row r="683" spans="1:47" ht="15.75" customHeight="1" x14ac:dyDescent="0.25">
      <c r="A683" s="2"/>
      <c r="B683" s="33"/>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row>
    <row r="684" spans="1:47" ht="15.75" customHeight="1" x14ac:dyDescent="0.25">
      <c r="A684" s="2"/>
      <c r="B684" s="33"/>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row>
    <row r="685" spans="1:47" ht="15.75" customHeight="1" x14ac:dyDescent="0.25">
      <c r="A685" s="2"/>
      <c r="B685" s="33"/>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row>
    <row r="686" spans="1:47" ht="15.75" customHeight="1" x14ac:dyDescent="0.25">
      <c r="A686" s="2"/>
      <c r="B686" s="33"/>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row>
    <row r="687" spans="1:47" ht="15.75" customHeight="1" x14ac:dyDescent="0.25">
      <c r="A687" s="2"/>
      <c r="B687" s="33"/>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row>
    <row r="688" spans="1:47" ht="15.75" customHeight="1" x14ac:dyDescent="0.25">
      <c r="A688" s="2"/>
      <c r="B688" s="33"/>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row>
    <row r="689" spans="1:47" ht="15.75" customHeight="1" x14ac:dyDescent="0.25">
      <c r="A689" s="2"/>
      <c r="B689" s="33"/>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row>
    <row r="690" spans="1:47" ht="15.75" customHeight="1" x14ac:dyDescent="0.25">
      <c r="A690" s="2"/>
      <c r="B690" s="33"/>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row>
    <row r="691" spans="1:47" ht="15.75" customHeight="1" x14ac:dyDescent="0.25">
      <c r="A691" s="2"/>
      <c r="B691" s="33"/>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row>
    <row r="692" spans="1:47" ht="15.75" customHeight="1" x14ac:dyDescent="0.25">
      <c r="A692" s="2"/>
      <c r="B692" s="33"/>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row>
    <row r="693" spans="1:47" ht="15.75" customHeight="1" x14ac:dyDescent="0.25">
      <c r="A693" s="2"/>
      <c r="B693" s="33"/>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row>
    <row r="694" spans="1:47" ht="15.75" customHeight="1" x14ac:dyDescent="0.25">
      <c r="A694" s="2"/>
      <c r="B694" s="33"/>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row>
    <row r="695" spans="1:47" ht="15.75" customHeight="1" x14ac:dyDescent="0.25">
      <c r="A695" s="2"/>
      <c r="B695" s="33"/>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row>
    <row r="696" spans="1:47" ht="15.75" customHeight="1" x14ac:dyDescent="0.25">
      <c r="A696" s="2"/>
      <c r="B696" s="33"/>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row>
    <row r="697" spans="1:47" ht="15.75" customHeight="1" x14ac:dyDescent="0.25">
      <c r="A697" s="2"/>
      <c r="B697" s="33"/>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row>
    <row r="698" spans="1:47" ht="15.75" customHeight="1" x14ac:dyDescent="0.25">
      <c r="A698" s="2"/>
      <c r="B698" s="33"/>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row>
    <row r="699" spans="1:47" ht="15.75" customHeight="1" x14ac:dyDescent="0.25">
      <c r="A699" s="2"/>
      <c r="B699" s="33"/>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row>
    <row r="700" spans="1:47" ht="15.75" customHeight="1" x14ac:dyDescent="0.25">
      <c r="A700" s="2"/>
      <c r="B700" s="33"/>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row>
    <row r="701" spans="1:47" ht="15.75" customHeight="1" x14ac:dyDescent="0.25">
      <c r="A701" s="2"/>
      <c r="B701" s="33"/>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row>
    <row r="702" spans="1:47" ht="15.75" customHeight="1" x14ac:dyDescent="0.25">
      <c r="A702" s="2"/>
      <c r="B702" s="33"/>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row>
    <row r="703" spans="1:47" ht="15.75" customHeight="1" x14ac:dyDescent="0.25">
      <c r="A703" s="2"/>
      <c r="B703" s="33"/>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row>
    <row r="704" spans="1:47" ht="15.75" customHeight="1" x14ac:dyDescent="0.25">
      <c r="A704" s="2"/>
      <c r="B704" s="33"/>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row>
    <row r="705" spans="1:47" ht="15.75" customHeight="1" x14ac:dyDescent="0.25">
      <c r="A705" s="2"/>
      <c r="B705" s="33"/>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row>
    <row r="706" spans="1:47" ht="15.75" customHeight="1" x14ac:dyDescent="0.25">
      <c r="A706" s="2"/>
      <c r="B706" s="33"/>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row>
    <row r="707" spans="1:47" ht="15.75" customHeight="1" x14ac:dyDescent="0.25">
      <c r="A707" s="2"/>
      <c r="B707" s="33"/>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row>
    <row r="708" spans="1:47" ht="15.75" customHeight="1" x14ac:dyDescent="0.25">
      <c r="A708" s="2"/>
      <c r="B708" s="33"/>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row>
    <row r="709" spans="1:47" ht="15.75" customHeight="1" x14ac:dyDescent="0.25">
      <c r="A709" s="2"/>
      <c r="B709" s="33"/>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row>
    <row r="710" spans="1:47" ht="15.75" customHeight="1" x14ac:dyDescent="0.25">
      <c r="A710" s="2"/>
      <c r="B710" s="33"/>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row>
    <row r="711" spans="1:47" ht="15.75" customHeight="1" x14ac:dyDescent="0.25">
      <c r="A711" s="2"/>
      <c r="B711" s="33"/>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row>
    <row r="712" spans="1:47" ht="15.75" customHeight="1" x14ac:dyDescent="0.25">
      <c r="A712" s="2"/>
      <c r="B712" s="33"/>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row>
    <row r="713" spans="1:47" ht="15.75" customHeight="1" x14ac:dyDescent="0.25">
      <c r="A713" s="2"/>
      <c r="B713" s="33"/>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row>
    <row r="714" spans="1:47" ht="15.75" customHeight="1" x14ac:dyDescent="0.25">
      <c r="A714" s="2"/>
      <c r="B714" s="33"/>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row>
    <row r="715" spans="1:47" ht="15.75" customHeight="1" x14ac:dyDescent="0.25">
      <c r="A715" s="2"/>
      <c r="B715" s="33"/>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row>
    <row r="716" spans="1:47" ht="15.75" customHeight="1" x14ac:dyDescent="0.25">
      <c r="A716" s="2"/>
      <c r="B716" s="33"/>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row>
    <row r="717" spans="1:47" ht="15.75" customHeight="1" x14ac:dyDescent="0.25">
      <c r="A717" s="2"/>
      <c r="B717" s="33"/>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row>
    <row r="718" spans="1:47" ht="15.75" customHeight="1" x14ac:dyDescent="0.25">
      <c r="A718" s="2"/>
      <c r="B718" s="33"/>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row>
    <row r="719" spans="1:47" ht="15.75" customHeight="1" x14ac:dyDescent="0.25">
      <c r="A719" s="2"/>
      <c r="B719" s="33"/>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row>
    <row r="720" spans="1:47" ht="15.75" customHeight="1" x14ac:dyDescent="0.25">
      <c r="A720" s="2"/>
      <c r="B720" s="33"/>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row>
    <row r="721" spans="1:47" ht="15.75" customHeight="1" x14ac:dyDescent="0.25">
      <c r="A721" s="2"/>
      <c r="B721" s="33"/>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row>
    <row r="722" spans="1:47" ht="15.75" customHeight="1" x14ac:dyDescent="0.25">
      <c r="A722" s="2"/>
      <c r="B722" s="33"/>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row>
    <row r="723" spans="1:47" ht="15.75" customHeight="1" x14ac:dyDescent="0.25">
      <c r="A723" s="2"/>
      <c r="B723" s="33"/>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row>
    <row r="724" spans="1:47" ht="15.75" customHeight="1" x14ac:dyDescent="0.25">
      <c r="A724" s="2"/>
      <c r="B724" s="33"/>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row>
    <row r="725" spans="1:47" ht="15.75" customHeight="1" x14ac:dyDescent="0.25">
      <c r="A725" s="2"/>
      <c r="B725" s="33"/>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row>
    <row r="726" spans="1:47" ht="15.75" customHeight="1" x14ac:dyDescent="0.25">
      <c r="A726" s="2"/>
      <c r="B726" s="33"/>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row>
    <row r="727" spans="1:47" ht="15.75" customHeight="1" x14ac:dyDescent="0.25">
      <c r="A727" s="2"/>
      <c r="B727" s="33"/>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row>
    <row r="728" spans="1:47" ht="15.75" customHeight="1" x14ac:dyDescent="0.25">
      <c r="A728" s="2"/>
      <c r="B728" s="33"/>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row>
    <row r="729" spans="1:47" ht="15.75" customHeight="1" x14ac:dyDescent="0.25">
      <c r="A729" s="2"/>
      <c r="B729" s="33"/>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row>
    <row r="730" spans="1:47" ht="15.75" customHeight="1" x14ac:dyDescent="0.25">
      <c r="A730" s="2"/>
      <c r="B730" s="33"/>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row>
    <row r="731" spans="1:47" ht="15.75" customHeight="1" x14ac:dyDescent="0.25">
      <c r="A731" s="2"/>
      <c r="B731" s="33"/>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row>
    <row r="732" spans="1:47" ht="15.75" customHeight="1" x14ac:dyDescent="0.25">
      <c r="A732" s="2"/>
      <c r="B732" s="33"/>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row>
    <row r="733" spans="1:47" ht="15.75" customHeight="1" x14ac:dyDescent="0.25">
      <c r="A733" s="2"/>
      <c r="B733" s="33"/>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row>
    <row r="734" spans="1:47" ht="15.75" customHeight="1" x14ac:dyDescent="0.25">
      <c r="A734" s="2"/>
      <c r="B734" s="33"/>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row>
    <row r="735" spans="1:47" ht="15.75" customHeight="1" x14ac:dyDescent="0.25">
      <c r="A735" s="2"/>
      <c r="B735" s="33"/>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row>
    <row r="736" spans="1:47" ht="15.75" customHeight="1" x14ac:dyDescent="0.25">
      <c r="A736" s="2"/>
      <c r="B736" s="33"/>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row>
    <row r="737" spans="1:47" ht="15.75" customHeight="1" x14ac:dyDescent="0.25">
      <c r="A737" s="2"/>
      <c r="B737" s="33"/>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row>
    <row r="738" spans="1:47" ht="15.75" customHeight="1" x14ac:dyDescent="0.25">
      <c r="A738" s="2"/>
      <c r="B738" s="33"/>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row>
    <row r="739" spans="1:47" ht="15.75" customHeight="1" x14ac:dyDescent="0.25">
      <c r="A739" s="2"/>
      <c r="B739" s="33"/>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row>
    <row r="740" spans="1:47" ht="15.75" customHeight="1" x14ac:dyDescent="0.25">
      <c r="A740" s="2"/>
      <c r="B740" s="33"/>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row>
    <row r="741" spans="1:47" ht="15.75" customHeight="1" x14ac:dyDescent="0.25">
      <c r="A741" s="2"/>
      <c r="B741" s="33"/>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row>
    <row r="742" spans="1:47" ht="15.75" customHeight="1" x14ac:dyDescent="0.25">
      <c r="A742" s="2"/>
      <c r="B742" s="33"/>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row>
    <row r="743" spans="1:47" ht="15.75" customHeight="1" x14ac:dyDescent="0.25">
      <c r="A743" s="2"/>
      <c r="B743" s="33"/>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row>
    <row r="744" spans="1:47" ht="15.75" customHeight="1" x14ac:dyDescent="0.25">
      <c r="A744" s="2"/>
      <c r="B744" s="33"/>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row>
    <row r="745" spans="1:47" ht="15.75" customHeight="1" x14ac:dyDescent="0.25">
      <c r="A745" s="2"/>
      <c r="B745" s="33"/>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row>
    <row r="746" spans="1:47" ht="15.75" customHeight="1" x14ac:dyDescent="0.25">
      <c r="A746" s="2"/>
      <c r="B746" s="33"/>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row>
    <row r="747" spans="1:47" ht="15.75" customHeight="1" x14ac:dyDescent="0.25">
      <c r="A747" s="2"/>
      <c r="B747" s="33"/>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row>
    <row r="748" spans="1:47" ht="15.75" customHeight="1" x14ac:dyDescent="0.25">
      <c r="A748" s="2"/>
      <c r="B748" s="33"/>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row>
    <row r="749" spans="1:47" ht="15.75" customHeight="1" x14ac:dyDescent="0.25">
      <c r="A749" s="2"/>
      <c r="B749" s="33"/>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row>
    <row r="750" spans="1:47" ht="15.75" customHeight="1" x14ac:dyDescent="0.25">
      <c r="A750" s="2"/>
      <c r="B750" s="33"/>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row>
    <row r="751" spans="1:47" ht="15.75" customHeight="1" x14ac:dyDescent="0.25">
      <c r="A751" s="2"/>
      <c r="B751" s="33"/>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row>
    <row r="752" spans="1:47" ht="15.75" customHeight="1" x14ac:dyDescent="0.25">
      <c r="A752" s="2"/>
      <c r="B752" s="33"/>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row>
    <row r="753" spans="1:47" ht="15.75" customHeight="1" x14ac:dyDescent="0.25">
      <c r="A753" s="2"/>
      <c r="B753" s="33"/>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row>
    <row r="754" spans="1:47" ht="15.75" customHeight="1" x14ac:dyDescent="0.25">
      <c r="A754" s="2"/>
      <c r="B754" s="33"/>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row>
    <row r="755" spans="1:47" ht="15.75" customHeight="1" x14ac:dyDescent="0.25">
      <c r="A755" s="2"/>
      <c r="B755" s="33"/>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row>
    <row r="756" spans="1:47" ht="15.75" customHeight="1" x14ac:dyDescent="0.25">
      <c r="A756" s="2"/>
      <c r="B756" s="33"/>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row>
    <row r="757" spans="1:47" ht="15.75" customHeight="1" x14ac:dyDescent="0.25">
      <c r="A757" s="2"/>
      <c r="B757" s="33"/>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row>
    <row r="758" spans="1:47" ht="15.75" customHeight="1" x14ac:dyDescent="0.25">
      <c r="A758" s="2"/>
      <c r="B758" s="33"/>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row>
    <row r="759" spans="1:47" ht="15.75" customHeight="1" x14ac:dyDescent="0.25">
      <c r="A759" s="2"/>
      <c r="B759" s="33"/>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row>
    <row r="760" spans="1:47" ht="15.75" customHeight="1" x14ac:dyDescent="0.25">
      <c r="A760" s="2"/>
      <c r="B760" s="33"/>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row>
    <row r="761" spans="1:47" ht="15.75" customHeight="1" x14ac:dyDescent="0.25">
      <c r="A761" s="2"/>
      <c r="B761" s="33"/>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row>
    <row r="762" spans="1:47" ht="15.75" customHeight="1" x14ac:dyDescent="0.25">
      <c r="A762" s="2"/>
      <c r="B762" s="33"/>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row>
    <row r="763" spans="1:47" ht="15.75" customHeight="1" x14ac:dyDescent="0.25">
      <c r="A763" s="2"/>
      <c r="B763" s="33"/>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row>
    <row r="764" spans="1:47" ht="15.75" customHeight="1" x14ac:dyDescent="0.25">
      <c r="A764" s="2"/>
      <c r="B764" s="33"/>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row>
    <row r="765" spans="1:47" ht="15.75" customHeight="1" x14ac:dyDescent="0.25">
      <c r="A765" s="2"/>
      <c r="B765" s="33"/>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row>
    <row r="766" spans="1:47" ht="15.75" customHeight="1" x14ac:dyDescent="0.25">
      <c r="A766" s="2"/>
      <c r="B766" s="33"/>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row>
    <row r="767" spans="1:47" ht="15.75" customHeight="1" x14ac:dyDescent="0.25">
      <c r="A767" s="2"/>
      <c r="B767" s="33"/>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row>
    <row r="768" spans="1:47" ht="15.75" customHeight="1" x14ac:dyDescent="0.25">
      <c r="A768" s="2"/>
      <c r="B768" s="33"/>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row>
    <row r="769" spans="1:47" ht="15.75" customHeight="1" x14ac:dyDescent="0.25">
      <c r="A769" s="2"/>
      <c r="B769" s="33"/>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row>
    <row r="770" spans="1:47" ht="15.75" customHeight="1" x14ac:dyDescent="0.25">
      <c r="A770" s="2"/>
      <c r="B770" s="33"/>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row>
    <row r="771" spans="1:47" ht="15.75" customHeight="1" x14ac:dyDescent="0.25">
      <c r="A771" s="2"/>
      <c r="B771" s="33"/>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row>
    <row r="772" spans="1:47" ht="15.75" customHeight="1" x14ac:dyDescent="0.25">
      <c r="A772" s="2"/>
      <c r="B772" s="33"/>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row>
    <row r="773" spans="1:47" ht="15.75" customHeight="1" x14ac:dyDescent="0.25">
      <c r="A773" s="2"/>
      <c r="B773" s="33"/>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row>
    <row r="774" spans="1:47" ht="15.75" customHeight="1" x14ac:dyDescent="0.25">
      <c r="A774" s="2"/>
      <c r="B774" s="33"/>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row>
    <row r="775" spans="1:47" ht="15.75" customHeight="1" x14ac:dyDescent="0.25">
      <c r="A775" s="2"/>
      <c r="B775" s="33"/>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row>
    <row r="776" spans="1:47" ht="15.75" customHeight="1" x14ac:dyDescent="0.25">
      <c r="A776" s="2"/>
      <c r="B776" s="33"/>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row>
    <row r="777" spans="1:47" ht="15.75" customHeight="1" x14ac:dyDescent="0.25">
      <c r="A777" s="2"/>
      <c r="B777" s="33"/>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row>
    <row r="778" spans="1:47" ht="15.75" customHeight="1" x14ac:dyDescent="0.25">
      <c r="A778" s="2"/>
      <c r="B778" s="33"/>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row>
    <row r="779" spans="1:47" ht="15.75" customHeight="1" x14ac:dyDescent="0.25">
      <c r="A779" s="2"/>
      <c r="B779" s="33"/>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row>
    <row r="780" spans="1:47" ht="15.75" customHeight="1" x14ac:dyDescent="0.25">
      <c r="A780" s="2"/>
      <c r="B780" s="33"/>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row>
    <row r="781" spans="1:47" ht="15.75" customHeight="1" x14ac:dyDescent="0.25">
      <c r="A781" s="2"/>
      <c r="B781" s="33"/>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row>
    <row r="782" spans="1:47" ht="15.75" customHeight="1" x14ac:dyDescent="0.25">
      <c r="A782" s="2"/>
      <c r="B782" s="33"/>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row>
    <row r="783" spans="1:47" ht="15.75" customHeight="1" x14ac:dyDescent="0.25">
      <c r="A783" s="2"/>
      <c r="B783" s="33"/>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row>
    <row r="784" spans="1:47" ht="15.75" customHeight="1" x14ac:dyDescent="0.25">
      <c r="A784" s="2"/>
      <c r="B784" s="33"/>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row>
    <row r="785" spans="1:47" ht="15.75" customHeight="1" x14ac:dyDescent="0.25">
      <c r="A785" s="2"/>
      <c r="B785" s="33"/>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row>
    <row r="786" spans="1:47" ht="15.75" customHeight="1" x14ac:dyDescent="0.25">
      <c r="A786" s="2"/>
      <c r="B786" s="33"/>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row>
    <row r="787" spans="1:47" ht="15.75" customHeight="1" x14ac:dyDescent="0.25">
      <c r="A787" s="2"/>
      <c r="B787" s="33"/>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row>
    <row r="788" spans="1:47" ht="15.75" customHeight="1" x14ac:dyDescent="0.25">
      <c r="A788" s="2"/>
      <c r="B788" s="33"/>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row>
    <row r="789" spans="1:47" ht="15.75" customHeight="1" x14ac:dyDescent="0.25">
      <c r="A789" s="2"/>
      <c r="B789" s="33"/>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row>
    <row r="790" spans="1:47" ht="15.75" customHeight="1" x14ac:dyDescent="0.25">
      <c r="A790" s="2"/>
      <c r="B790" s="33"/>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row>
    <row r="791" spans="1:47" ht="15.75" customHeight="1" x14ac:dyDescent="0.25">
      <c r="A791" s="2"/>
      <c r="B791" s="33"/>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row>
    <row r="792" spans="1:47" ht="15.75" customHeight="1" x14ac:dyDescent="0.25">
      <c r="A792" s="2"/>
      <c r="B792" s="33"/>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row>
    <row r="793" spans="1:47" ht="15.75" customHeight="1" x14ac:dyDescent="0.25">
      <c r="A793" s="2"/>
      <c r="B793" s="33"/>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row>
    <row r="794" spans="1:47" ht="15.75" customHeight="1" x14ac:dyDescent="0.25">
      <c r="A794" s="2"/>
      <c r="B794" s="33"/>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row>
    <row r="795" spans="1:47" ht="15.75" customHeight="1" x14ac:dyDescent="0.25">
      <c r="A795" s="2"/>
      <c r="B795" s="33"/>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row>
    <row r="796" spans="1:47" ht="15.75" customHeight="1" x14ac:dyDescent="0.25">
      <c r="A796" s="2"/>
      <c r="B796" s="33"/>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row>
    <row r="797" spans="1:47" ht="15.75" customHeight="1" x14ac:dyDescent="0.25">
      <c r="A797" s="2"/>
      <c r="B797" s="33"/>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row>
    <row r="798" spans="1:47" ht="15.75" customHeight="1" x14ac:dyDescent="0.25">
      <c r="A798" s="2"/>
      <c r="B798" s="33"/>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row>
    <row r="799" spans="1:47" ht="15.75" customHeight="1" x14ac:dyDescent="0.25">
      <c r="A799" s="2"/>
      <c r="B799" s="33"/>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row>
    <row r="800" spans="1:47" ht="15.75" customHeight="1" x14ac:dyDescent="0.25">
      <c r="A800" s="2"/>
      <c r="B800" s="33"/>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row>
    <row r="801" spans="1:47" ht="15.75" customHeight="1" x14ac:dyDescent="0.25">
      <c r="A801" s="2"/>
      <c r="B801" s="33"/>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row>
    <row r="802" spans="1:47" ht="15.75" customHeight="1" x14ac:dyDescent="0.25">
      <c r="A802" s="2"/>
      <c r="B802" s="33"/>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row>
    <row r="803" spans="1:47" ht="15.75" customHeight="1" x14ac:dyDescent="0.25">
      <c r="A803" s="2"/>
      <c r="B803" s="33"/>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row>
    <row r="804" spans="1:47" ht="15.75" customHeight="1" x14ac:dyDescent="0.25">
      <c r="A804" s="2"/>
      <c r="B804" s="33"/>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row>
    <row r="805" spans="1:47" ht="15.75" customHeight="1" x14ac:dyDescent="0.25">
      <c r="A805" s="2"/>
      <c r="B805" s="33"/>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row>
    <row r="806" spans="1:47" ht="15.75" customHeight="1" x14ac:dyDescent="0.25">
      <c r="A806" s="2"/>
      <c r="B806" s="33"/>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row>
    <row r="807" spans="1:47" ht="15.75" customHeight="1" x14ac:dyDescent="0.25">
      <c r="A807" s="2"/>
      <c r="B807" s="33"/>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row>
    <row r="808" spans="1:47" ht="15.75" customHeight="1" x14ac:dyDescent="0.25">
      <c r="A808" s="2"/>
      <c r="B808" s="33"/>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row>
    <row r="809" spans="1:47" ht="15.75" customHeight="1" x14ac:dyDescent="0.25">
      <c r="A809" s="2"/>
      <c r="B809" s="33"/>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row>
    <row r="810" spans="1:47" ht="15.75" customHeight="1" x14ac:dyDescent="0.25">
      <c r="A810" s="2"/>
      <c r="B810" s="33"/>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row>
    <row r="811" spans="1:47" ht="15.75" customHeight="1" x14ac:dyDescent="0.25">
      <c r="A811" s="2"/>
      <c r="B811" s="33"/>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row>
    <row r="812" spans="1:47" ht="15.75" customHeight="1" x14ac:dyDescent="0.25">
      <c r="A812" s="2"/>
      <c r="B812" s="33"/>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row>
    <row r="813" spans="1:47" ht="15.75" customHeight="1" x14ac:dyDescent="0.25">
      <c r="A813" s="2"/>
      <c r="B813" s="33"/>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row>
    <row r="814" spans="1:47" ht="15.75" customHeight="1" x14ac:dyDescent="0.25">
      <c r="A814" s="2"/>
      <c r="B814" s="33"/>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row>
    <row r="815" spans="1:47" ht="15.75" customHeight="1" x14ac:dyDescent="0.25">
      <c r="A815" s="2"/>
      <c r="B815" s="33"/>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row>
    <row r="816" spans="1:47" ht="15.75" customHeight="1" x14ac:dyDescent="0.25">
      <c r="A816" s="2"/>
      <c r="B816" s="33"/>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row>
    <row r="817" spans="1:47" ht="15.75" customHeight="1" x14ac:dyDescent="0.25">
      <c r="A817" s="2"/>
      <c r="B817" s="33"/>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row>
    <row r="818" spans="1:47" ht="15.75" customHeight="1" x14ac:dyDescent="0.25">
      <c r="A818" s="2"/>
      <c r="B818" s="33"/>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row>
    <row r="819" spans="1:47" ht="15.75" customHeight="1" x14ac:dyDescent="0.25">
      <c r="A819" s="2"/>
      <c r="B819" s="33"/>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row>
    <row r="820" spans="1:47" ht="15.75" customHeight="1" x14ac:dyDescent="0.25">
      <c r="A820" s="2"/>
      <c r="B820" s="33"/>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row>
    <row r="821" spans="1:47" ht="15.75" customHeight="1" x14ac:dyDescent="0.25">
      <c r="A821" s="2"/>
      <c r="B821" s="33"/>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row>
    <row r="822" spans="1:47" ht="15.75" customHeight="1" x14ac:dyDescent="0.25">
      <c r="A822" s="2"/>
      <c r="B822" s="33"/>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row>
    <row r="823" spans="1:47" ht="15.75" customHeight="1" x14ac:dyDescent="0.25">
      <c r="A823" s="2"/>
      <c r="B823" s="33"/>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row>
    <row r="824" spans="1:47" ht="15.75" customHeight="1" x14ac:dyDescent="0.25">
      <c r="A824" s="2"/>
      <c r="B824" s="33"/>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row>
    <row r="825" spans="1:47" ht="15.75" customHeight="1" x14ac:dyDescent="0.25">
      <c r="A825" s="2"/>
      <c r="B825" s="33"/>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row>
    <row r="826" spans="1:47" ht="15.75" customHeight="1" x14ac:dyDescent="0.25">
      <c r="A826" s="2"/>
      <c r="B826" s="33"/>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row>
    <row r="827" spans="1:47" ht="15.75" customHeight="1" x14ac:dyDescent="0.25">
      <c r="A827" s="2"/>
      <c r="B827" s="33"/>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row>
    <row r="828" spans="1:47" ht="15.75" customHeight="1" x14ac:dyDescent="0.25">
      <c r="A828" s="2"/>
      <c r="B828" s="33"/>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row>
    <row r="829" spans="1:47" ht="15.75" customHeight="1" x14ac:dyDescent="0.25">
      <c r="A829" s="2"/>
      <c r="B829" s="33"/>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row>
    <row r="830" spans="1:47" ht="15.75" customHeight="1" x14ac:dyDescent="0.25">
      <c r="A830" s="2"/>
      <c r="B830" s="33"/>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row>
    <row r="831" spans="1:47" ht="15.75" customHeight="1" x14ac:dyDescent="0.25">
      <c r="A831" s="2"/>
      <c r="B831" s="33"/>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row>
    <row r="832" spans="1:47" ht="15.75" customHeight="1" x14ac:dyDescent="0.25">
      <c r="A832" s="2"/>
      <c r="B832" s="33"/>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row>
    <row r="833" spans="1:47" ht="15.75" customHeight="1" x14ac:dyDescent="0.25">
      <c r="A833" s="2"/>
      <c r="B833" s="33"/>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row>
    <row r="834" spans="1:47" ht="15.75" customHeight="1" x14ac:dyDescent="0.25">
      <c r="A834" s="2"/>
      <c r="B834" s="33"/>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row>
    <row r="835" spans="1:47" ht="15.75" customHeight="1" x14ac:dyDescent="0.25">
      <c r="A835" s="2"/>
      <c r="B835" s="33"/>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row>
    <row r="836" spans="1:47" ht="15.75" customHeight="1" x14ac:dyDescent="0.25">
      <c r="A836" s="2"/>
      <c r="B836" s="33"/>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row>
    <row r="837" spans="1:47" ht="15.75" customHeight="1" x14ac:dyDescent="0.25">
      <c r="A837" s="2"/>
      <c r="B837" s="33"/>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row>
    <row r="838" spans="1:47" ht="15.75" customHeight="1" x14ac:dyDescent="0.25">
      <c r="A838" s="2"/>
      <c r="B838" s="33"/>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row>
    <row r="839" spans="1:47" ht="15.75" customHeight="1" x14ac:dyDescent="0.25">
      <c r="A839" s="2"/>
      <c r="B839" s="33"/>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row>
    <row r="840" spans="1:47" ht="15.75" customHeight="1" x14ac:dyDescent="0.25">
      <c r="A840" s="2"/>
      <c r="B840" s="33"/>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row>
    <row r="841" spans="1:47" ht="15.75" customHeight="1" x14ac:dyDescent="0.25">
      <c r="A841" s="2"/>
      <c r="B841" s="33"/>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row>
    <row r="842" spans="1:47" ht="15.75" customHeight="1" x14ac:dyDescent="0.25">
      <c r="A842" s="2"/>
      <c r="B842" s="33"/>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row>
    <row r="843" spans="1:47" ht="15.75" customHeight="1" x14ac:dyDescent="0.25">
      <c r="A843" s="2"/>
      <c r="B843" s="33"/>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row>
    <row r="844" spans="1:47" ht="15.75" customHeight="1" x14ac:dyDescent="0.25">
      <c r="A844" s="2"/>
      <c r="B844" s="33"/>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row>
    <row r="845" spans="1:47" ht="15.75" customHeight="1" x14ac:dyDescent="0.25">
      <c r="A845" s="2"/>
      <c r="B845" s="33"/>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row>
    <row r="846" spans="1:47" ht="15.75" customHeight="1" x14ac:dyDescent="0.25">
      <c r="A846" s="2"/>
      <c r="B846" s="33"/>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row>
    <row r="847" spans="1:47" ht="15.75" customHeight="1" x14ac:dyDescent="0.25">
      <c r="A847" s="2"/>
      <c r="B847" s="33"/>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row>
    <row r="848" spans="1:47" ht="15.75" customHeight="1" x14ac:dyDescent="0.25">
      <c r="A848" s="2"/>
      <c r="B848" s="33"/>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row>
    <row r="849" spans="1:47" ht="15.75" customHeight="1" x14ac:dyDescent="0.25">
      <c r="A849" s="2"/>
      <c r="B849" s="33"/>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row>
    <row r="850" spans="1:47" ht="15.75" customHeight="1" x14ac:dyDescent="0.25">
      <c r="A850" s="2"/>
      <c r="B850" s="33"/>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row>
    <row r="851" spans="1:47" ht="15.75" customHeight="1" x14ac:dyDescent="0.25">
      <c r="A851" s="2"/>
      <c r="B851" s="33"/>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row>
    <row r="852" spans="1:47" ht="15.75" customHeight="1" x14ac:dyDescent="0.25">
      <c r="A852" s="2"/>
      <c r="B852" s="33"/>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row>
    <row r="853" spans="1:47" ht="15.75" customHeight="1" x14ac:dyDescent="0.25">
      <c r="A853" s="2"/>
      <c r="B853" s="33"/>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row>
    <row r="854" spans="1:47" ht="15.75" customHeight="1" x14ac:dyDescent="0.25">
      <c r="A854" s="2"/>
      <c r="B854" s="33"/>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row>
    <row r="855" spans="1:47" ht="15.75" customHeight="1" x14ac:dyDescent="0.25">
      <c r="A855" s="2"/>
      <c r="B855" s="33"/>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row>
    <row r="856" spans="1:47" ht="15.75" customHeight="1" x14ac:dyDescent="0.25">
      <c r="A856" s="2"/>
      <c r="B856" s="33"/>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row>
    <row r="857" spans="1:47" ht="15.75" customHeight="1" x14ac:dyDescent="0.25">
      <c r="A857" s="2"/>
      <c r="B857" s="33"/>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row>
    <row r="858" spans="1:47" ht="15.75" customHeight="1" x14ac:dyDescent="0.25">
      <c r="A858" s="2"/>
      <c r="B858" s="33"/>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row>
    <row r="859" spans="1:47" ht="15.75" customHeight="1" x14ac:dyDescent="0.25">
      <c r="A859" s="2"/>
      <c r="B859" s="33"/>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row>
    <row r="860" spans="1:47" ht="15.75" customHeight="1" x14ac:dyDescent="0.25">
      <c r="A860" s="2"/>
      <c r="B860" s="33"/>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row>
    <row r="861" spans="1:47" ht="15.75" customHeight="1" x14ac:dyDescent="0.25">
      <c r="A861" s="2"/>
      <c r="B861" s="33"/>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row>
    <row r="862" spans="1:47" ht="15.75" customHeight="1" x14ac:dyDescent="0.25">
      <c r="A862" s="2"/>
      <c r="B862" s="33"/>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row>
    <row r="863" spans="1:47" ht="15.75" customHeight="1" x14ac:dyDescent="0.25">
      <c r="A863" s="2"/>
      <c r="B863" s="33"/>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row>
    <row r="864" spans="1:47" ht="15.75" customHeight="1" x14ac:dyDescent="0.25">
      <c r="A864" s="2"/>
      <c r="B864" s="33"/>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row>
    <row r="865" spans="1:47" ht="15.75" customHeight="1" x14ac:dyDescent="0.25">
      <c r="A865" s="2"/>
      <c r="B865" s="33"/>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row>
    <row r="866" spans="1:47" ht="15.75" customHeight="1" x14ac:dyDescent="0.25">
      <c r="A866" s="2"/>
      <c r="B866" s="33"/>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row>
    <row r="867" spans="1:47" ht="15.75" customHeight="1" x14ac:dyDescent="0.25">
      <c r="A867" s="2"/>
      <c r="B867" s="33"/>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row>
    <row r="868" spans="1:47" ht="15.75" customHeight="1" x14ac:dyDescent="0.25">
      <c r="A868" s="2"/>
      <c r="B868" s="33"/>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row>
    <row r="869" spans="1:47" ht="15.75" customHeight="1" x14ac:dyDescent="0.25">
      <c r="A869" s="2"/>
      <c r="B869" s="33"/>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row>
    <row r="870" spans="1:47" ht="15.75" customHeight="1" x14ac:dyDescent="0.25">
      <c r="A870" s="2"/>
      <c r="B870" s="33"/>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row>
    <row r="871" spans="1:47" ht="15.75" customHeight="1" x14ac:dyDescent="0.25">
      <c r="A871" s="2"/>
      <c r="B871" s="33"/>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row>
    <row r="872" spans="1:47" ht="15.75" customHeight="1" x14ac:dyDescent="0.25">
      <c r="A872" s="2"/>
      <c r="B872" s="33"/>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row>
    <row r="873" spans="1:47" ht="15.75" customHeight="1" x14ac:dyDescent="0.25">
      <c r="A873" s="2"/>
      <c r="B873" s="33"/>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row>
    <row r="874" spans="1:47" ht="15.75" customHeight="1" x14ac:dyDescent="0.25">
      <c r="A874" s="2"/>
      <c r="B874" s="33"/>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row>
    <row r="875" spans="1:47" ht="15.75" customHeight="1" x14ac:dyDescent="0.25">
      <c r="A875" s="2"/>
      <c r="B875" s="33"/>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row>
    <row r="876" spans="1:47" ht="15.75" customHeight="1" x14ac:dyDescent="0.25">
      <c r="A876" s="2"/>
      <c r="B876" s="33"/>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row>
    <row r="877" spans="1:47" ht="15.75" customHeight="1" x14ac:dyDescent="0.25">
      <c r="A877" s="2"/>
      <c r="B877" s="33"/>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row>
    <row r="878" spans="1:47" ht="15.75" customHeight="1" x14ac:dyDescent="0.25">
      <c r="A878" s="2"/>
      <c r="B878" s="33"/>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row>
    <row r="879" spans="1:47" ht="15.75" customHeight="1" x14ac:dyDescent="0.25">
      <c r="A879" s="2"/>
      <c r="B879" s="33"/>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row>
    <row r="880" spans="1:47" ht="15.75" customHeight="1" x14ac:dyDescent="0.25">
      <c r="A880" s="2"/>
      <c r="B880" s="33"/>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row>
    <row r="881" spans="1:47" ht="15.75" customHeight="1" x14ac:dyDescent="0.25">
      <c r="A881" s="2"/>
      <c r="B881" s="33"/>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row>
    <row r="882" spans="1:47" ht="15.75" customHeight="1" x14ac:dyDescent="0.25">
      <c r="A882" s="2"/>
      <c r="B882" s="33"/>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row>
    <row r="883" spans="1:47" ht="15.75" customHeight="1" x14ac:dyDescent="0.25">
      <c r="A883" s="2"/>
      <c r="B883" s="33"/>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row>
    <row r="884" spans="1:47" ht="15.75" customHeight="1" x14ac:dyDescent="0.25">
      <c r="A884" s="2"/>
      <c r="B884" s="33"/>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row>
    <row r="885" spans="1:47" ht="15.75" customHeight="1" x14ac:dyDescent="0.25">
      <c r="A885" s="2"/>
      <c r="B885" s="33"/>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row>
    <row r="886" spans="1:47" ht="15.75" customHeight="1" x14ac:dyDescent="0.25">
      <c r="A886" s="2"/>
      <c r="B886" s="33"/>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row>
    <row r="887" spans="1:47" ht="15.75" customHeight="1" x14ac:dyDescent="0.25">
      <c r="A887" s="2"/>
      <c r="B887" s="33"/>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row>
    <row r="888" spans="1:47" ht="15.75" customHeight="1" x14ac:dyDescent="0.25">
      <c r="A888" s="2"/>
      <c r="B888" s="33"/>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row>
    <row r="889" spans="1:47" ht="15.75" customHeight="1" x14ac:dyDescent="0.25">
      <c r="A889" s="2"/>
      <c r="B889" s="33"/>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row>
    <row r="890" spans="1:47" ht="15.75" customHeight="1" x14ac:dyDescent="0.25">
      <c r="A890" s="2"/>
      <c r="B890" s="33"/>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row>
    <row r="891" spans="1:47" ht="15.75" customHeight="1" x14ac:dyDescent="0.25">
      <c r="A891" s="2"/>
      <c r="B891" s="33"/>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row>
    <row r="892" spans="1:47" ht="15.75" customHeight="1" x14ac:dyDescent="0.25">
      <c r="A892" s="2"/>
      <c r="B892" s="33"/>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row>
    <row r="893" spans="1:47" ht="15.75" customHeight="1" x14ac:dyDescent="0.25">
      <c r="A893" s="2"/>
      <c r="B893" s="33"/>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row>
    <row r="894" spans="1:47" ht="15.75" customHeight="1" x14ac:dyDescent="0.25">
      <c r="A894" s="2"/>
      <c r="B894" s="33"/>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row>
    <row r="895" spans="1:47" ht="15.75" customHeight="1" x14ac:dyDescent="0.25">
      <c r="A895" s="2"/>
      <c r="B895" s="33"/>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row>
    <row r="896" spans="1:47" ht="15.75" customHeight="1" x14ac:dyDescent="0.25">
      <c r="A896" s="2"/>
      <c r="B896" s="33"/>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row>
    <row r="897" spans="1:47" ht="15.75" customHeight="1" x14ac:dyDescent="0.25">
      <c r="A897" s="2"/>
      <c r="B897" s="33"/>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row>
    <row r="898" spans="1:47" ht="15.75" customHeight="1" x14ac:dyDescent="0.25">
      <c r="A898" s="2"/>
      <c r="B898" s="33"/>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row>
    <row r="899" spans="1:47" ht="15.75" customHeight="1" x14ac:dyDescent="0.25">
      <c r="A899" s="2"/>
      <c r="B899" s="33"/>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row>
    <row r="900" spans="1:47" ht="15.75" customHeight="1" x14ac:dyDescent="0.25">
      <c r="A900" s="2"/>
      <c r="B900" s="33"/>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row>
    <row r="901" spans="1:47" ht="15.75" customHeight="1" x14ac:dyDescent="0.25">
      <c r="A901" s="2"/>
      <c r="B901" s="33"/>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row>
    <row r="902" spans="1:47" ht="15.75" customHeight="1" x14ac:dyDescent="0.25">
      <c r="A902" s="2"/>
      <c r="B902" s="33"/>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row>
    <row r="903" spans="1:47" ht="15.75" customHeight="1" x14ac:dyDescent="0.25">
      <c r="A903" s="2"/>
      <c r="B903" s="33"/>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row>
    <row r="904" spans="1:47" ht="15.75" customHeight="1" x14ac:dyDescent="0.25">
      <c r="A904" s="2"/>
      <c r="B904" s="33"/>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row>
    <row r="905" spans="1:47" ht="15.75" customHeight="1" x14ac:dyDescent="0.25">
      <c r="A905" s="2"/>
      <c r="B905" s="33"/>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row>
    <row r="906" spans="1:47" ht="15.75" customHeight="1" x14ac:dyDescent="0.25">
      <c r="A906" s="2"/>
      <c r="B906" s="33"/>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row>
    <row r="907" spans="1:47" ht="15.75" customHeight="1" x14ac:dyDescent="0.25">
      <c r="A907" s="2"/>
      <c r="B907" s="33"/>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row>
    <row r="908" spans="1:47" ht="15.75" customHeight="1" x14ac:dyDescent="0.25">
      <c r="A908" s="2"/>
      <c r="B908" s="33"/>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row>
    <row r="909" spans="1:47" ht="15.75" customHeight="1" x14ac:dyDescent="0.25">
      <c r="A909" s="2"/>
      <c r="B909" s="33"/>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row>
    <row r="910" spans="1:47" ht="15.75" customHeight="1" x14ac:dyDescent="0.25">
      <c r="A910" s="2"/>
      <c r="B910" s="33"/>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row>
    <row r="911" spans="1:47" ht="15.75" customHeight="1" x14ac:dyDescent="0.25">
      <c r="A911" s="2"/>
      <c r="B911" s="33"/>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row>
    <row r="912" spans="1:47" ht="15.75" customHeight="1" x14ac:dyDescent="0.25">
      <c r="A912" s="2"/>
      <c r="B912" s="33"/>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row>
    <row r="913" spans="1:47" ht="15.75" customHeight="1" x14ac:dyDescent="0.25">
      <c r="A913" s="2"/>
      <c r="B913" s="33"/>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row>
    <row r="914" spans="1:47" ht="15.75" customHeight="1" x14ac:dyDescent="0.25">
      <c r="A914" s="2"/>
      <c r="B914" s="33"/>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row>
    <row r="915" spans="1:47" ht="15.75" customHeight="1" x14ac:dyDescent="0.25">
      <c r="A915" s="2"/>
      <c r="B915" s="33"/>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row>
    <row r="916" spans="1:47" ht="15.75" customHeight="1" x14ac:dyDescent="0.25">
      <c r="A916" s="2"/>
      <c r="B916" s="33"/>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row>
    <row r="917" spans="1:47" ht="15.75" customHeight="1" x14ac:dyDescent="0.25">
      <c r="A917" s="2"/>
      <c r="B917" s="33"/>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row>
    <row r="918" spans="1:47" ht="15.75" customHeight="1" x14ac:dyDescent="0.25">
      <c r="A918" s="2"/>
      <c r="B918" s="33"/>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row>
    <row r="919" spans="1:47" ht="15.75" customHeight="1" x14ac:dyDescent="0.25">
      <c r="A919" s="2"/>
      <c r="B919" s="33"/>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row>
    <row r="920" spans="1:47" ht="15.75" customHeight="1" x14ac:dyDescent="0.25">
      <c r="A920" s="2"/>
      <c r="B920" s="33"/>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row>
    <row r="921" spans="1:47" ht="15.75" customHeight="1" x14ac:dyDescent="0.25">
      <c r="A921" s="2"/>
      <c r="B921" s="33"/>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row>
    <row r="922" spans="1:47" ht="15.75" customHeight="1" x14ac:dyDescent="0.25">
      <c r="A922" s="2"/>
      <c r="B922" s="33"/>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row>
    <row r="923" spans="1:47" ht="15.75" customHeight="1" x14ac:dyDescent="0.25">
      <c r="A923" s="2"/>
      <c r="B923" s="33"/>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row>
    <row r="924" spans="1:47" ht="15.75" customHeight="1" x14ac:dyDescent="0.25">
      <c r="A924" s="2"/>
      <c r="B924" s="33"/>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row>
    <row r="925" spans="1:47" ht="15.75" customHeight="1" x14ac:dyDescent="0.25">
      <c r="A925" s="2"/>
      <c r="B925" s="33"/>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row>
    <row r="926" spans="1:47" ht="15.75" customHeight="1" x14ac:dyDescent="0.25">
      <c r="A926" s="2"/>
      <c r="B926" s="33"/>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row>
    <row r="927" spans="1:47" ht="15.75" customHeight="1" x14ac:dyDescent="0.25">
      <c r="A927" s="2"/>
      <c r="B927" s="33"/>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row>
    <row r="928" spans="1:47" ht="15.75" customHeight="1" x14ac:dyDescent="0.25">
      <c r="A928" s="2"/>
      <c r="B928" s="33"/>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row>
    <row r="929" spans="1:47" ht="15.75" customHeight="1" x14ac:dyDescent="0.25">
      <c r="A929" s="2"/>
      <c r="B929" s="33"/>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row>
    <row r="930" spans="1:47" ht="15.75" customHeight="1" x14ac:dyDescent="0.25">
      <c r="A930" s="2"/>
      <c r="B930" s="33"/>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row>
    <row r="931" spans="1:47" ht="15.75" customHeight="1" x14ac:dyDescent="0.25">
      <c r="A931" s="2"/>
      <c r="B931" s="33"/>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row>
    <row r="932" spans="1:47" ht="15.75" customHeight="1" x14ac:dyDescent="0.25">
      <c r="A932" s="2"/>
      <c r="B932" s="33"/>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row>
    <row r="933" spans="1:47" ht="15.75" customHeight="1" x14ac:dyDescent="0.25">
      <c r="A933" s="2"/>
      <c r="B933" s="33"/>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row>
    <row r="934" spans="1:47" ht="15.75" customHeight="1" x14ac:dyDescent="0.25">
      <c r="A934" s="2"/>
      <c r="B934" s="33"/>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row>
    <row r="935" spans="1:47" ht="15.75" customHeight="1" x14ac:dyDescent="0.25">
      <c r="A935" s="2"/>
      <c r="B935" s="33"/>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row>
    <row r="936" spans="1:47" ht="15.75" customHeight="1" x14ac:dyDescent="0.25">
      <c r="A936" s="2"/>
      <c r="B936" s="33"/>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row>
    <row r="937" spans="1:47" ht="15.75" customHeight="1" x14ac:dyDescent="0.25">
      <c r="A937" s="2"/>
      <c r="B937" s="33"/>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row>
    <row r="938" spans="1:47" ht="15.75" customHeight="1" x14ac:dyDescent="0.25">
      <c r="A938" s="2"/>
      <c r="B938" s="33"/>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row>
    <row r="939" spans="1:47" ht="15.75" customHeight="1" x14ac:dyDescent="0.25">
      <c r="A939" s="2"/>
      <c r="B939" s="33"/>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row>
    <row r="940" spans="1:47" ht="15.75" customHeight="1" x14ac:dyDescent="0.25">
      <c r="A940" s="2"/>
      <c r="B940" s="33"/>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row>
    <row r="941" spans="1:47" ht="15.75" customHeight="1" x14ac:dyDescent="0.25">
      <c r="A941" s="2"/>
      <c r="B941" s="33"/>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row>
    <row r="942" spans="1:47" ht="15.75" customHeight="1" x14ac:dyDescent="0.25">
      <c r="A942" s="2"/>
      <c r="B942" s="33"/>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row>
    <row r="943" spans="1:47" ht="15.75" customHeight="1" x14ac:dyDescent="0.25">
      <c r="A943" s="2"/>
      <c r="B943" s="33"/>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row>
    <row r="944" spans="1:47" ht="15.75" customHeight="1" x14ac:dyDescent="0.25">
      <c r="A944" s="2"/>
      <c r="B944" s="33"/>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row>
    <row r="945" spans="1:47" ht="15.75" customHeight="1" x14ac:dyDescent="0.25">
      <c r="A945" s="2"/>
      <c r="B945" s="33"/>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row>
    <row r="946" spans="1:47" ht="15.75" customHeight="1" x14ac:dyDescent="0.25">
      <c r="A946" s="2"/>
      <c r="B946" s="33"/>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row>
    <row r="947" spans="1:47" ht="15.75" customHeight="1" x14ac:dyDescent="0.25">
      <c r="A947" s="2"/>
      <c r="B947" s="33"/>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row>
    <row r="948" spans="1:47" ht="15.75" customHeight="1" x14ac:dyDescent="0.25">
      <c r="A948" s="2"/>
      <c r="B948" s="33"/>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row>
    <row r="949" spans="1:47" ht="15.75" customHeight="1" x14ac:dyDescent="0.25">
      <c r="A949" s="2"/>
      <c r="B949" s="33"/>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row>
    <row r="950" spans="1:47" ht="15.75" customHeight="1" x14ac:dyDescent="0.25">
      <c r="A950" s="2"/>
      <c r="B950" s="33"/>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row>
    <row r="951" spans="1:47" ht="15.75" customHeight="1" x14ac:dyDescent="0.25">
      <c r="A951" s="2"/>
      <c r="B951" s="33"/>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row>
    <row r="952" spans="1:47" ht="15.75" customHeight="1" x14ac:dyDescent="0.25">
      <c r="A952" s="2"/>
      <c r="B952" s="33"/>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row>
    <row r="953" spans="1:47" ht="15.75" customHeight="1" x14ac:dyDescent="0.25">
      <c r="A953" s="2"/>
      <c r="B953" s="33"/>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row>
    <row r="954" spans="1:47" ht="15.75" customHeight="1" x14ac:dyDescent="0.25">
      <c r="A954" s="2"/>
      <c r="B954" s="33"/>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row>
    <row r="955" spans="1:47" ht="15.75" customHeight="1" x14ac:dyDescent="0.25">
      <c r="A955" s="2"/>
      <c r="B955" s="33"/>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row>
    <row r="956" spans="1:47" ht="15.75" customHeight="1" x14ac:dyDescent="0.25">
      <c r="A956" s="2"/>
      <c r="B956" s="33"/>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row>
    <row r="957" spans="1:47" ht="15.75" customHeight="1" x14ac:dyDescent="0.25">
      <c r="A957" s="2"/>
      <c r="B957" s="33"/>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row>
    <row r="958" spans="1:47" ht="15.75" customHeight="1" x14ac:dyDescent="0.25">
      <c r="A958" s="2"/>
      <c r="B958" s="33"/>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row>
    <row r="959" spans="1:47" ht="15.75" customHeight="1" x14ac:dyDescent="0.25">
      <c r="A959" s="2"/>
      <c r="B959" s="33"/>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row>
    <row r="960" spans="1:47" ht="15.75" customHeight="1" x14ac:dyDescent="0.25">
      <c r="A960" s="2"/>
      <c r="B960" s="33"/>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row>
    <row r="961" spans="1:47" ht="15.75" customHeight="1" x14ac:dyDescent="0.25">
      <c r="A961" s="2"/>
      <c r="B961" s="33"/>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row>
    <row r="962" spans="1:47" ht="15.75" customHeight="1" x14ac:dyDescent="0.25">
      <c r="A962" s="2"/>
      <c r="B962" s="33"/>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row>
    <row r="963" spans="1:47" ht="15.75" customHeight="1" x14ac:dyDescent="0.25">
      <c r="A963" s="2"/>
      <c r="B963" s="33"/>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row>
    <row r="964" spans="1:47" ht="15.75" customHeight="1" x14ac:dyDescent="0.25">
      <c r="A964" s="2"/>
      <c r="B964" s="33"/>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row>
    <row r="965" spans="1:47" ht="15.75" customHeight="1" x14ac:dyDescent="0.25">
      <c r="A965" s="2"/>
      <c r="B965" s="33"/>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row>
    <row r="966" spans="1:47" ht="15.75" customHeight="1" x14ac:dyDescent="0.25">
      <c r="A966" s="2"/>
      <c r="B966" s="33"/>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row>
    <row r="967" spans="1:47" ht="15.75" customHeight="1" x14ac:dyDescent="0.25">
      <c r="A967" s="2"/>
      <c r="B967" s="33"/>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row>
    <row r="968" spans="1:47" ht="15.75" customHeight="1" x14ac:dyDescent="0.25">
      <c r="A968" s="2"/>
      <c r="B968" s="33"/>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row>
    <row r="969" spans="1:47" ht="15.75" customHeight="1" x14ac:dyDescent="0.25">
      <c r="A969" s="2"/>
      <c r="B969" s="33"/>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row>
    <row r="970" spans="1:47" ht="15.75" customHeight="1" x14ac:dyDescent="0.25">
      <c r="A970" s="2"/>
      <c r="B970" s="33"/>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row>
    <row r="971" spans="1:47" ht="15.75" customHeight="1" x14ac:dyDescent="0.25">
      <c r="A971" s="2"/>
      <c r="B971" s="33"/>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row>
    <row r="972" spans="1:47" ht="15.75" customHeight="1" x14ac:dyDescent="0.25">
      <c r="A972" s="2"/>
      <c r="B972" s="33"/>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row>
    <row r="973" spans="1:47" ht="15.75" customHeight="1" x14ac:dyDescent="0.25">
      <c r="A973" s="2"/>
      <c r="B973" s="33"/>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row>
    <row r="974" spans="1:47" ht="15.75" customHeight="1" x14ac:dyDescent="0.25">
      <c r="A974" s="2"/>
      <c r="B974" s="33"/>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row>
    <row r="975" spans="1:47" ht="15.75" customHeight="1" x14ac:dyDescent="0.25">
      <c r="A975" s="2"/>
      <c r="B975" s="33"/>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row>
    <row r="976" spans="1:47" ht="15.75" customHeight="1" x14ac:dyDescent="0.25">
      <c r="A976" s="2"/>
      <c r="B976" s="33"/>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row>
    <row r="977" spans="1:47" ht="15.75" customHeight="1" x14ac:dyDescent="0.25">
      <c r="A977" s="2"/>
      <c r="B977" s="33"/>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row>
    <row r="978" spans="1:47" ht="15.75" customHeight="1" x14ac:dyDescent="0.25">
      <c r="A978" s="2"/>
      <c r="B978" s="33"/>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row>
    <row r="979" spans="1:47" ht="15.75" customHeight="1" x14ac:dyDescent="0.25">
      <c r="A979" s="2"/>
      <c r="B979" s="33"/>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row>
    <row r="980" spans="1:47" ht="15.75" customHeight="1" x14ac:dyDescent="0.25">
      <c r="A980" s="2"/>
      <c r="B980" s="33"/>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row>
    <row r="981" spans="1:47" ht="15.75" customHeight="1" x14ac:dyDescent="0.25">
      <c r="A981" s="2"/>
      <c r="B981" s="33"/>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row>
    <row r="982" spans="1:47" ht="15.75" customHeight="1" x14ac:dyDescent="0.25">
      <c r="A982" s="2"/>
      <c r="B982" s="33"/>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row>
    <row r="983" spans="1:47" ht="15.75" customHeight="1" x14ac:dyDescent="0.25">
      <c r="A983" s="2"/>
      <c r="B983" s="33"/>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row>
    <row r="984" spans="1:47" ht="15.75" customHeight="1" x14ac:dyDescent="0.25">
      <c r="A984" s="2"/>
      <c r="B984" s="33"/>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row>
    <row r="985" spans="1:47" ht="15.75" customHeight="1" x14ac:dyDescent="0.25">
      <c r="A985" s="2"/>
      <c r="B985" s="33"/>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row>
    <row r="986" spans="1:47" ht="15.75" customHeight="1" x14ac:dyDescent="0.25">
      <c r="A986" s="2"/>
      <c r="B986" s="33"/>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row>
    <row r="987" spans="1:47" ht="15.75" customHeight="1" x14ac:dyDescent="0.25">
      <c r="A987" s="2"/>
      <c r="B987" s="33"/>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row>
    <row r="988" spans="1:47" ht="15.75" customHeight="1" x14ac:dyDescent="0.25">
      <c r="A988" s="2"/>
      <c r="B988" s="33"/>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row>
    <row r="989" spans="1:47" ht="15.75" customHeight="1" x14ac:dyDescent="0.25">
      <c r="A989" s="2"/>
      <c r="B989" s="33"/>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row>
    <row r="990" spans="1:47" ht="15.75" customHeight="1" x14ac:dyDescent="0.25">
      <c r="A990" s="2"/>
      <c r="B990" s="33"/>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row>
    <row r="991" spans="1:47" ht="15.75" customHeight="1" x14ac:dyDescent="0.25">
      <c r="A991" s="2"/>
      <c r="B991" s="33"/>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row>
    <row r="992" spans="1:47" ht="15.75" customHeight="1" x14ac:dyDescent="0.25">
      <c r="A992" s="2"/>
      <c r="B992" s="33"/>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row>
    <row r="993" spans="1:47" ht="15.75" customHeight="1" x14ac:dyDescent="0.25">
      <c r="A993" s="2"/>
      <c r="B993" s="33"/>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row>
    <row r="994" spans="1:47" ht="15.75" customHeight="1" x14ac:dyDescent="0.25">
      <c r="A994" s="2"/>
      <c r="B994" s="33"/>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row>
    <row r="995" spans="1:47" ht="15.75" customHeight="1" x14ac:dyDescent="0.25">
      <c r="A995" s="2"/>
      <c r="B995" s="33"/>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row>
    <row r="996" spans="1:47" ht="15.75" customHeight="1" x14ac:dyDescent="0.25">
      <c r="A996" s="2"/>
      <c r="B996" s="33"/>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row>
    <row r="997" spans="1:47" ht="15.75" customHeight="1" x14ac:dyDescent="0.25">
      <c r="A997" s="2"/>
      <c r="B997" s="33"/>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row>
    <row r="998" spans="1:47" ht="15.75" customHeight="1" x14ac:dyDescent="0.25">
      <c r="A998" s="2"/>
      <c r="B998" s="33"/>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row>
    <row r="999" spans="1:47" ht="15.75" customHeight="1" x14ac:dyDescent="0.25">
      <c r="A999" s="2"/>
      <c r="B999" s="33"/>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row>
    <row r="1000" spans="1:47" ht="15.75" customHeight="1" x14ac:dyDescent="0.25">
      <c r="A1000" s="2"/>
      <c r="B1000" s="33"/>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row>
  </sheetData>
  <mergeCells count="5">
    <mergeCell ref="AS21:AU24"/>
    <mergeCell ref="D46:E46"/>
    <mergeCell ref="D47:F47"/>
    <mergeCell ref="D48:E48"/>
    <mergeCell ref="D49:E49"/>
  </mergeCells>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CC00F-A9AF-4B54-BA6E-3AEB7EDD015F}">
  <sheetPr>
    <tabColor theme="8" tint="0.59999389629810485"/>
  </sheetPr>
  <dimension ref="A1:Q1000"/>
  <sheetViews>
    <sheetView workbookViewId="0">
      <selection activeCell="D24" sqref="D24"/>
    </sheetView>
  </sheetViews>
  <sheetFormatPr defaultColWidth="14.42578125" defaultRowHeight="15" customHeight="1" x14ac:dyDescent="0.25"/>
  <cols>
    <col min="1" max="1" width="15.42578125" customWidth="1"/>
    <col min="2" max="2" width="15" customWidth="1"/>
    <col min="3" max="4" width="14.28515625" customWidth="1"/>
    <col min="5" max="5" width="22" customWidth="1"/>
    <col min="6" max="6" width="11.7109375" customWidth="1"/>
    <col min="7" max="7" width="14.5703125" customWidth="1"/>
    <col min="8" max="8" width="8.42578125" customWidth="1"/>
    <col min="9" max="9" width="20.140625" customWidth="1"/>
    <col min="10" max="10" width="48.28515625" customWidth="1"/>
    <col min="11" max="11" width="11.7109375" customWidth="1"/>
    <col min="12" max="12" width="32.140625" customWidth="1"/>
    <col min="13" max="13" width="11.85546875" customWidth="1"/>
    <col min="14" max="14" width="15.5703125" customWidth="1"/>
    <col min="15" max="15" width="21.5703125" customWidth="1"/>
    <col min="16" max="16" width="20.5703125" customWidth="1"/>
    <col min="17" max="17" width="6" customWidth="1"/>
    <col min="18" max="26" width="8.7109375" customWidth="1"/>
  </cols>
  <sheetData>
    <row r="1" spans="1:17" x14ac:dyDescent="0.25">
      <c r="A1" s="35" t="s">
        <v>5</v>
      </c>
      <c r="B1" s="39" t="s">
        <v>5014</v>
      </c>
      <c r="C1" s="169" t="s">
        <v>180</v>
      </c>
      <c r="D1" s="35" t="s">
        <v>43</v>
      </c>
      <c r="E1" s="35" t="s">
        <v>47</v>
      </c>
      <c r="F1" s="35" t="s">
        <v>53</v>
      </c>
      <c r="G1" s="35" t="s">
        <v>57</v>
      </c>
      <c r="H1" s="35" t="s">
        <v>61</v>
      </c>
      <c r="I1" s="35" t="s">
        <v>66</v>
      </c>
      <c r="J1" s="35" t="s">
        <v>70</v>
      </c>
      <c r="K1" s="35" t="s">
        <v>76</v>
      </c>
      <c r="L1" s="54" t="s">
        <v>225</v>
      </c>
      <c r="M1" s="35" t="s">
        <v>35</v>
      </c>
      <c r="N1" s="35" t="s">
        <v>226</v>
      </c>
      <c r="O1" s="35"/>
    </row>
    <row r="2" spans="1:17" x14ac:dyDescent="0.25">
      <c r="A2" s="170" t="s">
        <v>182</v>
      </c>
      <c r="B2" s="39" t="s">
        <v>5018</v>
      </c>
      <c r="C2" s="170" t="s">
        <v>183</v>
      </c>
      <c r="D2" s="39" t="s">
        <v>5028</v>
      </c>
      <c r="E2" s="227" t="s">
        <v>5056</v>
      </c>
      <c r="F2" s="227" t="s">
        <v>5055</v>
      </c>
      <c r="G2" s="226" t="s">
        <v>5054</v>
      </c>
      <c r="H2" s="227" t="s">
        <v>5052</v>
      </c>
      <c r="I2" s="29" t="s">
        <v>5053</v>
      </c>
      <c r="J2" s="227" t="s">
        <v>5051</v>
      </c>
      <c r="K2" s="29" t="s">
        <v>5050</v>
      </c>
      <c r="L2" s="225" t="s">
        <v>5048</v>
      </c>
      <c r="M2" s="208" t="s">
        <v>5080</v>
      </c>
      <c r="N2" s="224" t="s">
        <v>5047</v>
      </c>
      <c r="O2" s="220" t="s">
        <v>5027</v>
      </c>
    </row>
    <row r="3" spans="1:17" x14ac:dyDescent="0.25">
      <c r="A3" s="170" t="s">
        <v>11</v>
      </c>
      <c r="B3" s="39" t="s">
        <v>5016</v>
      </c>
      <c r="C3" s="170" t="s">
        <v>186</v>
      </c>
      <c r="D3" s="44" t="s">
        <v>5040</v>
      </c>
      <c r="E3" s="42" t="s">
        <v>5040</v>
      </c>
      <c r="F3" s="42" t="s">
        <v>5040</v>
      </c>
      <c r="G3" s="42" t="s">
        <v>5040</v>
      </c>
      <c r="H3" s="42" t="s">
        <v>5040</v>
      </c>
      <c r="I3" s="42" t="s">
        <v>5040</v>
      </c>
      <c r="J3" s="42" t="s">
        <v>5040</v>
      </c>
      <c r="K3" s="42" t="s">
        <v>5040</v>
      </c>
      <c r="L3" s="2" t="s">
        <v>5049</v>
      </c>
      <c r="M3" s="44" t="s">
        <v>5040</v>
      </c>
      <c r="N3" s="55" t="s">
        <v>5040</v>
      </c>
      <c r="O3" s="220" t="s">
        <v>5027</v>
      </c>
      <c r="Q3" s="170" t="str">
        <f>IFERROR(VLOOKUP(M12,'Items List'!A1:B286,2,FALSE),"")</f>
        <v/>
      </c>
    </row>
    <row r="4" spans="1:17" x14ac:dyDescent="0.25">
      <c r="A4" s="170" t="s">
        <v>47</v>
      </c>
      <c r="B4" s="39" t="s">
        <v>5015</v>
      </c>
      <c r="C4" s="170" t="s">
        <v>187</v>
      </c>
      <c r="D4" s="44" t="s">
        <v>5040</v>
      </c>
      <c r="E4" s="42" t="s">
        <v>5040</v>
      </c>
      <c r="F4" s="42" t="s">
        <v>5040</v>
      </c>
      <c r="G4" s="42" t="s">
        <v>5040</v>
      </c>
      <c r="H4" s="42" t="s">
        <v>5040</v>
      </c>
      <c r="I4" s="42" t="s">
        <v>5040</v>
      </c>
      <c r="J4" s="42" t="s">
        <v>5040</v>
      </c>
      <c r="K4" s="42" t="s">
        <v>5040</v>
      </c>
      <c r="L4" s="2" t="s">
        <v>5049</v>
      </c>
      <c r="M4" s="44" t="s">
        <v>5040</v>
      </c>
      <c r="N4" s="55" t="s">
        <v>5040</v>
      </c>
      <c r="O4" s="220" t="s">
        <v>5027</v>
      </c>
      <c r="Q4" s="170" t="str">
        <f>IFERROR(VLOOKUP(M13,'Items List'!A1:B286,2,FALSE),"")</f>
        <v/>
      </c>
    </row>
    <row r="5" spans="1:17" x14ac:dyDescent="0.25">
      <c r="A5" s="170" t="s">
        <v>188</v>
      </c>
      <c r="B5" s="208" t="s">
        <v>5017</v>
      </c>
      <c r="C5" s="170" t="s">
        <v>189</v>
      </c>
      <c r="D5" s="44" t="s">
        <v>5041</v>
      </c>
      <c r="E5" s="42" t="s">
        <v>5040</v>
      </c>
      <c r="F5" s="42" t="s">
        <v>5040</v>
      </c>
      <c r="G5" s="42" t="s">
        <v>5040</v>
      </c>
      <c r="H5" s="42" t="s">
        <v>5040</v>
      </c>
      <c r="I5" s="42" t="s">
        <v>5040</v>
      </c>
      <c r="J5" s="42" t="s">
        <v>5040</v>
      </c>
      <c r="K5" s="42" t="s">
        <v>5040</v>
      </c>
      <c r="L5" s="2" t="s">
        <v>5049</v>
      </c>
      <c r="M5" s="44" t="s">
        <v>5040</v>
      </c>
      <c r="N5" s="55" t="s">
        <v>5040</v>
      </c>
      <c r="O5" s="223" t="s">
        <v>5027</v>
      </c>
      <c r="Q5" s="170" t="str">
        <f>IFERROR(VLOOKUP(M14,'Items List'!A1:B286,2,FALSE),"")</f>
        <v/>
      </c>
    </row>
    <row r="6" spans="1:17" x14ac:dyDescent="0.25">
      <c r="A6" s="170" t="s">
        <v>190</v>
      </c>
      <c r="B6" s="209" t="s">
        <v>5064</v>
      </c>
      <c r="C6" s="35" t="s">
        <v>191</v>
      </c>
      <c r="D6" s="208" t="s">
        <v>5061</v>
      </c>
      <c r="E6" s="42" t="s">
        <v>5041</v>
      </c>
      <c r="F6" s="42" t="s">
        <v>5041</v>
      </c>
      <c r="G6" s="42" t="s">
        <v>5041</v>
      </c>
      <c r="H6" s="42" t="s">
        <v>5041</v>
      </c>
      <c r="I6" s="42" t="s">
        <v>5041</v>
      </c>
      <c r="J6" s="42" t="s">
        <v>5041</v>
      </c>
      <c r="K6" s="42" t="s">
        <v>5041</v>
      </c>
      <c r="L6" s="2" t="s">
        <v>5057</v>
      </c>
      <c r="M6" s="44" t="s">
        <v>5041</v>
      </c>
      <c r="N6" s="55" t="s">
        <v>5041</v>
      </c>
      <c r="O6" s="223" t="s">
        <v>5027</v>
      </c>
      <c r="Q6" s="170" t="str">
        <f>IFERROR(VLOOKUP(M15,'Items List'!A1:B286,2,FALSE),"")</f>
        <v/>
      </c>
    </row>
    <row r="7" spans="1:17" x14ac:dyDescent="0.25">
      <c r="A7" s="170" t="s">
        <v>192</v>
      </c>
      <c r="B7" s="39" t="s">
        <v>5019</v>
      </c>
      <c r="C7" s="276" t="str">
        <f>IFERROR(VLOOKUP(B7,'Abilities List'!$A$1:$C$400,2,FALSE),"")</f>
        <v/>
      </c>
      <c r="D7" s="272"/>
      <c r="E7" s="272"/>
      <c r="F7" s="272"/>
      <c r="G7" s="272"/>
      <c r="H7" s="272"/>
      <c r="I7" s="272"/>
      <c r="J7" s="272"/>
      <c r="K7" s="272"/>
      <c r="L7" s="272"/>
      <c r="N7" s="56"/>
      <c r="O7" s="220" t="s">
        <v>5027</v>
      </c>
      <c r="Q7" s="170" t="str">
        <f>IFERROR(VLOOKUP(M16,'Items List'!A1:B286,2,FALSE),"")</f>
        <v/>
      </c>
    </row>
    <row r="8" spans="1:17" x14ac:dyDescent="0.25">
      <c r="A8" s="170" t="s">
        <v>193</v>
      </c>
      <c r="B8" s="39" t="s">
        <v>5020</v>
      </c>
      <c r="C8" s="276" t="str">
        <f>IFERROR(VLOOKUP(B8,'Items List'!A:B,2,FALSE),"")</f>
        <v/>
      </c>
      <c r="D8" s="272"/>
      <c r="E8" s="272"/>
      <c r="F8" s="272"/>
      <c r="G8" s="272"/>
      <c r="H8" s="272"/>
      <c r="I8" s="272"/>
      <c r="J8" s="272"/>
      <c r="K8" s="272"/>
      <c r="L8" s="272"/>
      <c r="Q8" s="170" t="str">
        <f>IFERROR(VLOOKUP(M17,'Items List'!A1:B286,2,FALSE),"")</f>
        <v/>
      </c>
    </row>
    <row r="9" spans="1:17" x14ac:dyDescent="0.25">
      <c r="A9" s="35" t="s">
        <v>28</v>
      </c>
      <c r="C9" s="35" t="s">
        <v>194</v>
      </c>
      <c r="D9" s="35" t="s">
        <v>195</v>
      </c>
      <c r="E9" s="35" t="s">
        <v>196</v>
      </c>
      <c r="F9" s="35" t="s">
        <v>197</v>
      </c>
      <c r="G9" s="35" t="s">
        <v>198</v>
      </c>
      <c r="I9" s="35" t="s">
        <v>199</v>
      </c>
      <c r="J9" s="35" t="s">
        <v>200</v>
      </c>
      <c r="K9" s="29"/>
      <c r="Q9" s="170" t="str">
        <f>IFERROR(VLOOKUP(M18,'Items List'!A1:B286,2,FALSE),"")</f>
        <v/>
      </c>
    </row>
    <row r="10" spans="1:17" ht="15.75" thickBot="1" x14ac:dyDescent="0.3">
      <c r="A10" s="170" t="s">
        <v>202</v>
      </c>
      <c r="B10" s="226" t="s">
        <v>5065</v>
      </c>
      <c r="C10" s="210" t="s">
        <v>5021</v>
      </c>
      <c r="D10" s="229" t="s">
        <v>5062</v>
      </c>
      <c r="E10" s="214" t="s">
        <v>5029</v>
      </c>
      <c r="F10" s="214" t="s">
        <v>5030</v>
      </c>
      <c r="G10" s="170" t="s">
        <v>202</v>
      </c>
      <c r="H10" s="229" t="s">
        <v>5060</v>
      </c>
      <c r="I10" s="172" t="s">
        <v>5031</v>
      </c>
      <c r="J10" s="57" t="s">
        <v>5032</v>
      </c>
      <c r="K10" s="40"/>
      <c r="L10" s="40" t="s">
        <v>181</v>
      </c>
      <c r="M10" s="113" t="s">
        <v>70</v>
      </c>
      <c r="N10" s="114"/>
      <c r="O10" s="114"/>
      <c r="P10" s="115" t="s">
        <v>227</v>
      </c>
      <c r="Q10" s="170" t="str">
        <f>IFERROR(VLOOKUP(M19,'Items List'!A1:B286,2,FALSE),"")</f>
        <v/>
      </c>
    </row>
    <row r="11" spans="1:17" x14ac:dyDescent="0.25">
      <c r="A11" s="170" t="s">
        <v>203</v>
      </c>
      <c r="B11" s="37" t="s">
        <v>5040</v>
      </c>
      <c r="C11" s="211" t="s">
        <v>5022</v>
      </c>
      <c r="D11" s="46" t="s">
        <v>5040</v>
      </c>
      <c r="E11" s="43" t="s">
        <v>5040</v>
      </c>
      <c r="F11" s="43" t="s">
        <v>5040</v>
      </c>
      <c r="G11" s="170" t="s">
        <v>203</v>
      </c>
      <c r="H11" s="46" t="s">
        <v>5040</v>
      </c>
      <c r="I11" s="172" t="s">
        <v>5040</v>
      </c>
      <c r="J11" s="57" t="s">
        <v>5033</v>
      </c>
      <c r="K11" s="170" t="s">
        <v>185</v>
      </c>
      <c r="L11" s="221" t="s">
        <v>5045</v>
      </c>
      <c r="M11" s="277" t="s">
        <v>5066</v>
      </c>
      <c r="N11" s="278"/>
      <c r="O11" s="278"/>
      <c r="P11" s="230" t="s">
        <v>5067</v>
      </c>
      <c r="Q11" s="220" t="s">
        <v>5027</v>
      </c>
    </row>
    <row r="12" spans="1:17" x14ac:dyDescent="0.25">
      <c r="A12" s="170" t="s">
        <v>204</v>
      </c>
      <c r="B12" s="37" t="s">
        <v>5040</v>
      </c>
      <c r="C12" s="212" t="s">
        <v>5025</v>
      </c>
      <c r="D12" s="46" t="s">
        <v>5040</v>
      </c>
      <c r="E12" s="43" t="s">
        <v>5040</v>
      </c>
      <c r="F12" s="43" t="s">
        <v>5040</v>
      </c>
      <c r="G12" s="170" t="s">
        <v>204</v>
      </c>
      <c r="H12" s="46" t="s">
        <v>5040</v>
      </c>
      <c r="I12" s="172" t="s">
        <v>5040</v>
      </c>
      <c r="J12" s="57" t="s">
        <v>5034</v>
      </c>
      <c r="L12" s="118" t="s">
        <v>5040</v>
      </c>
      <c r="M12" s="274" t="s">
        <v>5040</v>
      </c>
      <c r="N12" s="275"/>
      <c r="O12" s="275"/>
      <c r="P12" s="231" t="s">
        <v>5040</v>
      </c>
    </row>
    <row r="13" spans="1:17" x14ac:dyDescent="0.25">
      <c r="A13" s="170" t="s">
        <v>205</v>
      </c>
      <c r="B13" s="37" t="s">
        <v>5040</v>
      </c>
      <c r="C13" s="211" t="s">
        <v>5023</v>
      </c>
      <c r="D13" s="46" t="s">
        <v>5040</v>
      </c>
      <c r="E13" s="43" t="s">
        <v>5040</v>
      </c>
      <c r="F13" s="43" t="s">
        <v>5040</v>
      </c>
      <c r="G13" s="170" t="s">
        <v>205</v>
      </c>
      <c r="H13" s="46" t="s">
        <v>5040</v>
      </c>
      <c r="I13" s="172" t="s">
        <v>5040</v>
      </c>
      <c r="J13" s="57" t="s">
        <v>5035</v>
      </c>
      <c r="L13" s="118" t="s">
        <v>5040</v>
      </c>
      <c r="M13" s="274" t="s">
        <v>5040</v>
      </c>
      <c r="N13" s="275"/>
      <c r="O13" s="275"/>
      <c r="P13" s="231" t="s">
        <v>5040</v>
      </c>
    </row>
    <row r="14" spans="1:17" x14ac:dyDescent="0.25">
      <c r="A14" s="170" t="s">
        <v>206</v>
      </c>
      <c r="B14" s="37" t="s">
        <v>5040</v>
      </c>
      <c r="C14" s="212" t="s">
        <v>5026</v>
      </c>
      <c r="D14" s="46" t="s">
        <v>5040</v>
      </c>
      <c r="E14" s="43" t="s">
        <v>5040</v>
      </c>
      <c r="F14" s="43" t="s">
        <v>5040</v>
      </c>
      <c r="G14" s="170" t="s">
        <v>206</v>
      </c>
      <c r="H14" s="46" t="s">
        <v>5040</v>
      </c>
      <c r="I14" s="172" t="s">
        <v>5040</v>
      </c>
      <c r="J14" s="57" t="s">
        <v>5036</v>
      </c>
      <c r="L14" s="118" t="s">
        <v>5040</v>
      </c>
      <c r="M14" s="274" t="s">
        <v>5068</v>
      </c>
      <c r="N14" s="275"/>
      <c r="O14" s="275"/>
      <c r="P14" s="231" t="s">
        <v>5040</v>
      </c>
    </row>
    <row r="15" spans="1:17" x14ac:dyDescent="0.25">
      <c r="A15" s="170" t="s">
        <v>208</v>
      </c>
      <c r="B15" s="37" t="s">
        <v>5041</v>
      </c>
      <c r="C15" s="211" t="s">
        <v>5024</v>
      </c>
      <c r="D15" s="46" t="s">
        <v>5041</v>
      </c>
      <c r="E15" s="43" t="s">
        <v>5041</v>
      </c>
      <c r="F15" s="43" t="s">
        <v>5041</v>
      </c>
      <c r="G15" s="170" t="s">
        <v>208</v>
      </c>
      <c r="H15" s="46" t="s">
        <v>5040</v>
      </c>
      <c r="I15" s="172" t="s">
        <v>5041</v>
      </c>
      <c r="J15" s="57" t="s">
        <v>5037</v>
      </c>
      <c r="L15" s="118" t="s">
        <v>5040</v>
      </c>
      <c r="M15" s="274" t="s">
        <v>5069</v>
      </c>
      <c r="N15" s="275"/>
      <c r="O15" s="275"/>
      <c r="P15" s="231" t="s">
        <v>5040</v>
      </c>
    </row>
    <row r="16" spans="1:17" x14ac:dyDescent="0.25">
      <c r="A16" s="35"/>
      <c r="B16" s="49"/>
      <c r="C16" s="229" t="s">
        <v>5063</v>
      </c>
      <c r="D16" s="170" t="s">
        <v>209</v>
      </c>
      <c r="E16" s="213" t="s">
        <v>5098</v>
      </c>
      <c r="F16" s="58" t="s">
        <v>5027</v>
      </c>
      <c r="G16" s="39" t="s">
        <v>210</v>
      </c>
      <c r="H16" s="51" t="s">
        <v>5041</v>
      </c>
      <c r="I16" s="2" t="s">
        <v>5009</v>
      </c>
      <c r="J16" s="52"/>
      <c r="L16" s="118" t="s">
        <v>5041</v>
      </c>
      <c r="M16" s="274" t="s">
        <v>5041</v>
      </c>
      <c r="N16" s="275"/>
      <c r="O16" s="275"/>
      <c r="P16" s="231" t="s">
        <v>5041</v>
      </c>
    </row>
    <row r="17" spans="1:16" x14ac:dyDescent="0.25">
      <c r="E17" s="49"/>
      <c r="L17" s="118"/>
      <c r="M17" s="274" t="str">
        <f>IFERROR(VLOOKUP(L17,'Items List'!A1:B286,2,FALSE),"")</f>
        <v/>
      </c>
      <c r="N17" s="275"/>
      <c r="O17" s="275"/>
      <c r="P17" s="109"/>
    </row>
    <row r="18" spans="1:16" x14ac:dyDescent="0.25">
      <c r="B18" s="35" t="s">
        <v>211</v>
      </c>
      <c r="C18" s="220" t="s">
        <v>5046</v>
      </c>
      <c r="F18" s="35" t="s">
        <v>212</v>
      </c>
      <c r="H18" s="35" t="s">
        <v>213</v>
      </c>
      <c r="I18" s="35" t="s">
        <v>70</v>
      </c>
      <c r="L18" s="118" t="s">
        <v>5040</v>
      </c>
      <c r="M18" s="274" t="s">
        <v>5040</v>
      </c>
      <c r="N18" s="275"/>
      <c r="O18" s="275"/>
      <c r="P18" s="231" t="s">
        <v>5040</v>
      </c>
    </row>
    <row r="19" spans="1:16" x14ac:dyDescent="0.25">
      <c r="A19" s="53" t="s">
        <v>94</v>
      </c>
      <c r="B19" s="215" t="s">
        <v>5039</v>
      </c>
      <c r="C19" s="173" t="s">
        <v>228</v>
      </c>
      <c r="D19" s="174"/>
      <c r="E19" s="175"/>
      <c r="F19" s="132" t="s">
        <v>5038</v>
      </c>
      <c r="G19" s="176"/>
      <c r="H19" s="220" t="s">
        <v>5058</v>
      </c>
      <c r="I19" s="220" t="s">
        <v>5059</v>
      </c>
      <c r="L19" s="118" t="s">
        <v>5040</v>
      </c>
      <c r="M19" s="274" t="s">
        <v>5040</v>
      </c>
      <c r="N19" s="275"/>
      <c r="O19" s="275"/>
      <c r="P19" s="231" t="s">
        <v>5040</v>
      </c>
    </row>
    <row r="20" spans="1:16" ht="15.75" thickBot="1" x14ac:dyDescent="0.3">
      <c r="A20" s="53" t="s">
        <v>99</v>
      </c>
      <c r="B20" s="216" t="s">
        <v>5039</v>
      </c>
      <c r="C20" s="177" t="s">
        <v>229</v>
      </c>
      <c r="D20" s="178"/>
      <c r="E20" s="179"/>
      <c r="F20" s="206" t="s">
        <v>5040</v>
      </c>
      <c r="G20" s="176"/>
      <c r="H20" s="228" t="s">
        <v>5040</v>
      </c>
      <c r="I20" s="228" t="s">
        <v>5040</v>
      </c>
      <c r="K20" s="41"/>
      <c r="L20" s="119" t="s">
        <v>5040</v>
      </c>
      <c r="M20" s="281" t="s">
        <v>5040</v>
      </c>
      <c r="N20" s="282"/>
      <c r="O20" s="282"/>
      <c r="P20" s="232" t="s">
        <v>5040</v>
      </c>
    </row>
    <row r="21" spans="1:16" ht="15.75" customHeight="1" x14ac:dyDescent="0.25">
      <c r="A21" s="53" t="s">
        <v>104</v>
      </c>
      <c r="B21" s="217" t="s">
        <v>5039</v>
      </c>
      <c r="C21" s="180" t="s">
        <v>230</v>
      </c>
      <c r="D21" s="181"/>
      <c r="E21" s="182"/>
      <c r="F21" s="206" t="s">
        <v>5040</v>
      </c>
      <c r="G21" s="176"/>
      <c r="H21" s="228" t="s">
        <v>5040</v>
      </c>
      <c r="I21" s="228" t="s">
        <v>5040</v>
      </c>
      <c r="K21" s="170" t="s">
        <v>201</v>
      </c>
      <c r="L21" s="222" t="s">
        <v>5044</v>
      </c>
      <c r="M21" s="283" t="s">
        <v>5040</v>
      </c>
      <c r="N21" s="278"/>
      <c r="O21" s="278"/>
      <c r="P21" s="233" t="s">
        <v>5040</v>
      </c>
    </row>
    <row r="22" spans="1:16" ht="15.75" customHeight="1" x14ac:dyDescent="0.25">
      <c r="A22" s="53" t="s">
        <v>109</v>
      </c>
      <c r="B22" s="218" t="s">
        <v>5039</v>
      </c>
      <c r="C22" s="183" t="s">
        <v>231</v>
      </c>
      <c r="D22" s="184"/>
      <c r="E22" s="185"/>
      <c r="F22" s="206" t="s">
        <v>5040</v>
      </c>
      <c r="G22" s="176"/>
      <c r="H22" s="228" t="s">
        <v>5040</v>
      </c>
      <c r="I22" s="228" t="s">
        <v>5040</v>
      </c>
      <c r="L22" s="121" t="s">
        <v>5040</v>
      </c>
      <c r="M22" s="284" t="s">
        <v>5040</v>
      </c>
      <c r="N22" s="275"/>
      <c r="O22" s="275"/>
      <c r="P22" s="234" t="s">
        <v>5040</v>
      </c>
    </row>
    <row r="23" spans="1:16" ht="15.75" customHeight="1" x14ac:dyDescent="0.25">
      <c r="A23" s="53" t="s">
        <v>89</v>
      </c>
      <c r="B23" s="219" t="s">
        <v>5039</v>
      </c>
      <c r="C23" s="186" t="s">
        <v>232</v>
      </c>
      <c r="D23" s="250"/>
      <c r="E23" s="187"/>
      <c r="F23" s="206" t="s">
        <v>5040</v>
      </c>
      <c r="G23" s="176"/>
      <c r="H23" s="228" t="s">
        <v>5040</v>
      </c>
      <c r="I23" s="228" t="s">
        <v>5040</v>
      </c>
      <c r="L23" s="121" t="s">
        <v>5040</v>
      </c>
      <c r="M23" s="284" t="s">
        <v>5040</v>
      </c>
      <c r="N23" s="275"/>
      <c r="O23" s="275"/>
      <c r="P23" s="234" t="s">
        <v>5040</v>
      </c>
    </row>
    <row r="24" spans="1:16" ht="15.75" customHeight="1" x14ac:dyDescent="0.25">
      <c r="A24" s="53" t="s">
        <v>221</v>
      </c>
      <c r="B24" s="208" t="s">
        <v>5043</v>
      </c>
      <c r="C24" s="249" t="s">
        <v>5083</v>
      </c>
      <c r="D24" s="251" t="s">
        <v>5081</v>
      </c>
      <c r="E24" s="220" t="s">
        <v>5027</v>
      </c>
      <c r="F24" s="206" t="s">
        <v>5040</v>
      </c>
      <c r="G24" s="176"/>
      <c r="H24" s="228" t="s">
        <v>5040</v>
      </c>
      <c r="I24" s="228" t="s">
        <v>5040</v>
      </c>
      <c r="L24" s="121" t="s">
        <v>5040</v>
      </c>
      <c r="M24" s="284" t="s">
        <v>5040</v>
      </c>
      <c r="N24" s="275"/>
      <c r="O24" s="275"/>
      <c r="P24" s="234" t="s">
        <v>5040</v>
      </c>
    </row>
    <row r="25" spans="1:16" ht="15.75" customHeight="1" thickBot="1" x14ac:dyDescent="0.3">
      <c r="A25" s="53" t="s">
        <v>222</v>
      </c>
      <c r="B25" s="208" t="s">
        <v>5042</v>
      </c>
      <c r="C25" s="249" t="s">
        <v>5084</v>
      </c>
      <c r="D25" s="251" t="s">
        <v>5085</v>
      </c>
      <c r="E25" s="220" t="s">
        <v>5027</v>
      </c>
      <c r="F25" s="206" t="s">
        <v>5040</v>
      </c>
      <c r="G25" s="176"/>
      <c r="H25" s="228" t="s">
        <v>5040</v>
      </c>
      <c r="I25" s="228" t="s">
        <v>5040</v>
      </c>
      <c r="K25" s="41"/>
      <c r="L25" s="122" t="s">
        <v>5040</v>
      </c>
      <c r="M25" s="285" t="s">
        <v>5040</v>
      </c>
      <c r="N25" s="282"/>
      <c r="O25" s="282"/>
      <c r="P25" s="235" t="s">
        <v>5040</v>
      </c>
    </row>
    <row r="26" spans="1:16" ht="15.75" customHeight="1" thickBot="1" x14ac:dyDescent="0.3">
      <c r="F26" s="206" t="s">
        <v>5040</v>
      </c>
      <c r="G26" s="176"/>
      <c r="H26" s="228" t="s">
        <v>5040</v>
      </c>
      <c r="I26" s="228" t="s">
        <v>5040</v>
      </c>
      <c r="K26" s="170" t="s">
        <v>207</v>
      </c>
      <c r="L26" s="120" t="s">
        <v>5040</v>
      </c>
      <c r="M26" s="279" t="s">
        <v>5040</v>
      </c>
      <c r="N26" s="280"/>
      <c r="O26" s="280"/>
      <c r="P26" s="233" t="s">
        <v>5040</v>
      </c>
    </row>
    <row r="27" spans="1:16" ht="15.75" customHeight="1" thickTop="1" x14ac:dyDescent="0.25">
      <c r="B27" s="245" t="s">
        <v>5078</v>
      </c>
      <c r="C27" s="246"/>
      <c r="D27" s="247"/>
      <c r="F27" s="206" t="s">
        <v>5041</v>
      </c>
      <c r="G27" s="176"/>
      <c r="H27" s="228" t="s">
        <v>5040</v>
      </c>
      <c r="I27" s="228" t="s">
        <v>5040</v>
      </c>
      <c r="L27" s="121" t="s">
        <v>5041</v>
      </c>
      <c r="M27" s="284" t="s">
        <v>5041</v>
      </c>
      <c r="N27" s="275"/>
      <c r="O27" s="275"/>
      <c r="P27" s="234" t="s">
        <v>5041</v>
      </c>
    </row>
    <row r="28" spans="1:16" ht="15.75" customHeight="1" x14ac:dyDescent="0.25">
      <c r="B28" s="237" t="s">
        <v>5070</v>
      </c>
      <c r="C28" s="236"/>
      <c r="D28" s="238"/>
      <c r="F28" s="206"/>
      <c r="G28" s="176"/>
      <c r="H28" s="228" t="s">
        <v>5040</v>
      </c>
      <c r="I28" s="228" t="s">
        <v>5040</v>
      </c>
      <c r="L28" s="121"/>
      <c r="M28" s="284" t="str">
        <f>IFERROR(VLOOKUP(L28,'Items List'!A1:B286,2,FALSE),"")</f>
        <v/>
      </c>
      <c r="N28" s="275"/>
      <c r="O28" s="275"/>
      <c r="P28" s="123"/>
    </row>
    <row r="29" spans="1:16" ht="15.75" customHeight="1" x14ac:dyDescent="0.25">
      <c r="B29" s="237" t="s">
        <v>5071</v>
      </c>
      <c r="C29" s="236"/>
      <c r="D29" s="238"/>
      <c r="F29" s="206" t="s">
        <v>5040</v>
      </c>
      <c r="G29" s="176"/>
      <c r="H29" s="228" t="s">
        <v>5040</v>
      </c>
      <c r="I29" s="228" t="s">
        <v>5040</v>
      </c>
      <c r="L29" s="121" t="s">
        <v>5040</v>
      </c>
      <c r="M29" s="284" t="s">
        <v>5040</v>
      </c>
      <c r="N29" s="275"/>
      <c r="O29" s="275"/>
      <c r="P29" s="234" t="s">
        <v>5040</v>
      </c>
    </row>
    <row r="30" spans="1:16" ht="15.75" customHeight="1" thickBot="1" x14ac:dyDescent="0.3">
      <c r="B30" s="237" t="s">
        <v>5072</v>
      </c>
      <c r="C30" s="236"/>
      <c r="D30" s="238"/>
      <c r="F30" s="206" t="s">
        <v>5040</v>
      </c>
      <c r="G30" s="176"/>
      <c r="H30" s="228" t="s">
        <v>5040</v>
      </c>
      <c r="I30" s="228" t="s">
        <v>5040</v>
      </c>
      <c r="K30" s="41"/>
      <c r="L30" s="122" t="s">
        <v>5040</v>
      </c>
      <c r="M30" s="285" t="s">
        <v>5040</v>
      </c>
      <c r="N30" s="282"/>
      <c r="O30" s="282"/>
      <c r="P30" s="235" t="s">
        <v>5040</v>
      </c>
    </row>
    <row r="31" spans="1:16" ht="15.75" customHeight="1" x14ac:dyDescent="0.25">
      <c r="B31" s="242" t="s">
        <v>5086</v>
      </c>
      <c r="C31" s="243"/>
      <c r="D31" s="244"/>
      <c r="F31" s="206" t="s">
        <v>5040</v>
      </c>
      <c r="G31" s="176"/>
      <c r="H31" s="228" t="s">
        <v>5040</v>
      </c>
      <c r="I31" s="228" t="s">
        <v>5040</v>
      </c>
      <c r="K31" s="170" t="s">
        <v>215</v>
      </c>
      <c r="L31" s="120" t="s">
        <v>5040</v>
      </c>
      <c r="M31" s="279" t="s">
        <v>5040</v>
      </c>
      <c r="N31" s="280"/>
      <c r="O31" s="280"/>
      <c r="P31" s="233" t="s">
        <v>5040</v>
      </c>
    </row>
    <row r="32" spans="1:16" ht="15.75" customHeight="1" x14ac:dyDescent="0.25">
      <c r="B32" s="237" t="s">
        <v>5073</v>
      </c>
      <c r="C32" s="236"/>
      <c r="D32" s="238"/>
      <c r="F32" s="206" t="s">
        <v>5040</v>
      </c>
      <c r="G32" s="176"/>
      <c r="H32" s="228" t="s">
        <v>5040</v>
      </c>
      <c r="I32" s="228" t="s">
        <v>5040</v>
      </c>
      <c r="L32" s="121" t="s">
        <v>5040</v>
      </c>
      <c r="M32" s="284" t="s">
        <v>5040</v>
      </c>
      <c r="N32" s="275"/>
      <c r="O32" s="275"/>
      <c r="P32" s="234" t="s">
        <v>5040</v>
      </c>
    </row>
    <row r="33" spans="2:17" ht="15.75" customHeight="1" x14ac:dyDescent="0.25">
      <c r="B33" s="237" t="s">
        <v>5075</v>
      </c>
      <c r="C33" s="236"/>
      <c r="D33" s="238"/>
      <c r="F33" s="206" t="s">
        <v>5040</v>
      </c>
      <c r="G33" s="176"/>
      <c r="H33" s="228" t="s">
        <v>5040</v>
      </c>
      <c r="I33" s="228" t="s">
        <v>5040</v>
      </c>
      <c r="L33" s="121" t="s">
        <v>5040</v>
      </c>
      <c r="M33" s="284" t="s">
        <v>5040</v>
      </c>
      <c r="N33" s="275"/>
      <c r="O33" s="275"/>
      <c r="P33" s="234" t="s">
        <v>5040</v>
      </c>
    </row>
    <row r="34" spans="2:17" ht="15.75" customHeight="1" x14ac:dyDescent="0.25">
      <c r="B34" s="242" t="s">
        <v>5074</v>
      </c>
      <c r="C34" s="243"/>
      <c r="D34" s="244"/>
      <c r="F34" s="206" t="s">
        <v>5040</v>
      </c>
      <c r="G34" s="176"/>
      <c r="H34" s="228" t="s">
        <v>5040</v>
      </c>
      <c r="I34" s="228" t="s">
        <v>5040</v>
      </c>
      <c r="L34" s="121" t="s">
        <v>5040</v>
      </c>
      <c r="M34" s="284" t="s">
        <v>5040</v>
      </c>
      <c r="N34" s="275"/>
      <c r="O34" s="275"/>
      <c r="P34" s="234" t="s">
        <v>5040</v>
      </c>
    </row>
    <row r="35" spans="2:17" ht="15.75" customHeight="1" thickBot="1" x14ac:dyDescent="0.3">
      <c r="B35" s="237" t="s">
        <v>5076</v>
      </c>
      <c r="C35" s="236"/>
      <c r="D35" s="238"/>
      <c r="F35" s="206" t="s">
        <v>5041</v>
      </c>
      <c r="G35" s="176"/>
      <c r="H35" s="228" t="s">
        <v>5041</v>
      </c>
      <c r="I35" s="228" t="s">
        <v>5041</v>
      </c>
      <c r="K35" s="41"/>
      <c r="L35" s="122" t="s">
        <v>5040</v>
      </c>
      <c r="M35" s="285" t="s">
        <v>5040</v>
      </c>
      <c r="N35" s="282"/>
      <c r="O35" s="282"/>
      <c r="P35" s="235" t="s">
        <v>5040</v>
      </c>
      <c r="Q35" s="170" t="str">
        <f>IFERROR(VLOOKUP(M44,'Items List'!A1:B286,2,FALSE),"")</f>
        <v/>
      </c>
    </row>
    <row r="36" spans="2:17" ht="15.75" customHeight="1" thickBot="1" x14ac:dyDescent="0.3">
      <c r="B36" s="239" t="s">
        <v>5077</v>
      </c>
      <c r="C36" s="240"/>
      <c r="D36" s="241"/>
      <c r="K36" s="170" t="s">
        <v>220</v>
      </c>
      <c r="L36" s="120" t="s">
        <v>5040</v>
      </c>
      <c r="M36" s="279" t="s">
        <v>5040</v>
      </c>
      <c r="N36" s="280"/>
      <c r="O36" s="280"/>
      <c r="P36" s="233" t="s">
        <v>5040</v>
      </c>
      <c r="Q36" s="170" t="str">
        <f>IFERROR(VLOOKUP(M45,'Items List'!A1:B286,2,FALSE),"")</f>
        <v/>
      </c>
    </row>
    <row r="37" spans="2:17" ht="15.75" customHeight="1" thickTop="1" x14ac:dyDescent="0.25">
      <c r="L37" s="121" t="s">
        <v>5040</v>
      </c>
      <c r="M37" s="284" t="s">
        <v>5040</v>
      </c>
      <c r="N37" s="275"/>
      <c r="O37" s="275"/>
      <c r="P37" s="234" t="s">
        <v>5040</v>
      </c>
    </row>
    <row r="38" spans="2:17" ht="15.75" customHeight="1" x14ac:dyDescent="0.25">
      <c r="L38" s="121" t="s">
        <v>5041</v>
      </c>
      <c r="M38" s="284" t="s">
        <v>5041</v>
      </c>
      <c r="N38" s="275"/>
      <c r="O38" s="275"/>
      <c r="P38" s="234" t="s">
        <v>5041</v>
      </c>
    </row>
    <row r="39" spans="2:17" ht="15.75" customHeight="1" x14ac:dyDescent="0.25">
      <c r="L39" s="121"/>
      <c r="M39" s="284"/>
      <c r="N39" s="275"/>
      <c r="O39" s="275"/>
      <c r="P39" s="123"/>
    </row>
    <row r="40" spans="2:17" ht="15.75" customHeight="1" thickBot="1" x14ac:dyDescent="0.3">
      <c r="K40" s="41"/>
      <c r="L40" s="122" t="s">
        <v>5040</v>
      </c>
      <c r="M40" s="285" t="s">
        <v>5040</v>
      </c>
      <c r="N40" s="282"/>
      <c r="O40" s="282"/>
      <c r="P40" s="235" t="s">
        <v>5040</v>
      </c>
    </row>
    <row r="41" spans="2:17" ht="15.75" customHeight="1" x14ac:dyDescent="0.25">
      <c r="K41" s="170" t="s">
        <v>223</v>
      </c>
      <c r="L41" s="120" t="s">
        <v>5040</v>
      </c>
      <c r="M41" s="279" t="s">
        <v>5040</v>
      </c>
      <c r="N41" s="280"/>
      <c r="O41" s="280"/>
      <c r="P41" s="233" t="s">
        <v>5040</v>
      </c>
    </row>
    <row r="42" spans="2:17" ht="15.75" customHeight="1" x14ac:dyDescent="0.25">
      <c r="L42" s="121" t="s">
        <v>5040</v>
      </c>
      <c r="M42" s="284" t="s">
        <v>5040</v>
      </c>
      <c r="N42" s="275"/>
      <c r="O42" s="275"/>
      <c r="P42" s="234" t="s">
        <v>5040</v>
      </c>
    </row>
    <row r="43" spans="2:17" ht="15.75" customHeight="1" x14ac:dyDescent="0.25">
      <c r="L43" s="121" t="s">
        <v>5040</v>
      </c>
      <c r="M43" s="284" t="s">
        <v>5040</v>
      </c>
      <c r="N43" s="275"/>
      <c r="O43" s="275"/>
      <c r="P43" s="234" t="s">
        <v>5040</v>
      </c>
    </row>
    <row r="44" spans="2:17" ht="15.75" customHeight="1" x14ac:dyDescent="0.25">
      <c r="L44" s="121" t="s">
        <v>5040</v>
      </c>
      <c r="M44" s="284" t="s">
        <v>5040</v>
      </c>
      <c r="N44" s="275"/>
      <c r="O44" s="275"/>
      <c r="P44" s="234" t="s">
        <v>5040</v>
      </c>
    </row>
    <row r="45" spans="2:17" ht="15.75" customHeight="1" x14ac:dyDescent="0.25">
      <c r="L45" s="121" t="s">
        <v>5041</v>
      </c>
      <c r="M45" s="284" t="s">
        <v>5041</v>
      </c>
      <c r="N45" s="275"/>
      <c r="O45" s="275"/>
      <c r="P45" s="234" t="s">
        <v>5041</v>
      </c>
    </row>
    <row r="46" spans="2:17" ht="15.75" customHeight="1" x14ac:dyDescent="0.25"/>
    <row r="47" spans="2:17" ht="15.75" customHeight="1" x14ac:dyDescent="0.25"/>
    <row r="48" spans="2:17"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37">
    <mergeCell ref="M45:O45"/>
    <mergeCell ref="M39:O39"/>
    <mergeCell ref="M40:O40"/>
    <mergeCell ref="M41:O41"/>
    <mergeCell ref="M42:O42"/>
    <mergeCell ref="M43:O43"/>
    <mergeCell ref="M44:O44"/>
    <mergeCell ref="M38:O38"/>
    <mergeCell ref="M27:O27"/>
    <mergeCell ref="M28:O28"/>
    <mergeCell ref="M29:O29"/>
    <mergeCell ref="M30:O30"/>
    <mergeCell ref="M31:O31"/>
    <mergeCell ref="M32:O32"/>
    <mergeCell ref="M33:O33"/>
    <mergeCell ref="M34:O34"/>
    <mergeCell ref="M35:O35"/>
    <mergeCell ref="M36:O36"/>
    <mergeCell ref="M37:O37"/>
    <mergeCell ref="M26:O26"/>
    <mergeCell ref="M15:O15"/>
    <mergeCell ref="M16:O16"/>
    <mergeCell ref="M17:O17"/>
    <mergeCell ref="M18:O18"/>
    <mergeCell ref="M19:O19"/>
    <mergeCell ref="M20:O20"/>
    <mergeCell ref="M21:O21"/>
    <mergeCell ref="M22:O22"/>
    <mergeCell ref="M23:O23"/>
    <mergeCell ref="M24:O24"/>
    <mergeCell ref="M25:O25"/>
    <mergeCell ref="M14:O14"/>
    <mergeCell ref="C7:L7"/>
    <mergeCell ref="C8:L8"/>
    <mergeCell ref="M11:O11"/>
    <mergeCell ref="M12:O12"/>
    <mergeCell ref="M13:O13"/>
  </mergeCells>
  <conditionalFormatting sqref="E16">
    <cfRule type="notContainsText" dxfId="16" priority="4" operator="notContains" text="TRUE">
      <formula>ISERROR(SEARCH(("TRUE"),(E16)))</formula>
    </cfRule>
    <cfRule type="containsText" dxfId="15" priority="5" operator="containsText" text="TRUE">
      <formula>NOT(ISERROR(SEARCH(("TRUE"),(E16))))</formula>
    </cfRule>
  </conditionalFormatting>
  <conditionalFormatting sqref="L2:L6">
    <cfRule type="containsText" dxfId="14" priority="1" operator="containsText" text="FALSE">
      <formula>NOT(ISERROR(SEARCH("FALSE",L2)))</formula>
    </cfRule>
    <cfRule type="containsText" dxfId="13" priority="2" operator="containsText" text="TRUE">
      <formula>NOT(ISERROR(SEARCH("TRUE",L2)))</formula>
    </cfRule>
  </conditionalFormatting>
  <conditionalFormatting sqref="M2:M6">
    <cfRule type="colorScale" priority="3">
      <colorScale>
        <cfvo type="num" val="1"/>
        <cfvo type="num" val="10"/>
        <color rgb="FF92D050"/>
        <color rgb="FFFF0000"/>
      </colorScale>
    </cfRule>
  </conditionalFormatting>
  <pageMargins left="0.7" right="0.7" top="0.75" bottom="0.75" header="0" footer="0"/>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92D050"/>
  </sheetPr>
  <dimension ref="A1:Q1000"/>
  <sheetViews>
    <sheetView workbookViewId="0">
      <selection activeCell="B35" sqref="B35"/>
    </sheetView>
  </sheetViews>
  <sheetFormatPr defaultColWidth="14.42578125" defaultRowHeight="15" customHeight="1" x14ac:dyDescent="0.25"/>
  <cols>
    <col min="1" max="1" width="15.42578125" customWidth="1"/>
    <col min="2" max="2" width="15" customWidth="1"/>
    <col min="3" max="4" width="14.28515625" customWidth="1"/>
    <col min="5" max="5" width="22" customWidth="1"/>
    <col min="6" max="6" width="11.7109375" customWidth="1"/>
    <col min="7" max="7" width="14.5703125" customWidth="1"/>
    <col min="8" max="8" width="8.42578125" customWidth="1"/>
    <col min="9" max="9" width="20.140625" customWidth="1"/>
    <col min="10" max="10" width="48.28515625" customWidth="1"/>
    <col min="11" max="11" width="11.7109375" customWidth="1"/>
    <col min="12" max="12" width="32.140625" customWidth="1"/>
    <col min="13" max="13" width="11.85546875" customWidth="1"/>
    <col min="14" max="14" width="15.5703125" customWidth="1"/>
    <col min="15" max="15" width="21.5703125" customWidth="1"/>
    <col min="16" max="16" width="20.5703125" customWidth="1"/>
    <col min="17" max="17" width="6" customWidth="1"/>
    <col min="18" max="26" width="8.7109375" customWidth="1"/>
  </cols>
  <sheetData>
    <row r="1" spans="1:17" x14ac:dyDescent="0.25">
      <c r="A1" s="35" t="s">
        <v>5</v>
      </c>
      <c r="B1" s="39"/>
      <c r="C1" s="169" t="s">
        <v>180</v>
      </c>
      <c r="D1" s="35" t="s">
        <v>43</v>
      </c>
      <c r="E1" s="35" t="s">
        <v>47</v>
      </c>
      <c r="F1" s="35" t="s">
        <v>53</v>
      </c>
      <c r="G1" s="35" t="s">
        <v>57</v>
      </c>
      <c r="H1" s="35" t="s">
        <v>61</v>
      </c>
      <c r="I1" s="35" t="s">
        <v>66</v>
      </c>
      <c r="J1" s="35" t="s">
        <v>70</v>
      </c>
      <c r="K1" s="35" t="s">
        <v>76</v>
      </c>
      <c r="L1" s="54" t="s">
        <v>225</v>
      </c>
      <c r="M1" s="35" t="s">
        <v>35</v>
      </c>
      <c r="N1" s="35" t="s">
        <v>226</v>
      </c>
      <c r="O1" s="35"/>
    </row>
    <row r="2" spans="1:17" x14ac:dyDescent="0.25">
      <c r="A2" s="170" t="s">
        <v>182</v>
      </c>
      <c r="B2" s="39"/>
      <c r="C2" s="170" t="s">
        <v>183</v>
      </c>
      <c r="D2" s="39"/>
      <c r="E2" s="170" t="str">
        <f>IFERROR(VLOOKUP(D2,'Moves List'!$A$1:$K$1500,2,FALSE),"")</f>
        <v/>
      </c>
      <c r="F2" s="170" t="str">
        <f>IFERROR(VLOOKUP(D2,'Moves List'!$A$1:$K$1500,3,FALSE),"")</f>
        <v/>
      </c>
      <c r="G2" s="37" t="str">
        <f>IFERROR(VLOOKUP(D2,'Moves List'!$A$1:$K$1500,4,FALSE),"")</f>
        <v/>
      </c>
      <c r="H2" s="171" t="str">
        <f>IFERROR(TRUNC((VLOOKUP(G2,'Damage Chart'!$A$1:$E$30,3,FALSE)+M2/2),0) &amp; "d" &amp; VLOOKUP(G2,'Damage Chart'!$A$1:$E$30,4,FALSE) &amp; "+" &amp; VLOOKUP(G2,'Damage Chart'!$A$1:$E$30,5,FALSE)+(M2-1)*2," ")</f>
        <v xml:space="preserve"> </v>
      </c>
      <c r="I2" s="42" t="str">
        <f>IFERROR(VLOOKUP(D2,'Moves List'!$A$1:$K$1500,6,FALSE),"")</f>
        <v/>
      </c>
      <c r="J2" s="170" t="str">
        <f>IFERROR(VLOOKUP(D2,'Moves List'!$A$1:$K$1500,9,FALSE),"")</f>
        <v/>
      </c>
      <c r="K2" s="42" t="str">
        <f>IFERROR(VLOOKUP(D2,'Moves List'!$A$1:$K$1500,11,FALSE),"")</f>
        <v/>
      </c>
      <c r="L2" s="2" t="b">
        <v>0</v>
      </c>
      <c r="M2" s="44">
        <f>ROUNDDOWN(N2/5,0)+1</f>
        <v>1</v>
      </c>
      <c r="N2" s="55">
        <v>0</v>
      </c>
    </row>
    <row r="3" spans="1:17" x14ac:dyDescent="0.25">
      <c r="A3" s="170" t="s">
        <v>11</v>
      </c>
      <c r="B3" s="39"/>
      <c r="C3" s="170" t="s">
        <v>186</v>
      </c>
      <c r="D3" s="39"/>
      <c r="E3" s="170" t="str">
        <f>IFERROR(VLOOKUP(D3,'Moves List'!$A$1:$K$1500,2,FALSE),"")</f>
        <v/>
      </c>
      <c r="F3" s="170" t="str">
        <f>IFERROR(VLOOKUP(D3,'Moves List'!$A$1:$K$1500,3,FALSE),"")</f>
        <v/>
      </c>
      <c r="G3" s="37" t="str">
        <f>IFERROR(VLOOKUP(D3,'Moves List'!$A$1:$K$1500,4,FALSE),"")</f>
        <v/>
      </c>
      <c r="H3" s="170" t="str">
        <f>IFERROR(TRUNC((VLOOKUP(G3,'Damage Chart'!$A$1:$E$30,3,FALSE)+M3/2),0) &amp; "d" &amp; VLOOKUP(G3,'Damage Chart'!$A$1:$E$30,4,FALSE) &amp; "+" &amp; VLOOKUP(G3,'Damage Chart'!$A$1:$E$30,5,FALSE)+(M3-1)*2," ")</f>
        <v xml:space="preserve"> </v>
      </c>
      <c r="I3" s="42" t="str">
        <f>IFERROR(VLOOKUP(D3,'Moves List'!$A$1:$K$1500,6,FALSE),"")</f>
        <v/>
      </c>
      <c r="J3" s="170" t="str">
        <f>IFERROR(VLOOKUP(D3,'Moves List'!$A$1:$K$1500,9,FALSE),"")</f>
        <v/>
      </c>
      <c r="K3" s="42" t="str">
        <f>IFERROR(VLOOKUP(D3,'Moves List'!$A$1:$K$1500,11,FALSE),"")</f>
        <v/>
      </c>
      <c r="L3" s="2" t="b">
        <v>0</v>
      </c>
      <c r="M3" s="44">
        <f>ROUNDDOWN(N3/5,0)+1</f>
        <v>1</v>
      </c>
      <c r="N3" s="55">
        <v>0</v>
      </c>
      <c r="Q3" s="170" t="str">
        <f>IFERROR(VLOOKUP(M12,'Items List'!A1:B286,2,FALSE),"")</f>
        <v/>
      </c>
    </row>
    <row r="4" spans="1:17" x14ac:dyDescent="0.25">
      <c r="A4" s="170" t="s">
        <v>47</v>
      </c>
      <c r="B4" s="39"/>
      <c r="C4" s="170" t="s">
        <v>187</v>
      </c>
      <c r="D4" s="39"/>
      <c r="E4" s="170" t="str">
        <f>IFERROR(VLOOKUP(D4,'Moves List'!$A$1:$K$1500,2,FALSE),"")</f>
        <v/>
      </c>
      <c r="F4" s="170" t="str">
        <f>IFERROR(VLOOKUP(D4,'Moves List'!$A$1:$K$1500,3,FALSE),"")</f>
        <v/>
      </c>
      <c r="G4" s="37" t="str">
        <f>IFERROR(VLOOKUP(D4,'Moves List'!$A$1:$K$1500,4,FALSE),"")</f>
        <v/>
      </c>
      <c r="H4" s="170" t="str">
        <f>IFERROR(TRUNC((VLOOKUP(G4,'Damage Chart'!$A$1:$E$30,3,FALSE)+M4/2),0) &amp; "d" &amp; VLOOKUP(G4,'Damage Chart'!$A$1:$E$30,4,FALSE) &amp; "+" &amp; VLOOKUP(G4,'Damage Chart'!$A$1:$E$30,5,FALSE)+(M4-1)*2," ")</f>
        <v xml:space="preserve"> </v>
      </c>
      <c r="I4" s="42" t="str">
        <f>IFERROR(VLOOKUP(D4,'Moves List'!$A$1:$K$1500,6,FALSE),"")</f>
        <v/>
      </c>
      <c r="J4" s="170" t="str">
        <f>IFERROR(VLOOKUP(D4,'Moves List'!$A$1:$K$1500,9,FALSE),"")</f>
        <v/>
      </c>
      <c r="K4" s="42" t="str">
        <f>IFERROR(VLOOKUP(D4,'Moves List'!$A$1:$K$1500,11,FALSE),"")</f>
        <v/>
      </c>
      <c r="L4" s="2" t="b">
        <v>0</v>
      </c>
      <c r="M4" s="44">
        <f>ROUNDDOWN(N4/5,0)+1</f>
        <v>1</v>
      </c>
      <c r="N4" s="55">
        <v>0</v>
      </c>
      <c r="Q4" s="170" t="str">
        <f>IFERROR(VLOOKUP(M13,'Items List'!A1:B286,2,FALSE),"")</f>
        <v/>
      </c>
    </row>
    <row r="5" spans="1:17" x14ac:dyDescent="0.25">
      <c r="A5" s="170" t="s">
        <v>188</v>
      </c>
      <c r="B5" s="44"/>
      <c r="C5" s="170" t="s">
        <v>189</v>
      </c>
      <c r="D5" s="39"/>
      <c r="E5" s="170" t="str">
        <f>IFERROR(VLOOKUP(D5,'Moves List'!$A$1:$K$1500,2,FALSE),"")</f>
        <v/>
      </c>
      <c r="F5" s="170" t="str">
        <f>IFERROR(VLOOKUP(D5,'Moves List'!$A$1:$K$1500,3,FALSE),"")</f>
        <v/>
      </c>
      <c r="G5" s="37" t="str">
        <f>IFERROR(VLOOKUP(D5,'Moves List'!$A$1:$K$1500,4,FALSE),"")</f>
        <v/>
      </c>
      <c r="H5" s="170" t="str">
        <f>IFERROR(TRUNC((VLOOKUP(G5,'Damage Chart'!$A$1:$E$30,3,FALSE)+M5/2),0) &amp; "d" &amp; VLOOKUP(G5,'Damage Chart'!$A$1:$E$30,4,FALSE) &amp; "+" &amp; VLOOKUP(G5,'Damage Chart'!$A$1:$E$30,5,FALSE)+(M5-1)*2," ")</f>
        <v xml:space="preserve"> </v>
      </c>
      <c r="I5" s="42" t="str">
        <f>IFERROR(VLOOKUP(D5,'Moves List'!$A$1:$K$1500,6,FALSE),"")</f>
        <v/>
      </c>
      <c r="J5" s="170" t="str">
        <f>IFERROR(VLOOKUP(D5,'Moves List'!$A$1:$K$1500,9,FALSE),"")</f>
        <v/>
      </c>
      <c r="K5" s="42" t="str">
        <f>IFERROR(VLOOKUP(D5,'Moves List'!$A$1:$K$1500,11,FALSE),"")</f>
        <v/>
      </c>
      <c r="L5" s="2" t="b">
        <v>0</v>
      </c>
      <c r="M5" s="44">
        <f>ROUNDDOWN(N5/5,0)+1</f>
        <v>1</v>
      </c>
      <c r="N5" s="55">
        <v>0</v>
      </c>
      <c r="Q5" s="170" t="str">
        <f>IFERROR(VLOOKUP(M14,'Items List'!A1:B286,2,FALSE),"")</f>
        <v/>
      </c>
    </row>
    <row r="6" spans="1:17" x14ac:dyDescent="0.25">
      <c r="A6" s="170" t="s">
        <v>190</v>
      </c>
      <c r="B6" s="45">
        <f>IFERROR(LOOKUP(B5,'EXP Chart'!B:B,'EXP Chart'!A:A)," ")</f>
        <v>1</v>
      </c>
      <c r="C6" s="35" t="s">
        <v>191</v>
      </c>
      <c r="D6" s="39"/>
      <c r="E6" s="170" t="str">
        <f>IFERROR(VLOOKUP(D6,'Moves List'!$A$1:$K$1500,2,FALSE),"")</f>
        <v/>
      </c>
      <c r="F6" s="170" t="str">
        <f>IFERROR(VLOOKUP(D6,'Moves List'!$A$1:$K$1500,3,FALSE),"")</f>
        <v/>
      </c>
      <c r="G6" s="37" t="str">
        <f>IFERROR(VLOOKUP(D6,'Moves List'!$A$1:$K$1500,4,FALSE),"")</f>
        <v/>
      </c>
      <c r="H6" s="170" t="str">
        <f>IFERROR(TRUNC((VLOOKUP(G6,'Damage Chart'!$A$1:$E$30,3,FALSE)+M6/2),0) &amp; "d" &amp; VLOOKUP(G6,'Damage Chart'!$A$1:$E$30,4,FALSE) &amp; "+" &amp; VLOOKUP(G6,'Damage Chart'!$A$1:$E$30,5,FALSE)+(M6-1)*2," ")</f>
        <v xml:space="preserve"> </v>
      </c>
      <c r="I6" s="42" t="str">
        <f>IFERROR(VLOOKUP(D6,'Moves List'!$A$1:$K$1500,6,FALSE),"")</f>
        <v/>
      </c>
      <c r="J6" s="33" t="str">
        <f>IFERROR(VLOOKUP(D6,'Moves List'!$A$1:$K$1500,9,FALSE),"")</f>
        <v/>
      </c>
      <c r="K6" s="42" t="str">
        <f>IFERROR(VLOOKUP(D6,'Moves List'!$A$1:$K$1500,11,FALSE),"")</f>
        <v/>
      </c>
      <c r="L6" s="2" t="b">
        <v>0</v>
      </c>
      <c r="M6" s="44">
        <f>ROUNDDOWN(N6/5,0)+1</f>
        <v>1</v>
      </c>
      <c r="N6" s="55">
        <v>0</v>
      </c>
      <c r="Q6" s="170" t="str">
        <f>IFERROR(VLOOKUP(M15,'Items List'!A1:B286,2,FALSE),"")</f>
        <v/>
      </c>
    </row>
    <row r="7" spans="1:17" x14ac:dyDescent="0.25">
      <c r="A7" s="170" t="s">
        <v>192</v>
      </c>
      <c r="B7" s="39"/>
      <c r="C7" s="276" t="str">
        <f>IFERROR(VLOOKUP(B7,'Abilities List'!$A$1:$C$400,2,FALSE),"")</f>
        <v/>
      </c>
      <c r="D7" s="272"/>
      <c r="E7" s="272"/>
      <c r="F7" s="272"/>
      <c r="G7" s="272"/>
      <c r="H7" s="272"/>
      <c r="I7" s="272"/>
      <c r="J7" s="272"/>
      <c r="K7" s="272"/>
      <c r="L7" s="272"/>
      <c r="N7" s="56"/>
      <c r="Q7" s="170" t="str">
        <f>IFERROR(VLOOKUP(M16,'Items List'!A1:B286,2,FALSE),"")</f>
        <v/>
      </c>
    </row>
    <row r="8" spans="1:17" x14ac:dyDescent="0.25">
      <c r="A8" s="170" t="s">
        <v>193</v>
      </c>
      <c r="B8" s="39"/>
      <c r="C8" s="276" t="str">
        <f>IFERROR(VLOOKUP(B8,'Items List'!A:B,2,FALSE),"")</f>
        <v/>
      </c>
      <c r="D8" s="272"/>
      <c r="E8" s="272"/>
      <c r="F8" s="272"/>
      <c r="G8" s="272"/>
      <c r="H8" s="272"/>
      <c r="I8" s="272"/>
      <c r="J8" s="272"/>
      <c r="K8" s="272"/>
      <c r="L8" s="272"/>
      <c r="Q8" s="170" t="str">
        <f>IFERROR(VLOOKUP(M17,'Items List'!A1:B286,2,FALSE),"")</f>
        <v/>
      </c>
    </row>
    <row r="9" spans="1:17" x14ac:dyDescent="0.25">
      <c r="A9" s="35" t="s">
        <v>28</v>
      </c>
      <c r="C9" s="35" t="s">
        <v>194</v>
      </c>
      <c r="D9" s="35" t="s">
        <v>195</v>
      </c>
      <c r="E9" s="35" t="s">
        <v>196</v>
      </c>
      <c r="F9" s="35" t="s">
        <v>197</v>
      </c>
      <c r="G9" s="35" t="s">
        <v>198</v>
      </c>
      <c r="I9" s="35" t="s">
        <v>199</v>
      </c>
      <c r="J9" s="35" t="s">
        <v>200</v>
      </c>
      <c r="K9" s="29"/>
      <c r="Q9" s="170" t="str">
        <f>IFERROR(VLOOKUP(M18,'Items List'!A1:B286,2,FALSE),"")</f>
        <v/>
      </c>
    </row>
    <row r="10" spans="1:17" ht="15.75" thickBot="1" x14ac:dyDescent="0.3">
      <c r="A10" s="170" t="s">
        <v>202</v>
      </c>
      <c r="B10" s="37" t="str">
        <f>IFERROR(VLOOKUP(B3,'List of PKMN'!$B$1:$H$1218,2,FALSE),"0")</f>
        <v>0</v>
      </c>
      <c r="C10" s="201">
        <f>IFERROR(B6-1," ")</f>
        <v>0</v>
      </c>
      <c r="D10" s="46">
        <f>IFERROR(B10+C10," ")</f>
        <v>0</v>
      </c>
      <c r="E10" s="43"/>
      <c r="F10" s="43"/>
      <c r="G10" s="170" t="s">
        <v>202</v>
      </c>
      <c r="H10" s="46">
        <f>IFERROR(SUM(D10+D12+D14+E10+F10+E12+F12+E14+F14)," ")</f>
        <v>0</v>
      </c>
      <c r="I10" s="172"/>
      <c r="J10" s="57">
        <f>IFERROR(H10+I10," ")</f>
        <v>0</v>
      </c>
      <c r="K10" s="40"/>
      <c r="L10" s="40" t="s">
        <v>181</v>
      </c>
      <c r="M10" s="113" t="s">
        <v>70</v>
      </c>
      <c r="N10" s="114"/>
      <c r="O10" s="114"/>
      <c r="P10" s="115" t="s">
        <v>227</v>
      </c>
      <c r="Q10" s="170" t="str">
        <f>IFERROR(VLOOKUP(M19,'Items List'!A1:B286,2,FALSE),"")</f>
        <v/>
      </c>
    </row>
    <row r="11" spans="1:17" x14ac:dyDescent="0.25">
      <c r="A11" s="170" t="s">
        <v>203</v>
      </c>
      <c r="B11" s="37" t="str">
        <f>IFERROR(VLOOKUP(B3,'List of PKMN'!$B$1:$H$1218,3,FALSE),"0")</f>
        <v>0</v>
      </c>
      <c r="C11" s="47">
        <v>0</v>
      </c>
      <c r="D11" s="46">
        <f t="shared" ref="D11:D15" si="0">B11+C11</f>
        <v>0</v>
      </c>
      <c r="E11" s="43"/>
      <c r="F11" s="43"/>
      <c r="G11" s="170" t="s">
        <v>203</v>
      </c>
      <c r="H11" s="46">
        <f t="shared" ref="H11:H15" si="1">SUM(B11:C11,E11:F11)</f>
        <v>0</v>
      </c>
      <c r="I11" s="172"/>
      <c r="J11" s="57">
        <f t="shared" ref="J11:J15" si="2">H11+I11</f>
        <v>0</v>
      </c>
      <c r="K11" s="170" t="s">
        <v>185</v>
      </c>
      <c r="L11" s="117"/>
      <c r="M11" s="277" t="str">
        <f>IFERROR(VLOOKUP(L11,'Items List'!A1:B286,2,FALSE),"")</f>
        <v/>
      </c>
      <c r="N11" s="278"/>
      <c r="O11" s="278"/>
      <c r="P11" s="116">
        <v>1</v>
      </c>
    </row>
    <row r="12" spans="1:17" x14ac:dyDescent="0.25">
      <c r="A12" s="170" t="s">
        <v>204</v>
      </c>
      <c r="B12" s="37" t="str">
        <f>IFERROR(VLOOKUP(B3,'List of PKMN'!$B$1:$H$1218,4,FALSE),"0")</f>
        <v>0</v>
      </c>
      <c r="C12" s="48">
        <v>0</v>
      </c>
      <c r="D12" s="46">
        <f t="shared" si="0"/>
        <v>0</v>
      </c>
      <c r="E12" s="43"/>
      <c r="F12" s="43"/>
      <c r="G12" s="170" t="s">
        <v>204</v>
      </c>
      <c r="H12" s="46">
        <f t="shared" si="1"/>
        <v>0</v>
      </c>
      <c r="I12" s="172"/>
      <c r="J12" s="57">
        <f t="shared" si="2"/>
        <v>0</v>
      </c>
      <c r="L12" s="118"/>
      <c r="M12" s="274" t="str">
        <f>IFERROR(VLOOKUP(L12,'Items List'!A1:B286,2,FALSE),"")</f>
        <v/>
      </c>
      <c r="N12" s="275"/>
      <c r="O12" s="275"/>
      <c r="P12" s="109"/>
    </row>
    <row r="13" spans="1:17" x14ac:dyDescent="0.25">
      <c r="A13" s="170" t="s">
        <v>205</v>
      </c>
      <c r="B13" s="37" t="str">
        <f>IFERROR(VLOOKUP(B3,'List of PKMN'!$B$1:$H$1218,5,FALSE),"0")</f>
        <v>0</v>
      </c>
      <c r="C13" s="47">
        <v>0</v>
      </c>
      <c r="D13" s="46">
        <f t="shared" si="0"/>
        <v>0</v>
      </c>
      <c r="E13" s="43"/>
      <c r="F13" s="43"/>
      <c r="G13" s="170" t="s">
        <v>205</v>
      </c>
      <c r="H13" s="46">
        <f t="shared" si="1"/>
        <v>0</v>
      </c>
      <c r="I13" s="172"/>
      <c r="J13" s="57">
        <f t="shared" si="2"/>
        <v>0</v>
      </c>
      <c r="L13" s="118"/>
      <c r="M13" s="274" t="str">
        <f>IFERROR(VLOOKUP(L13,'Items List'!A1:B286,2,FALSE),"")</f>
        <v/>
      </c>
      <c r="N13" s="275"/>
      <c r="O13" s="275"/>
      <c r="P13" s="109"/>
    </row>
    <row r="14" spans="1:17" x14ac:dyDescent="0.25">
      <c r="A14" s="170" t="s">
        <v>206</v>
      </c>
      <c r="B14" s="37" t="str">
        <f>IFERROR(VLOOKUP(B3,'List of PKMN'!$B$1:$H$1218,6,FALSE),"0")</f>
        <v>0</v>
      </c>
      <c r="C14" s="48">
        <v>0</v>
      </c>
      <c r="D14" s="46">
        <f t="shared" si="0"/>
        <v>0</v>
      </c>
      <c r="E14" s="43"/>
      <c r="F14" s="43"/>
      <c r="G14" s="170" t="s">
        <v>206</v>
      </c>
      <c r="H14" s="46">
        <f t="shared" si="1"/>
        <v>0</v>
      </c>
      <c r="I14" s="172"/>
      <c r="J14" s="57">
        <f t="shared" si="2"/>
        <v>0</v>
      </c>
      <c r="L14" s="118"/>
      <c r="M14" s="274" t="str">
        <f>IFERROR(VLOOKUP(L14,'Items List'!A1:B286,2,FALSE),"")</f>
        <v/>
      </c>
      <c r="N14" s="275"/>
      <c r="O14" s="275"/>
      <c r="P14" s="109"/>
    </row>
    <row r="15" spans="1:17" x14ac:dyDescent="0.25">
      <c r="A15" s="170" t="s">
        <v>208</v>
      </c>
      <c r="B15" s="37" t="str">
        <f>IFERROR(VLOOKUP(B3,'List of PKMN'!$B$1:$H$1218,7,FALSE),"0")</f>
        <v>0</v>
      </c>
      <c r="C15" s="47">
        <v>0</v>
      </c>
      <c r="D15" s="46">
        <f t="shared" si="0"/>
        <v>0</v>
      </c>
      <c r="E15" s="43"/>
      <c r="F15" s="43"/>
      <c r="G15" s="170" t="s">
        <v>208</v>
      </c>
      <c r="H15" s="46">
        <f t="shared" si="1"/>
        <v>0</v>
      </c>
      <c r="I15" s="172"/>
      <c r="J15" s="57">
        <f t="shared" si="2"/>
        <v>0</v>
      </c>
      <c r="L15" s="118"/>
      <c r="M15" s="274" t="str">
        <f>IFERROR(VLOOKUP(L15,'Items List'!A1:B286,2,FALSE),"")</f>
        <v/>
      </c>
      <c r="N15" s="275"/>
      <c r="O15" s="275"/>
      <c r="P15" s="109"/>
    </row>
    <row r="16" spans="1:17" x14ac:dyDescent="0.25">
      <c r="A16" s="35"/>
      <c r="B16" s="49"/>
      <c r="C16" s="50">
        <f>SUM(C11:C15)</f>
        <v>0</v>
      </c>
      <c r="D16" s="170" t="s">
        <v>209</v>
      </c>
      <c r="E16" s="205" t="str">
        <f>IFERROR(_xlfn.IFS(C16/2=B6-1,"True",AND(C16/2&gt;B6-1,C12+C14&gt;C11+C13+C15),"Must Sub Stat from Defenses",AND(C16/2&lt;B6-1,C12+C14&lt;C11+C13+C15),"Must Add Stat to Defenses",AND(C16/2&gt;B6-1,C11+C13+C15&gt;C12+C14),"Must Sub Stat from Offenses",AND(C16/2&lt;B6-1,C11+C13+C15&lt;C12+C14),"Must Add Stat to Offenses",AND(C11+C13+C15=C12+C14)*AND(C16&lt;B6*2-2),"Must Add Stats To Offense and Defenses",AND(C11+C13+C15=C12+C14)*AND(C16&gt;B6*2-2),"Must Sub Stats To Offense and Defenses")," ")</f>
        <v>True</v>
      </c>
      <c r="F16" s="58"/>
      <c r="G16" s="39" t="s">
        <v>210</v>
      </c>
      <c r="H16" s="51" t="str">
        <f ca="1">IFERROR(RANDBETWEEN(1,J15),"0")</f>
        <v>0</v>
      </c>
      <c r="I16" s="2" t="s">
        <v>5009</v>
      </c>
      <c r="J16" s="52"/>
      <c r="L16" s="118"/>
      <c r="M16" s="274" t="str">
        <f>IFERROR(VLOOKUP(L16,'Items List'!A1:B286,2,FALSE),"")</f>
        <v/>
      </c>
      <c r="N16" s="275"/>
      <c r="O16" s="275"/>
      <c r="P16" s="109"/>
    </row>
    <row r="17" spans="1:16" x14ac:dyDescent="0.25">
      <c r="E17" s="49"/>
      <c r="L17" s="118"/>
      <c r="M17" s="274" t="str">
        <f>IFERROR(VLOOKUP(L17,'Items List'!A1:B286,2,FALSE),"")</f>
        <v/>
      </c>
      <c r="N17" s="275"/>
      <c r="O17" s="275"/>
      <c r="P17" s="109"/>
    </row>
    <row r="18" spans="1:16" x14ac:dyDescent="0.25">
      <c r="B18" s="35" t="s">
        <v>211</v>
      </c>
      <c r="F18" s="35" t="s">
        <v>212</v>
      </c>
      <c r="H18" s="35" t="s">
        <v>213</v>
      </c>
      <c r="I18" s="35" t="s">
        <v>70</v>
      </c>
      <c r="L18" s="118"/>
      <c r="M18" s="274" t="str">
        <f>IFERROR(VLOOKUP(L18,'Items List'!A1:B286,2,FALSE),"")</f>
        <v/>
      </c>
      <c r="N18" s="275"/>
      <c r="O18" s="275"/>
      <c r="P18" s="109"/>
    </row>
    <row r="19" spans="1:16" x14ac:dyDescent="0.25">
      <c r="A19" s="53" t="s">
        <v>94</v>
      </c>
      <c r="B19" s="59">
        <v>0</v>
      </c>
      <c r="C19" s="173" t="s">
        <v>228</v>
      </c>
      <c r="D19" s="174"/>
      <c r="E19" s="175"/>
      <c r="F19" s="132" t="s">
        <v>214</v>
      </c>
      <c r="G19" s="176"/>
      <c r="H19" s="170">
        <f>IFERROR(VLOOKUP(F19,'IQ Skills'!$A$1:$C$63,2,FALSE),"")</f>
        <v>0</v>
      </c>
      <c r="I19" s="170" t="str">
        <f>IFERROR(VLOOKUP('Character Sheet'!F19,'IQ Skills'!$A$1:$C$63,3,FALSE),"")</f>
        <v>If you are lost, roll Cool. Success gets you back on track.</v>
      </c>
      <c r="L19" s="118"/>
      <c r="M19" s="274" t="str">
        <f>IFERROR(VLOOKUP(L19,'Items List'!A1:B286,2,FALSE),"")</f>
        <v/>
      </c>
      <c r="N19" s="275"/>
      <c r="O19" s="275"/>
      <c r="P19" s="109"/>
    </row>
    <row r="20" spans="1:16" ht="15.75" thickBot="1" x14ac:dyDescent="0.3">
      <c r="A20" s="53" t="s">
        <v>99</v>
      </c>
      <c r="B20" s="60">
        <v>0</v>
      </c>
      <c r="C20" s="177" t="s">
        <v>229</v>
      </c>
      <c r="D20" s="178"/>
      <c r="E20" s="179"/>
      <c r="F20" s="132" t="s">
        <v>216</v>
      </c>
      <c r="G20" s="176"/>
      <c r="H20" s="170">
        <f>IFERROR(VLOOKUP(F20,'IQ Skills'!$A$1:$C$63,2,FALSE),"")</f>
        <v>0</v>
      </c>
      <c r="I20" s="170" t="str">
        <f>IFERROR(VLOOKUP('Character Sheet'!F20,'IQ Skills'!$A$1:$C$63,3,FALSE),"")</f>
        <v>You have the ability to use PKMN moves.</v>
      </c>
      <c r="K20" s="41"/>
      <c r="L20" s="119"/>
      <c r="M20" s="281" t="str">
        <f>IFERROR(VLOOKUP(L20,'Items List'!A1:B286,2,FALSE),"")</f>
        <v/>
      </c>
      <c r="N20" s="282"/>
      <c r="O20" s="282"/>
      <c r="P20" s="125"/>
    </row>
    <row r="21" spans="1:16" ht="15.75" customHeight="1" x14ac:dyDescent="0.25">
      <c r="A21" s="53" t="s">
        <v>104</v>
      </c>
      <c r="B21" s="61">
        <v>0</v>
      </c>
      <c r="C21" s="180" t="s">
        <v>230</v>
      </c>
      <c r="D21" s="181"/>
      <c r="E21" s="182"/>
      <c r="F21" s="132" t="s">
        <v>217</v>
      </c>
      <c r="G21" s="176"/>
      <c r="H21" s="170">
        <f>IFERROR(VLOOKUP(F21,'IQ Skills'!$A$1:$C$63,2,FALSE),"")</f>
        <v>0</v>
      </c>
      <c r="I21" s="170" t="str">
        <f>IFERROR(VLOOKUP('Character Sheet'!F21,'IQ Skills'!$A$1:$C$63,3,FALSE),"")</f>
        <v>Can use the Explorer Badge to leave the dungeon. Cannot be turned off.</v>
      </c>
      <c r="K21" s="170" t="s">
        <v>201</v>
      </c>
      <c r="L21" s="120"/>
      <c r="M21" s="283" t="str">
        <f>IFERROR(VLOOKUP(L21,'Items List'!A1:B286,2,FALSE),"")</f>
        <v/>
      </c>
      <c r="N21" s="278"/>
      <c r="O21" s="278"/>
      <c r="P21" s="124"/>
    </row>
    <row r="22" spans="1:16" ht="15.75" customHeight="1" x14ac:dyDescent="0.25">
      <c r="A22" s="53" t="s">
        <v>109</v>
      </c>
      <c r="B22" s="62">
        <v>0</v>
      </c>
      <c r="C22" s="183" t="s">
        <v>231</v>
      </c>
      <c r="D22" s="184"/>
      <c r="E22" s="185"/>
      <c r="F22" s="132" t="s">
        <v>218</v>
      </c>
      <c r="G22" s="176"/>
      <c r="H22" s="170">
        <f>IFERROR(VLOOKUP(F22,'IQ Skills'!$A$1:$C$63,2,FALSE),"")</f>
        <v>0</v>
      </c>
      <c r="I22" s="170" t="str">
        <f>IFERROR(VLOOKUP('Character Sheet'!F22,'IQ Skills'!$A$1:$C$63,3,FALSE),"")</f>
        <v>Can catch a thrown item and keep it for its own.</v>
      </c>
      <c r="L22" s="121"/>
      <c r="M22" s="284" t="str">
        <f>IFERROR(VLOOKUP(L22,'Items List'!A1:B286,2,FALSE),"")</f>
        <v/>
      </c>
      <c r="N22" s="275"/>
      <c r="O22" s="275"/>
      <c r="P22" s="123"/>
    </row>
    <row r="23" spans="1:16" ht="15.75" customHeight="1" x14ac:dyDescent="0.25">
      <c r="A23" s="53" t="s">
        <v>89</v>
      </c>
      <c r="B23" s="63">
        <v>0</v>
      </c>
      <c r="C23" s="186" t="s">
        <v>232</v>
      </c>
      <c r="D23" s="250"/>
      <c r="E23" s="187"/>
      <c r="F23" s="132" t="s">
        <v>219</v>
      </c>
      <c r="G23" s="176"/>
      <c r="H23" s="170">
        <f>IFERROR(VLOOKUP(F23,'IQ Skills'!$A$1:$C$63,2,FALSE),"")</f>
        <v>0</v>
      </c>
      <c r="I23" s="170" t="str">
        <f>IFERROR(VLOOKUP('Character Sheet'!F23,'IQ Skills'!$A$1:$C$63,3,FALSE),"")</f>
        <v>Can use and throw its hold item.</v>
      </c>
      <c r="L23" s="121"/>
      <c r="M23" s="284" t="str">
        <f>IFERROR(VLOOKUP(L23,'Items List'!A1:B286,2,FALSE),"")</f>
        <v/>
      </c>
      <c r="N23" s="275"/>
      <c r="O23" s="275"/>
      <c r="P23" s="123"/>
    </row>
    <row r="24" spans="1:16" ht="15.75" customHeight="1" x14ac:dyDescent="0.25">
      <c r="A24" s="53" t="s">
        <v>221</v>
      </c>
      <c r="B24" s="44">
        <v>0</v>
      </c>
      <c r="C24" s="249" t="s">
        <v>5082</v>
      </c>
      <c r="D24" s="252">
        <f>IFERROR(B6+10," ")</f>
        <v>11</v>
      </c>
      <c r="F24" s="132"/>
      <c r="G24" s="176"/>
      <c r="H24" s="170" t="str">
        <f>IFERROR(VLOOKUP('Character Sheet'!F24,'IQ Skills'!$A$1:$C$63,3,FALSE),"")</f>
        <v/>
      </c>
      <c r="I24" t="str">
        <f>IFERROR(VLOOKUP('Character Sheet'!F24,'IQ Skills'!$A$1:$C$63,3,FALSE),"")</f>
        <v/>
      </c>
      <c r="L24" s="121"/>
      <c r="M24" s="284" t="str">
        <f>IFERROR(VLOOKUP(L24,'Items List'!A1:B286,2,FALSE),"")</f>
        <v/>
      </c>
      <c r="N24" s="275"/>
      <c r="O24" s="275"/>
      <c r="P24" s="123"/>
    </row>
    <row r="25" spans="1:16" ht="15.75" customHeight="1" thickBot="1" x14ac:dyDescent="0.3">
      <c r="A25" s="53" t="s">
        <v>222</v>
      </c>
      <c r="B25" s="44">
        <v>0</v>
      </c>
      <c r="C25" s="249" t="s">
        <v>5084</v>
      </c>
      <c r="D25" s="248"/>
      <c r="F25" s="132"/>
      <c r="G25" s="176"/>
      <c r="H25" s="170" t="str">
        <f>IFERROR(VLOOKUP('Character Sheet'!F25,'IQ Skills'!$A$1:$C$63,3,FALSE),"")</f>
        <v/>
      </c>
      <c r="I25" t="str">
        <f>IFERROR(VLOOKUP('Character Sheet'!F25,'IQ Skills'!$A$1:$C$63,3,FALSE),"")</f>
        <v/>
      </c>
      <c r="K25" s="41"/>
      <c r="L25" s="122"/>
      <c r="M25" s="285" t="str">
        <f>IFERROR(VLOOKUP(L25,'Items List'!A1:B286,2,FALSE),"")</f>
        <v/>
      </c>
      <c r="N25" s="282"/>
      <c r="O25" s="282"/>
      <c r="P25" s="126"/>
    </row>
    <row r="26" spans="1:16" ht="15.75" customHeight="1" x14ac:dyDescent="0.25">
      <c r="F26" s="132"/>
      <c r="G26" s="176"/>
      <c r="H26" s="170" t="str">
        <f>IFERROR(VLOOKUP('Character Sheet'!F26,'IQ Skills'!$A$1:$C$63,3,FALSE),"")</f>
        <v/>
      </c>
      <c r="I26" t="str">
        <f>IFERROR(VLOOKUP('Character Sheet'!F26,'IQ Skills'!$A$1:$C$63,3,FALSE),"")</f>
        <v/>
      </c>
      <c r="K26" s="170" t="s">
        <v>207</v>
      </c>
      <c r="L26" s="120"/>
      <c r="M26" s="279" t="str">
        <f>IFERROR(VLOOKUP(L26,'Items List'!A1:B286,2,FALSE),"")</f>
        <v/>
      </c>
      <c r="N26" s="280"/>
      <c r="O26" s="280"/>
      <c r="P26" s="124"/>
    </row>
    <row r="27" spans="1:16" ht="15.75" customHeight="1" x14ac:dyDescent="0.25">
      <c r="F27" s="132"/>
      <c r="G27" s="176"/>
      <c r="H27" s="170" t="str">
        <f>IFERROR(VLOOKUP('Character Sheet'!F27,'IQ Skills'!$A$1:$C$63,3,FALSE),"")</f>
        <v/>
      </c>
      <c r="I27" t="str">
        <f>IFERROR(VLOOKUP('Character Sheet'!F27,'IQ Skills'!$A$1:$C$63,3,FALSE),"")</f>
        <v/>
      </c>
      <c r="L27" s="121"/>
      <c r="M27" s="284" t="str">
        <f>IFERROR(VLOOKUP(L27,'Items List'!A1:B286,2,FALSE),"")</f>
        <v/>
      </c>
      <c r="N27" s="275"/>
      <c r="O27" s="275"/>
      <c r="P27" s="123"/>
    </row>
    <row r="28" spans="1:16" ht="15.75" customHeight="1" x14ac:dyDescent="0.25">
      <c r="F28" s="132"/>
      <c r="G28" s="176"/>
      <c r="H28" s="170" t="str">
        <f>IFERROR(VLOOKUP('Character Sheet'!F28,'IQ Skills'!$A$1:$C$63,3,FALSE),"")</f>
        <v/>
      </c>
      <c r="I28" t="str">
        <f>IFERROR(VLOOKUP('Character Sheet'!F28,'IQ Skills'!$A$1:$C$63,3,FALSE),"")</f>
        <v/>
      </c>
      <c r="L28" s="121"/>
      <c r="M28" s="284" t="str">
        <f>IFERROR(VLOOKUP(L28,'Items List'!A1:B286,2,FALSE),"")</f>
        <v/>
      </c>
      <c r="N28" s="275"/>
      <c r="O28" s="275"/>
      <c r="P28" s="123"/>
    </row>
    <row r="29" spans="1:16" ht="15.75" customHeight="1" x14ac:dyDescent="0.25">
      <c r="B29" s="259" t="s">
        <v>5115</v>
      </c>
      <c r="F29" s="132"/>
      <c r="G29" s="176"/>
      <c r="H29" s="170" t="str">
        <f>IFERROR(VLOOKUP('Character Sheet'!F29,'IQ Skills'!$A$1:$C$63,3,FALSE),"")</f>
        <v/>
      </c>
      <c r="I29" t="str">
        <f>IFERROR(VLOOKUP('Character Sheet'!F29,'IQ Skills'!$A$1:$C$63,3,FALSE),"")</f>
        <v/>
      </c>
      <c r="L29" s="121"/>
      <c r="M29" s="284" t="str">
        <f>IFERROR(VLOOKUP(L29,'Items List'!A1:B286,2,FALSE),"")</f>
        <v/>
      </c>
      <c r="N29" s="275"/>
      <c r="O29" s="275"/>
      <c r="P29" s="123"/>
    </row>
    <row r="30" spans="1:16" ht="15.75" customHeight="1" thickBot="1" x14ac:dyDescent="0.3">
      <c r="B30" s="259" t="s">
        <v>5116</v>
      </c>
      <c r="F30" s="132"/>
      <c r="G30" s="176"/>
      <c r="H30" s="170" t="str">
        <f>IFERROR(VLOOKUP('Character Sheet'!F30,'IQ Skills'!$A$1:$C$63,3,FALSE),"")</f>
        <v/>
      </c>
      <c r="I30" t="str">
        <f>IFERROR(VLOOKUP('Character Sheet'!F30,'IQ Skills'!$A$1:$C$63,3,FALSE),"")</f>
        <v/>
      </c>
      <c r="K30" s="41"/>
      <c r="L30" s="122"/>
      <c r="M30" s="285" t="str">
        <f>IFERROR(VLOOKUP(L30,'Items List'!A1:B286,2,FALSE),"")</f>
        <v/>
      </c>
      <c r="N30" s="282"/>
      <c r="O30" s="282"/>
      <c r="P30" s="126"/>
    </row>
    <row r="31" spans="1:16" ht="15.75" customHeight="1" x14ac:dyDescent="0.25">
      <c r="B31" s="259" t="s">
        <v>5117</v>
      </c>
      <c r="F31" s="132"/>
      <c r="G31" s="176"/>
      <c r="H31" s="170" t="str">
        <f>IFERROR(VLOOKUP('Character Sheet'!F31,'IQ Skills'!$A$1:$C$63,3,FALSE),"")</f>
        <v/>
      </c>
      <c r="I31" t="str">
        <f>IFERROR(VLOOKUP('Character Sheet'!F31,'IQ Skills'!$A$1:$C$63,3,FALSE),"")</f>
        <v/>
      </c>
      <c r="K31" s="170" t="s">
        <v>215</v>
      </c>
      <c r="L31" s="120"/>
      <c r="M31" s="279" t="str">
        <f>IFERROR(VLOOKUP(L31,'Items List'!A1:B286,2,FALSE),"")</f>
        <v/>
      </c>
      <c r="N31" s="280"/>
      <c r="O31" s="280"/>
      <c r="P31" s="124"/>
    </row>
    <row r="32" spans="1:16" ht="15.75" customHeight="1" x14ac:dyDescent="0.25">
      <c r="B32" s="259" t="s">
        <v>5118</v>
      </c>
      <c r="F32" s="132"/>
      <c r="G32" s="176"/>
      <c r="H32" s="170" t="str">
        <f>IFERROR(VLOOKUP('Character Sheet'!F32,'IQ Skills'!$A$1:$C$63,3,FALSE),"")</f>
        <v/>
      </c>
      <c r="I32" t="str">
        <f>IFERROR(VLOOKUP('Character Sheet'!F32,'IQ Skills'!$A$1:$C$63,3,FALSE),"")</f>
        <v/>
      </c>
      <c r="L32" s="121"/>
      <c r="M32" s="284" t="str">
        <f>IFERROR(VLOOKUP(L32,'Items List'!A1:B286,2,FALSE),"")</f>
        <v/>
      </c>
      <c r="N32" s="275"/>
      <c r="O32" s="275"/>
      <c r="P32" s="123"/>
    </row>
    <row r="33" spans="2:17" ht="15.75" customHeight="1" x14ac:dyDescent="0.25">
      <c r="B33" s="259" t="s">
        <v>5119</v>
      </c>
      <c r="F33" s="132"/>
      <c r="G33" s="176"/>
      <c r="H33" s="170" t="str">
        <f>IFERROR(VLOOKUP('Character Sheet'!F33,'IQ Skills'!$A$1:$C$63,3,FALSE),"")</f>
        <v/>
      </c>
      <c r="I33" t="str">
        <f>IFERROR(VLOOKUP('Character Sheet'!F33,'IQ Skills'!$A$1:$C$63,3,FALSE),"")</f>
        <v/>
      </c>
      <c r="L33" s="121"/>
      <c r="M33" s="284" t="str">
        <f>IFERROR(VLOOKUP(L33,'Items List'!A1:B286,2,FALSE),"")</f>
        <v/>
      </c>
      <c r="N33" s="275"/>
      <c r="O33" s="275"/>
      <c r="P33" s="123"/>
    </row>
    <row r="34" spans="2:17" ht="15.75" customHeight="1" x14ac:dyDescent="0.25">
      <c r="B34" s="259" t="s">
        <v>5120</v>
      </c>
      <c r="F34" s="132"/>
      <c r="G34" s="176"/>
      <c r="H34" s="170" t="str">
        <f>IFERROR(VLOOKUP('Character Sheet'!F34,'IQ Skills'!$A$1:$C$63,3,FALSE),"")</f>
        <v/>
      </c>
      <c r="I34" t="str">
        <f>IFERROR(VLOOKUP('Character Sheet'!F34,'IQ Skills'!$A$1:$C$63,3,FALSE),"")</f>
        <v/>
      </c>
      <c r="L34" s="121"/>
      <c r="M34" s="284" t="str">
        <f>IFERROR(VLOOKUP(L34,'Items List'!A1:B286,2,FALSE),"")</f>
        <v/>
      </c>
      <c r="N34" s="275"/>
      <c r="O34" s="275"/>
      <c r="P34" s="123"/>
    </row>
    <row r="35" spans="2:17" ht="15.75" customHeight="1" thickBot="1" x14ac:dyDescent="0.3">
      <c r="F35" s="132"/>
      <c r="G35" s="176"/>
      <c r="H35" s="170" t="str">
        <f>IFERROR(VLOOKUP('Character Sheet'!F35,'IQ Skills'!$A$1:$C$63,3,FALSE),"")</f>
        <v/>
      </c>
      <c r="I35" t="str">
        <f>IFERROR(VLOOKUP('Character Sheet'!F35,'IQ Skills'!$A$1:$C$63,3,FALSE),"")</f>
        <v/>
      </c>
      <c r="K35" s="41"/>
      <c r="L35" s="122"/>
      <c r="M35" s="285" t="str">
        <f>IFERROR(VLOOKUP(L35,'Items List'!A1:B286,2,FALSE),"")</f>
        <v/>
      </c>
      <c r="N35" s="282"/>
      <c r="O35" s="282"/>
      <c r="P35" s="126"/>
      <c r="Q35" s="170" t="str">
        <f>IFERROR(VLOOKUP(M44,'Items List'!A1:B286,2,FALSE),"")</f>
        <v/>
      </c>
    </row>
    <row r="36" spans="2:17" ht="15.75" customHeight="1" x14ac:dyDescent="0.25">
      <c r="K36" s="170" t="s">
        <v>220</v>
      </c>
      <c r="L36" s="120"/>
      <c r="M36" s="279"/>
      <c r="N36" s="280"/>
      <c r="O36" s="280"/>
      <c r="P36" s="124"/>
      <c r="Q36" s="170" t="str">
        <f>IFERROR(VLOOKUP(M45,'Items List'!A1:B286,2,FALSE),"")</f>
        <v/>
      </c>
    </row>
    <row r="37" spans="2:17" ht="15.75" customHeight="1" x14ac:dyDescent="0.25">
      <c r="L37" s="121"/>
      <c r="M37" s="284"/>
      <c r="N37" s="275"/>
      <c r="O37" s="275"/>
      <c r="P37" s="123"/>
    </row>
    <row r="38" spans="2:17" ht="15.75" customHeight="1" x14ac:dyDescent="0.25">
      <c r="L38" s="121"/>
      <c r="M38" s="284"/>
      <c r="N38" s="275"/>
      <c r="O38" s="275"/>
      <c r="P38" s="123"/>
    </row>
    <row r="39" spans="2:17" ht="15.75" customHeight="1" x14ac:dyDescent="0.25">
      <c r="L39" s="121"/>
      <c r="M39" s="284"/>
      <c r="N39" s="275"/>
      <c r="O39" s="275"/>
      <c r="P39" s="123"/>
    </row>
    <row r="40" spans="2:17" ht="15.75" customHeight="1" thickBot="1" x14ac:dyDescent="0.3">
      <c r="K40" s="41"/>
      <c r="L40" s="122"/>
      <c r="M40" s="285"/>
      <c r="N40" s="282"/>
      <c r="O40" s="282"/>
      <c r="P40" s="126"/>
    </row>
    <row r="41" spans="2:17" ht="15.75" customHeight="1" x14ac:dyDescent="0.25">
      <c r="K41" s="170" t="s">
        <v>223</v>
      </c>
      <c r="L41" s="120"/>
      <c r="M41" s="279"/>
      <c r="N41" s="280"/>
      <c r="O41" s="280"/>
      <c r="P41" s="124"/>
    </row>
    <row r="42" spans="2:17" ht="15.75" customHeight="1" x14ac:dyDescent="0.25">
      <c r="L42" s="121"/>
      <c r="M42" s="284"/>
      <c r="N42" s="275"/>
      <c r="O42" s="275"/>
      <c r="P42" s="123"/>
    </row>
    <row r="43" spans="2:17" ht="15.75" customHeight="1" x14ac:dyDescent="0.25">
      <c r="L43" s="121"/>
      <c r="M43" s="284"/>
      <c r="N43" s="275"/>
      <c r="O43" s="275"/>
      <c r="P43" s="123"/>
    </row>
    <row r="44" spans="2:17" ht="15.75" customHeight="1" x14ac:dyDescent="0.25">
      <c r="L44" s="121"/>
      <c r="M44" s="284"/>
      <c r="N44" s="275"/>
      <c r="O44" s="275"/>
      <c r="P44" s="123"/>
    </row>
    <row r="45" spans="2:17" ht="15.75" customHeight="1" x14ac:dyDescent="0.25">
      <c r="L45" s="121"/>
      <c r="M45" s="284"/>
      <c r="N45" s="275"/>
      <c r="O45" s="275"/>
      <c r="P45" s="123"/>
    </row>
    <row r="46" spans="2:17" ht="15.75" customHeight="1" x14ac:dyDescent="0.25"/>
    <row r="47" spans="2:17" ht="15.75" customHeight="1" x14ac:dyDescent="0.25"/>
    <row r="48" spans="2:17"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37">
    <mergeCell ref="C7:L7"/>
    <mergeCell ref="C8:L8"/>
    <mergeCell ref="M11:O11"/>
    <mergeCell ref="M12:O12"/>
    <mergeCell ref="M13:O13"/>
    <mergeCell ref="M14:O14"/>
    <mergeCell ref="M15:O15"/>
    <mergeCell ref="M16:O16"/>
    <mergeCell ref="M17:O17"/>
    <mergeCell ref="M18:O18"/>
    <mergeCell ref="M19:O19"/>
    <mergeCell ref="M20:O20"/>
    <mergeCell ref="M21:O21"/>
    <mergeCell ref="M22:O22"/>
    <mergeCell ref="M23:O23"/>
    <mergeCell ref="M24:O24"/>
    <mergeCell ref="M25:O25"/>
    <mergeCell ref="M26:O26"/>
    <mergeCell ref="M27:O27"/>
    <mergeCell ref="M28:O28"/>
    <mergeCell ref="M29:O29"/>
    <mergeCell ref="M30:O30"/>
    <mergeCell ref="M31:O31"/>
    <mergeCell ref="M32:O32"/>
    <mergeCell ref="M33:O33"/>
    <mergeCell ref="M34:O34"/>
    <mergeCell ref="M35:O35"/>
    <mergeCell ref="M36:O36"/>
    <mergeCell ref="M44:O44"/>
    <mergeCell ref="M45:O45"/>
    <mergeCell ref="M37:O37"/>
    <mergeCell ref="M38:O38"/>
    <mergeCell ref="M39:O39"/>
    <mergeCell ref="M40:O40"/>
    <mergeCell ref="M41:O41"/>
    <mergeCell ref="M42:O42"/>
    <mergeCell ref="M43:O43"/>
  </mergeCells>
  <conditionalFormatting sqref="E16">
    <cfRule type="notContainsText" dxfId="12" priority="5" operator="notContains" text="TRUE">
      <formula>ISERROR(SEARCH(("TRUE"),(E16)))</formula>
    </cfRule>
    <cfRule type="containsText" dxfId="11" priority="6" operator="containsText" text="TRUE">
      <formula>NOT(ISERROR(SEARCH(("TRUE"),(E16))))</formula>
    </cfRule>
  </conditionalFormatting>
  <conditionalFormatting sqref="L2:L6">
    <cfRule type="containsText" dxfId="10" priority="1" operator="containsText" text="FALSE">
      <formula>NOT(ISERROR(SEARCH("FALSE",L2)))</formula>
    </cfRule>
    <cfRule type="containsText" dxfId="9" priority="2" operator="containsText" text="TRUE">
      <formula>NOT(ISERROR(SEARCH("TRUE",L2)))</formula>
    </cfRule>
  </conditionalFormatting>
  <conditionalFormatting sqref="M2:M6">
    <cfRule type="colorScale" priority="4">
      <colorScale>
        <cfvo type="num" val="1"/>
        <cfvo type="num" val="10"/>
        <color rgb="FF92D050"/>
        <color rgb="FFFF0000"/>
      </colorScale>
    </cfRule>
  </conditionalFormatting>
  <pageMargins left="0.7" right="0.7" top="0.75" bottom="0.75" header="0" footer="0"/>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8" tint="0.59999389629810485"/>
  </sheetPr>
  <dimension ref="A1:J1001"/>
  <sheetViews>
    <sheetView workbookViewId="0">
      <selection activeCell="F2" sqref="F2"/>
    </sheetView>
  </sheetViews>
  <sheetFormatPr defaultColWidth="14.42578125" defaultRowHeight="15" customHeight="1" x14ac:dyDescent="0.25"/>
  <cols>
    <col min="1" max="1" width="17.140625" customWidth="1"/>
    <col min="2" max="2" width="38.28515625" customWidth="1"/>
    <col min="3" max="4" width="8.7109375" customWidth="1"/>
    <col min="5" max="5" width="7.28515625" customWidth="1"/>
    <col min="6" max="6" width="6" customWidth="1"/>
    <col min="7" max="8" width="4.7109375" customWidth="1"/>
    <col min="9" max="9" width="5.7109375" customWidth="1"/>
    <col min="10" max="10" width="6.7109375" customWidth="1"/>
    <col min="11" max="26" width="8.7109375" customWidth="1"/>
  </cols>
  <sheetData>
    <row r="1" spans="1:10" x14ac:dyDescent="0.25">
      <c r="A1" s="64" t="s">
        <v>237</v>
      </c>
      <c r="B1" s="64" t="s">
        <v>238</v>
      </c>
      <c r="F1" s="65" t="s">
        <v>89</v>
      </c>
      <c r="G1" s="66" t="s">
        <v>94</v>
      </c>
      <c r="H1" s="67" t="s">
        <v>99</v>
      </c>
      <c r="I1" s="68" t="s">
        <v>104</v>
      </c>
      <c r="J1" s="69" t="s">
        <v>109</v>
      </c>
    </row>
    <row r="2" spans="1:10" x14ac:dyDescent="0.25">
      <c r="A2" s="65" t="s">
        <v>89</v>
      </c>
      <c r="B2" s="65" t="s">
        <v>239</v>
      </c>
      <c r="E2" s="64" t="s">
        <v>240</v>
      </c>
      <c r="F2" s="188">
        <v>-1</v>
      </c>
      <c r="G2" s="70">
        <v>2</v>
      </c>
      <c r="H2" s="71">
        <v>1</v>
      </c>
      <c r="I2" s="72"/>
      <c r="J2" s="73"/>
    </row>
    <row r="3" spans="1:10" x14ac:dyDescent="0.25">
      <c r="A3" s="65"/>
      <c r="B3" s="65"/>
      <c r="E3" s="64"/>
      <c r="F3" s="188"/>
      <c r="G3" s="70"/>
      <c r="H3" s="71"/>
      <c r="I3" s="72"/>
      <c r="J3" s="73"/>
    </row>
    <row r="4" spans="1:10" x14ac:dyDescent="0.25">
      <c r="A4" s="74" t="s">
        <v>94</v>
      </c>
      <c r="B4" s="74" t="s">
        <v>241</v>
      </c>
      <c r="E4" s="75" t="s">
        <v>242</v>
      </c>
      <c r="F4" s="188">
        <v>1</v>
      </c>
      <c r="G4" s="70">
        <v>-1</v>
      </c>
      <c r="H4" s="71"/>
      <c r="I4" s="72"/>
      <c r="J4" s="73">
        <v>2</v>
      </c>
    </row>
    <row r="5" spans="1:10" x14ac:dyDescent="0.25">
      <c r="A5" s="67" t="s">
        <v>99</v>
      </c>
      <c r="B5" s="67" t="s">
        <v>243</v>
      </c>
      <c r="E5" s="64" t="s">
        <v>244</v>
      </c>
      <c r="F5" s="188"/>
      <c r="G5" s="70"/>
      <c r="H5" s="71">
        <v>2</v>
      </c>
      <c r="I5" s="72">
        <v>1</v>
      </c>
      <c r="J5" s="73">
        <v>-1</v>
      </c>
    </row>
    <row r="6" spans="1:10" x14ac:dyDescent="0.25">
      <c r="A6" s="68" t="s">
        <v>104</v>
      </c>
      <c r="B6" s="68" t="s">
        <v>245</v>
      </c>
      <c r="E6" s="75" t="s">
        <v>246</v>
      </c>
      <c r="F6" s="188"/>
      <c r="G6" s="70"/>
      <c r="H6" s="71">
        <v>1</v>
      </c>
      <c r="I6" s="72">
        <v>-1</v>
      </c>
      <c r="J6" s="73">
        <v>2</v>
      </c>
    </row>
    <row r="7" spans="1:10" x14ac:dyDescent="0.25">
      <c r="A7" s="69" t="s">
        <v>109</v>
      </c>
      <c r="B7" s="69" t="s">
        <v>247</v>
      </c>
      <c r="E7" s="64" t="s">
        <v>248</v>
      </c>
      <c r="F7" s="188">
        <v>-1</v>
      </c>
      <c r="G7" s="70">
        <v>2</v>
      </c>
      <c r="H7" s="71"/>
      <c r="I7" s="72">
        <v>1</v>
      </c>
      <c r="J7" s="73"/>
    </row>
    <row r="8" spans="1:10" x14ac:dyDescent="0.25">
      <c r="E8" s="75" t="s">
        <v>249</v>
      </c>
      <c r="F8" s="188"/>
      <c r="G8" s="70">
        <v>1</v>
      </c>
      <c r="H8" s="71"/>
      <c r="I8" s="72">
        <v>2</v>
      </c>
      <c r="J8" s="73">
        <v>-1</v>
      </c>
    </row>
    <row r="9" spans="1:10" x14ac:dyDescent="0.25">
      <c r="B9" s="76" t="s">
        <v>250</v>
      </c>
      <c r="E9" s="64" t="s">
        <v>236</v>
      </c>
      <c r="F9" s="188">
        <v>-1</v>
      </c>
      <c r="G9" s="70">
        <v>2</v>
      </c>
      <c r="H9" s="71"/>
      <c r="I9" s="72"/>
      <c r="J9" s="73">
        <v>1</v>
      </c>
    </row>
    <row r="10" spans="1:10" x14ac:dyDescent="0.25">
      <c r="B10" s="77" t="s">
        <v>251</v>
      </c>
      <c r="E10" s="75" t="s">
        <v>252</v>
      </c>
      <c r="F10" s="188">
        <v>-1</v>
      </c>
      <c r="G10" s="70"/>
      <c r="H10" s="71">
        <v>2</v>
      </c>
      <c r="I10" s="72"/>
      <c r="J10" s="73">
        <v>1</v>
      </c>
    </row>
    <row r="11" spans="1:10" x14ac:dyDescent="0.25">
      <c r="B11" s="77" t="s">
        <v>253</v>
      </c>
      <c r="E11" s="64" t="s">
        <v>254</v>
      </c>
      <c r="F11" s="188">
        <v>1</v>
      </c>
      <c r="G11" s="70"/>
      <c r="H11" s="71">
        <v>2</v>
      </c>
      <c r="I11" s="72">
        <v>-1</v>
      </c>
      <c r="J11" s="73"/>
    </row>
    <row r="12" spans="1:10" x14ac:dyDescent="0.25">
      <c r="B12" s="78" t="s">
        <v>255</v>
      </c>
      <c r="E12" s="75" t="s">
        <v>256</v>
      </c>
      <c r="F12" s="188"/>
      <c r="G12" s="70">
        <v>-1</v>
      </c>
      <c r="H12" s="71"/>
      <c r="I12" s="72">
        <v>1</v>
      </c>
      <c r="J12" s="73">
        <v>2</v>
      </c>
    </row>
    <row r="13" spans="1:10" x14ac:dyDescent="0.25">
      <c r="E13" s="64" t="s">
        <v>257</v>
      </c>
      <c r="F13" s="188"/>
      <c r="G13" s="70">
        <v>1</v>
      </c>
      <c r="H13" s="71"/>
      <c r="I13" s="72">
        <v>-1</v>
      </c>
      <c r="J13" s="73">
        <v>2</v>
      </c>
    </row>
    <row r="14" spans="1:10" x14ac:dyDescent="0.25">
      <c r="E14" s="79" t="s">
        <v>258</v>
      </c>
      <c r="F14" s="188">
        <v>2</v>
      </c>
      <c r="G14" s="70">
        <v>1</v>
      </c>
      <c r="H14" s="71"/>
      <c r="I14" s="72">
        <v>-1</v>
      </c>
      <c r="J14" s="73"/>
    </row>
    <row r="15" spans="1:10" x14ac:dyDescent="0.25">
      <c r="E15" s="64" t="s">
        <v>259</v>
      </c>
      <c r="F15" s="188">
        <v>2</v>
      </c>
      <c r="G15" s="70">
        <v>1</v>
      </c>
      <c r="H15" s="71"/>
      <c r="I15" s="72"/>
      <c r="J15" s="73">
        <v>-1</v>
      </c>
    </row>
    <row r="16" spans="1:10" x14ac:dyDescent="0.25">
      <c r="E16" s="75" t="s">
        <v>260</v>
      </c>
      <c r="F16" s="188">
        <v>1</v>
      </c>
      <c r="G16" s="70">
        <v>2</v>
      </c>
      <c r="H16" s="71">
        <v>-1</v>
      </c>
      <c r="I16" s="72"/>
      <c r="J16" s="73"/>
    </row>
    <row r="17" spans="5:10" x14ac:dyDescent="0.25">
      <c r="E17" s="64" t="s">
        <v>261</v>
      </c>
      <c r="F17" s="188">
        <v>2</v>
      </c>
      <c r="G17" s="70"/>
      <c r="H17" s="71">
        <v>-1</v>
      </c>
      <c r="I17" s="72"/>
      <c r="J17" s="73">
        <v>1</v>
      </c>
    </row>
    <row r="18" spans="5:10" x14ac:dyDescent="0.25">
      <c r="E18" s="75" t="s">
        <v>262</v>
      </c>
      <c r="F18" s="188"/>
      <c r="G18" s="70">
        <v>-1</v>
      </c>
      <c r="H18" s="71">
        <v>1</v>
      </c>
      <c r="I18" s="72">
        <v>2</v>
      </c>
      <c r="J18" s="73"/>
    </row>
    <row r="19" spans="5:10" x14ac:dyDescent="0.25">
      <c r="E19" s="64" t="s">
        <v>96</v>
      </c>
      <c r="F19" s="188"/>
      <c r="G19" s="70"/>
      <c r="H19" s="71">
        <v>-1</v>
      </c>
      <c r="I19" s="72">
        <v>2</v>
      </c>
      <c r="J19" s="73">
        <v>1</v>
      </c>
    </row>
    <row r="20" spans="5:10" x14ac:dyDescent="0.25">
      <c r="E20" s="75" t="s">
        <v>263</v>
      </c>
      <c r="F20" s="188"/>
      <c r="G20" s="70"/>
      <c r="H20" s="71">
        <v>1</v>
      </c>
      <c r="I20" s="72">
        <v>2</v>
      </c>
      <c r="J20" s="73">
        <v>-1</v>
      </c>
    </row>
    <row r="22" spans="5:10" ht="15.75" customHeight="1" x14ac:dyDescent="0.25"/>
    <row r="23" spans="5:10" ht="15.75" customHeight="1" x14ac:dyDescent="0.25"/>
    <row r="24" spans="5:10" ht="15.75" customHeight="1" x14ac:dyDescent="0.25"/>
    <row r="25" spans="5:10" ht="15.75" customHeight="1" x14ac:dyDescent="0.25"/>
    <row r="26" spans="5:10" ht="15.75" customHeight="1" x14ac:dyDescent="0.25"/>
    <row r="27" spans="5:10" ht="15.75" customHeight="1" x14ac:dyDescent="0.25"/>
    <row r="28" spans="5:10" ht="15.75" customHeight="1" x14ac:dyDescent="0.25"/>
    <row r="29" spans="5:10" ht="15.75" customHeight="1" x14ac:dyDescent="0.25"/>
    <row r="30" spans="5:10" ht="15.75" customHeight="1" x14ac:dyDescent="0.25"/>
    <row r="31" spans="5:10" ht="15.75" customHeight="1" x14ac:dyDescent="0.25"/>
    <row r="32" spans="5: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sheetData>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92D050"/>
  </sheetPr>
  <dimension ref="A1:E1000"/>
  <sheetViews>
    <sheetView workbookViewId="0">
      <selection activeCell="B6" sqref="B6"/>
    </sheetView>
  </sheetViews>
  <sheetFormatPr defaultColWidth="14.42578125" defaultRowHeight="15" customHeight="1" x14ac:dyDescent="0.25"/>
  <cols>
    <col min="1" max="1" width="12" customWidth="1"/>
    <col min="2" max="2" width="13.28515625" customWidth="1"/>
    <col min="3" max="3" width="11.7109375" customWidth="1"/>
    <col min="4" max="4" width="10.85546875" customWidth="1"/>
    <col min="5" max="5" width="12.5703125" customWidth="1"/>
    <col min="6" max="26" width="8.7109375" customWidth="1"/>
  </cols>
  <sheetData>
    <row r="1" spans="1:5" x14ac:dyDescent="0.25">
      <c r="A1" s="274" t="s">
        <v>264</v>
      </c>
      <c r="B1" s="286"/>
      <c r="C1" s="106"/>
      <c r="D1" s="106"/>
      <c r="E1" s="112"/>
    </row>
    <row r="2" spans="1:5" x14ac:dyDescent="0.25">
      <c r="A2" s="43" t="s">
        <v>265</v>
      </c>
      <c r="B2" s="107" t="s">
        <v>266</v>
      </c>
      <c r="C2" s="110" t="s">
        <v>267</v>
      </c>
      <c r="D2" s="110" t="s">
        <v>268</v>
      </c>
      <c r="E2" s="110" t="s">
        <v>269</v>
      </c>
    </row>
    <row r="3" spans="1:5" x14ac:dyDescent="0.25">
      <c r="A3" s="43">
        <v>1</v>
      </c>
      <c r="B3" s="108" t="s">
        <v>270</v>
      </c>
      <c r="C3" s="110">
        <v>1</v>
      </c>
      <c r="D3" s="111">
        <v>6</v>
      </c>
      <c r="E3" s="110">
        <v>1</v>
      </c>
    </row>
    <row r="4" spans="1:5" x14ac:dyDescent="0.25">
      <c r="A4" s="43">
        <v>2</v>
      </c>
      <c r="B4" s="108" t="s">
        <v>271</v>
      </c>
      <c r="C4" s="110">
        <v>1</v>
      </c>
      <c r="D4" s="111">
        <v>6</v>
      </c>
      <c r="E4" s="110">
        <v>3</v>
      </c>
    </row>
    <row r="5" spans="1:5" x14ac:dyDescent="0.25">
      <c r="A5" s="43">
        <v>3</v>
      </c>
      <c r="B5" s="108" t="s">
        <v>272</v>
      </c>
      <c r="C5" s="110">
        <v>1</v>
      </c>
      <c r="D5" s="111">
        <v>6</v>
      </c>
      <c r="E5" s="110">
        <v>5</v>
      </c>
    </row>
    <row r="6" spans="1:5" x14ac:dyDescent="0.25">
      <c r="A6" s="43">
        <v>4</v>
      </c>
      <c r="B6" s="108" t="s">
        <v>273</v>
      </c>
      <c r="C6" s="110">
        <v>1</v>
      </c>
      <c r="D6" s="111">
        <v>8</v>
      </c>
      <c r="E6" s="110">
        <v>6</v>
      </c>
    </row>
    <row r="7" spans="1:5" x14ac:dyDescent="0.25">
      <c r="A7" s="43">
        <v>5</v>
      </c>
      <c r="B7" s="108" t="s">
        <v>274</v>
      </c>
      <c r="C7" s="110">
        <v>1</v>
      </c>
      <c r="D7" s="111">
        <v>8</v>
      </c>
      <c r="E7" s="110">
        <v>8</v>
      </c>
    </row>
    <row r="8" spans="1:5" x14ac:dyDescent="0.25">
      <c r="A8" s="43">
        <v>6</v>
      </c>
      <c r="B8" s="108" t="s">
        <v>275</v>
      </c>
      <c r="C8" s="110">
        <v>2</v>
      </c>
      <c r="D8" s="111">
        <v>6</v>
      </c>
      <c r="E8" s="110">
        <v>8</v>
      </c>
    </row>
    <row r="9" spans="1:5" x14ac:dyDescent="0.25">
      <c r="A9" s="43">
        <v>7</v>
      </c>
      <c r="B9" s="108" t="s">
        <v>276</v>
      </c>
      <c r="C9" s="110">
        <v>2</v>
      </c>
      <c r="D9" s="111">
        <v>6</v>
      </c>
      <c r="E9" s="110">
        <v>10</v>
      </c>
    </row>
    <row r="10" spans="1:5" x14ac:dyDescent="0.25">
      <c r="A10" s="43">
        <v>8</v>
      </c>
      <c r="B10" s="108" t="s">
        <v>277</v>
      </c>
      <c r="C10" s="110">
        <v>2</v>
      </c>
      <c r="D10" s="111">
        <v>8</v>
      </c>
      <c r="E10" s="110">
        <v>10</v>
      </c>
    </row>
    <row r="11" spans="1:5" x14ac:dyDescent="0.25">
      <c r="A11" s="43">
        <v>9</v>
      </c>
      <c r="B11" s="108" t="s">
        <v>278</v>
      </c>
      <c r="C11" s="110">
        <v>2</v>
      </c>
      <c r="D11" s="111">
        <v>10</v>
      </c>
      <c r="E11" s="110">
        <v>10</v>
      </c>
    </row>
    <row r="12" spans="1:5" x14ac:dyDescent="0.25">
      <c r="A12" s="43">
        <v>10</v>
      </c>
      <c r="B12" s="108" t="s">
        <v>279</v>
      </c>
      <c r="C12" s="110">
        <v>3</v>
      </c>
      <c r="D12" s="111">
        <v>8</v>
      </c>
      <c r="E12" s="110">
        <v>10</v>
      </c>
    </row>
    <row r="13" spans="1:5" x14ac:dyDescent="0.25">
      <c r="A13" s="43">
        <v>11</v>
      </c>
      <c r="B13" s="108" t="s">
        <v>280</v>
      </c>
      <c r="C13" s="110">
        <v>3</v>
      </c>
      <c r="D13" s="111">
        <v>10</v>
      </c>
      <c r="E13" s="110">
        <v>10</v>
      </c>
    </row>
    <row r="14" spans="1:5" x14ac:dyDescent="0.25">
      <c r="A14" s="43">
        <v>12</v>
      </c>
      <c r="B14" s="108" t="s">
        <v>281</v>
      </c>
      <c r="C14" s="110">
        <v>3</v>
      </c>
      <c r="D14" s="111">
        <v>12</v>
      </c>
      <c r="E14" s="110">
        <v>10</v>
      </c>
    </row>
    <row r="15" spans="1:5" x14ac:dyDescent="0.25">
      <c r="A15" s="43">
        <v>13</v>
      </c>
      <c r="B15" s="108" t="s">
        <v>282</v>
      </c>
      <c r="C15" s="110">
        <v>4</v>
      </c>
      <c r="D15" s="111">
        <v>10</v>
      </c>
      <c r="E15" s="110">
        <v>10</v>
      </c>
    </row>
    <row r="16" spans="1:5" x14ac:dyDescent="0.25">
      <c r="A16" s="43">
        <v>14</v>
      </c>
      <c r="B16" s="108" t="s">
        <v>283</v>
      </c>
      <c r="C16" s="110">
        <v>4</v>
      </c>
      <c r="D16" s="111">
        <v>10</v>
      </c>
      <c r="E16" s="110">
        <v>15</v>
      </c>
    </row>
    <row r="17" spans="1:5" x14ac:dyDescent="0.25">
      <c r="A17" s="43">
        <v>15</v>
      </c>
      <c r="B17" s="108" t="s">
        <v>284</v>
      </c>
      <c r="C17" s="110">
        <v>4</v>
      </c>
      <c r="D17" s="111">
        <v>10</v>
      </c>
      <c r="E17" s="110">
        <v>20</v>
      </c>
    </row>
    <row r="18" spans="1:5" x14ac:dyDescent="0.25">
      <c r="A18" s="43">
        <v>16</v>
      </c>
      <c r="B18" s="108" t="s">
        <v>285</v>
      </c>
      <c r="C18" s="110">
        <v>5</v>
      </c>
      <c r="D18" s="111">
        <v>10</v>
      </c>
      <c r="E18" s="110">
        <v>20</v>
      </c>
    </row>
    <row r="19" spans="1:5" x14ac:dyDescent="0.25">
      <c r="A19" s="43">
        <v>17</v>
      </c>
      <c r="B19" s="108" t="s">
        <v>286</v>
      </c>
      <c r="C19" s="110">
        <v>5</v>
      </c>
      <c r="D19" s="111">
        <v>12</v>
      </c>
      <c r="E19" s="110">
        <v>25</v>
      </c>
    </row>
    <row r="20" spans="1:5" x14ac:dyDescent="0.25">
      <c r="A20" s="43">
        <v>18</v>
      </c>
      <c r="B20" s="108" t="s">
        <v>287</v>
      </c>
      <c r="C20" s="110">
        <v>6</v>
      </c>
      <c r="D20" s="111">
        <v>12</v>
      </c>
      <c r="E20" s="110">
        <v>25</v>
      </c>
    </row>
    <row r="21" spans="1:5" ht="15.75" customHeight="1" x14ac:dyDescent="0.25">
      <c r="A21" s="43">
        <v>19</v>
      </c>
      <c r="B21" s="108" t="s">
        <v>288</v>
      </c>
      <c r="C21" s="110">
        <v>6</v>
      </c>
      <c r="D21" s="111">
        <v>12</v>
      </c>
      <c r="E21" s="110">
        <v>30</v>
      </c>
    </row>
    <row r="22" spans="1:5" ht="15.75" customHeight="1" x14ac:dyDescent="0.25">
      <c r="A22" s="43">
        <v>20</v>
      </c>
      <c r="B22" s="108" t="s">
        <v>289</v>
      </c>
      <c r="C22" s="110">
        <v>6</v>
      </c>
      <c r="D22" s="111">
        <v>12</v>
      </c>
      <c r="E22" s="110">
        <v>35</v>
      </c>
    </row>
    <row r="23" spans="1:5" ht="15.75" customHeight="1" x14ac:dyDescent="0.25">
      <c r="A23" s="43">
        <v>21</v>
      </c>
      <c r="B23" s="108" t="s">
        <v>290</v>
      </c>
      <c r="C23" s="110">
        <v>6</v>
      </c>
      <c r="D23" s="111">
        <v>12</v>
      </c>
      <c r="E23" s="110">
        <v>40</v>
      </c>
    </row>
    <row r="24" spans="1:5" ht="15.75" customHeight="1" x14ac:dyDescent="0.25">
      <c r="A24" s="43">
        <v>22</v>
      </c>
      <c r="B24" s="108" t="s">
        <v>291</v>
      </c>
      <c r="C24" s="110">
        <v>6</v>
      </c>
      <c r="D24" s="111">
        <v>12</v>
      </c>
      <c r="E24" s="110">
        <v>45</v>
      </c>
    </row>
    <row r="25" spans="1:5" ht="15.75" customHeight="1" x14ac:dyDescent="0.25">
      <c r="A25" s="43">
        <v>23</v>
      </c>
      <c r="B25" s="108" t="s">
        <v>292</v>
      </c>
      <c r="C25" s="110">
        <v>6</v>
      </c>
      <c r="D25" s="111">
        <v>12</v>
      </c>
      <c r="E25" s="110">
        <v>50</v>
      </c>
    </row>
    <row r="26" spans="1:5" ht="15.75" customHeight="1" x14ac:dyDescent="0.25">
      <c r="A26" s="43">
        <v>24</v>
      </c>
      <c r="B26" s="108" t="s">
        <v>293</v>
      </c>
      <c r="C26" s="110">
        <v>6</v>
      </c>
      <c r="D26" s="111">
        <v>12</v>
      </c>
      <c r="E26" s="110">
        <v>55</v>
      </c>
    </row>
    <row r="27" spans="1:5" ht="15.75" customHeight="1" x14ac:dyDescent="0.25">
      <c r="A27" s="43">
        <v>25</v>
      </c>
      <c r="B27" s="108" t="s">
        <v>294</v>
      </c>
      <c r="C27" s="110">
        <v>6</v>
      </c>
      <c r="D27" s="111">
        <v>12</v>
      </c>
      <c r="E27" s="110">
        <v>60</v>
      </c>
    </row>
    <row r="28" spans="1:5" ht="15.75" customHeight="1" x14ac:dyDescent="0.25">
      <c r="A28" s="43">
        <v>26</v>
      </c>
      <c r="B28" s="108" t="s">
        <v>295</v>
      </c>
      <c r="C28" s="110">
        <v>7</v>
      </c>
      <c r="D28" s="111">
        <v>12</v>
      </c>
      <c r="E28" s="110">
        <v>65</v>
      </c>
    </row>
    <row r="29" spans="1:5" ht="15.75" customHeight="1" x14ac:dyDescent="0.25">
      <c r="A29" s="43">
        <v>27</v>
      </c>
      <c r="B29" s="108" t="s">
        <v>296</v>
      </c>
      <c r="C29" s="110">
        <v>8</v>
      </c>
      <c r="D29" s="111">
        <v>12</v>
      </c>
      <c r="E29" s="110">
        <v>70</v>
      </c>
    </row>
    <row r="30" spans="1:5" ht="15.75" customHeight="1" x14ac:dyDescent="0.25">
      <c r="A30" s="43">
        <v>28</v>
      </c>
      <c r="B30" s="108" t="s">
        <v>297</v>
      </c>
      <c r="C30" s="110">
        <v>8</v>
      </c>
      <c r="D30" s="111">
        <v>12</v>
      </c>
      <c r="E30" s="110">
        <v>80</v>
      </c>
    </row>
    <row r="31" spans="1:5" ht="15.75" customHeight="1" x14ac:dyDescent="0.25">
      <c r="B31" s="42"/>
    </row>
    <row r="32" spans="1:5"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B1"/>
  </mergeCells>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8" tint="0.59999389629810485"/>
  </sheetPr>
  <dimension ref="A1:Z1000"/>
  <sheetViews>
    <sheetView workbookViewId="0">
      <pane ySplit="1" topLeftCell="A911" activePane="bottomLeft" state="frozen"/>
      <selection pane="bottomLeft" activeCell="H166" sqref="H166"/>
    </sheetView>
  </sheetViews>
  <sheetFormatPr defaultColWidth="14.42578125" defaultRowHeight="15" customHeight="1" x14ac:dyDescent="0.25"/>
  <cols>
    <col min="1" max="1" width="28.5703125" customWidth="1"/>
    <col min="2" max="7" width="10.7109375" customWidth="1"/>
    <col min="8" max="8" width="123.7109375" customWidth="1"/>
    <col min="9" max="9" width="99.5703125" customWidth="1"/>
    <col min="10" max="10" width="8.85546875" customWidth="1"/>
    <col min="11" max="11" width="9.7109375" customWidth="1"/>
    <col min="12" max="26" width="8.85546875" customWidth="1"/>
  </cols>
  <sheetData>
    <row r="1" spans="1:26" x14ac:dyDescent="0.25">
      <c r="A1" s="81" t="s">
        <v>43</v>
      </c>
      <c r="B1" s="189" t="s">
        <v>47</v>
      </c>
      <c r="C1" s="9" t="s">
        <v>53</v>
      </c>
      <c r="D1" s="190" t="s">
        <v>298</v>
      </c>
      <c r="E1" s="191" t="s">
        <v>57</v>
      </c>
      <c r="F1" s="192" t="s">
        <v>66</v>
      </c>
      <c r="G1" s="191" t="s">
        <v>66</v>
      </c>
      <c r="H1" s="189" t="s">
        <v>70</v>
      </c>
      <c r="I1" s="193" t="s">
        <v>299</v>
      </c>
      <c r="J1" s="82" t="s">
        <v>300</v>
      </c>
      <c r="K1" s="83" t="s">
        <v>76</v>
      </c>
      <c r="O1" s="84"/>
      <c r="P1" s="84"/>
      <c r="Q1" s="84"/>
      <c r="R1" s="84"/>
      <c r="S1" s="84"/>
      <c r="T1" s="84"/>
      <c r="U1" s="84"/>
      <c r="V1" s="84"/>
      <c r="W1" s="84"/>
      <c r="X1" s="84"/>
      <c r="Y1" s="84"/>
      <c r="Z1" s="84"/>
    </row>
    <row r="2" spans="1:26" x14ac:dyDescent="0.25">
      <c r="A2" s="85" t="s">
        <v>301</v>
      </c>
      <c r="B2" s="189" t="s">
        <v>302</v>
      </c>
      <c r="C2" s="9" t="s">
        <v>303</v>
      </c>
      <c r="D2" s="190">
        <v>20</v>
      </c>
      <c r="E2" s="191">
        <v>195</v>
      </c>
      <c r="F2" s="192" t="s">
        <v>304</v>
      </c>
      <c r="G2" s="191" t="s">
        <v>305</v>
      </c>
      <c r="H2" s="189" t="s">
        <v>306</v>
      </c>
      <c r="I2" s="193" t="s">
        <v>307</v>
      </c>
      <c r="J2" s="82" t="s">
        <v>305</v>
      </c>
      <c r="K2" s="83" t="s">
        <v>184</v>
      </c>
      <c r="O2" s="84"/>
      <c r="P2" s="84"/>
      <c r="Q2" s="84"/>
      <c r="R2" s="84"/>
      <c r="S2" s="84"/>
      <c r="T2" s="84"/>
      <c r="U2" s="84"/>
      <c r="V2" s="84"/>
      <c r="W2" s="84"/>
      <c r="X2" s="84"/>
      <c r="Y2" s="84"/>
      <c r="Z2" s="84"/>
    </row>
    <row r="3" spans="1:26" x14ac:dyDescent="0.25">
      <c r="A3" s="85" t="s">
        <v>308</v>
      </c>
      <c r="B3" s="189" t="s">
        <v>309</v>
      </c>
      <c r="C3" s="9" t="s">
        <v>303</v>
      </c>
      <c r="D3" s="190">
        <v>2</v>
      </c>
      <c r="E3" s="191">
        <v>20</v>
      </c>
      <c r="F3" s="192">
        <v>6</v>
      </c>
      <c r="G3" s="191">
        <v>100</v>
      </c>
      <c r="H3" s="189" t="s">
        <v>310</v>
      </c>
      <c r="I3" s="193" t="s">
        <v>311</v>
      </c>
      <c r="J3" s="82" t="s">
        <v>305</v>
      </c>
      <c r="K3" s="83" t="s">
        <v>184</v>
      </c>
      <c r="O3" s="84"/>
      <c r="P3" s="84"/>
      <c r="Q3" s="84"/>
      <c r="R3" s="84"/>
      <c r="S3" s="84"/>
      <c r="T3" s="84"/>
      <c r="U3" s="84"/>
      <c r="V3" s="84"/>
      <c r="W3" s="84"/>
      <c r="X3" s="84"/>
      <c r="Y3" s="84"/>
      <c r="Z3" s="84"/>
    </row>
    <row r="4" spans="1:26" x14ac:dyDescent="0.25">
      <c r="A4" s="85" t="s">
        <v>312</v>
      </c>
      <c r="B4" s="189" t="s">
        <v>313</v>
      </c>
      <c r="C4" s="9" t="s">
        <v>314</v>
      </c>
      <c r="D4" s="190">
        <v>4</v>
      </c>
      <c r="E4" s="191">
        <v>40</v>
      </c>
      <c r="F4" s="192">
        <v>6</v>
      </c>
      <c r="G4" s="191">
        <v>100</v>
      </c>
      <c r="H4" s="189" t="s">
        <v>315</v>
      </c>
      <c r="I4" s="193" t="s">
        <v>316</v>
      </c>
      <c r="J4" s="82" t="s">
        <v>305</v>
      </c>
      <c r="K4" s="83" t="s">
        <v>184</v>
      </c>
      <c r="O4" s="84"/>
      <c r="P4" s="84"/>
      <c r="Q4" s="84"/>
      <c r="R4" s="84"/>
      <c r="S4" s="84"/>
      <c r="T4" s="84"/>
      <c r="U4" s="84"/>
      <c r="V4" s="84"/>
      <c r="W4" s="84"/>
      <c r="X4" s="84"/>
      <c r="Y4" s="84"/>
      <c r="Z4" s="84"/>
    </row>
    <row r="5" spans="1:26" x14ac:dyDescent="0.25">
      <c r="A5" s="85" t="s">
        <v>317</v>
      </c>
      <c r="B5" s="189" t="s">
        <v>318</v>
      </c>
      <c r="C5" s="9" t="s">
        <v>303</v>
      </c>
      <c r="D5" s="190">
        <v>4</v>
      </c>
      <c r="E5" s="191">
        <v>40</v>
      </c>
      <c r="F5" s="192">
        <v>6</v>
      </c>
      <c r="G5" s="191">
        <v>100</v>
      </c>
      <c r="H5" s="189" t="s">
        <v>319</v>
      </c>
      <c r="I5" s="193" t="s">
        <v>320</v>
      </c>
      <c r="J5" s="82">
        <v>10</v>
      </c>
      <c r="K5" s="83">
        <v>19</v>
      </c>
      <c r="O5" s="84"/>
      <c r="P5" s="84"/>
      <c r="Q5" s="84"/>
      <c r="R5" s="84"/>
      <c r="S5" s="84"/>
      <c r="T5" s="84"/>
      <c r="U5" s="84"/>
      <c r="V5" s="84"/>
      <c r="W5" s="84"/>
      <c r="X5" s="84"/>
      <c r="Y5" s="84"/>
      <c r="Z5" s="84"/>
    </row>
    <row r="6" spans="1:26" x14ac:dyDescent="0.25">
      <c r="A6" s="85" t="s">
        <v>321</v>
      </c>
      <c r="B6" s="189" t="s">
        <v>318</v>
      </c>
      <c r="C6" s="9" t="s">
        <v>322</v>
      </c>
      <c r="D6" s="190" t="s">
        <v>304</v>
      </c>
      <c r="E6" s="191" t="s">
        <v>305</v>
      </c>
      <c r="F6" s="192" t="s">
        <v>304</v>
      </c>
      <c r="G6" s="191" t="s">
        <v>305</v>
      </c>
      <c r="H6" s="189" t="s">
        <v>323</v>
      </c>
      <c r="I6" s="193" t="s">
        <v>324</v>
      </c>
      <c r="J6" s="82" t="s">
        <v>305</v>
      </c>
      <c r="K6" s="83" t="s">
        <v>184</v>
      </c>
      <c r="O6" s="84"/>
      <c r="P6" s="84"/>
      <c r="Q6" s="84"/>
      <c r="R6" s="84"/>
      <c r="S6" s="84"/>
      <c r="T6" s="84"/>
      <c r="U6" s="84"/>
      <c r="V6" s="84"/>
      <c r="W6" s="84"/>
      <c r="X6" s="84"/>
      <c r="Y6" s="84"/>
      <c r="Z6" s="84"/>
    </row>
    <row r="7" spans="1:26" x14ac:dyDescent="0.25">
      <c r="A7" s="85" t="s">
        <v>325</v>
      </c>
      <c r="B7" s="189" t="s">
        <v>318</v>
      </c>
      <c r="C7" s="9" t="s">
        <v>305</v>
      </c>
      <c r="D7" s="190" t="s">
        <v>304</v>
      </c>
      <c r="E7" s="191" t="s">
        <v>305</v>
      </c>
      <c r="F7" s="192" t="s">
        <v>304</v>
      </c>
      <c r="G7" s="191" t="s">
        <v>305</v>
      </c>
      <c r="H7" s="189" t="s">
        <v>326</v>
      </c>
      <c r="I7" s="193" t="s">
        <v>326</v>
      </c>
      <c r="J7" s="82" t="s">
        <v>305</v>
      </c>
      <c r="K7" s="83" t="s">
        <v>184</v>
      </c>
      <c r="O7" s="84"/>
      <c r="P7" s="84"/>
      <c r="Q7" s="84"/>
      <c r="R7" s="84"/>
      <c r="S7" s="84"/>
      <c r="T7" s="84"/>
      <c r="U7" s="84"/>
      <c r="V7" s="84"/>
      <c r="W7" s="84"/>
      <c r="X7" s="84"/>
      <c r="Y7" s="84"/>
      <c r="Z7" s="84"/>
    </row>
    <row r="8" spans="1:26" x14ac:dyDescent="0.25">
      <c r="A8" s="85" t="s">
        <v>327</v>
      </c>
      <c r="B8" s="189" t="s">
        <v>318</v>
      </c>
      <c r="C8" s="9" t="s">
        <v>303</v>
      </c>
      <c r="D8" s="190">
        <v>4</v>
      </c>
      <c r="E8" s="191">
        <v>40</v>
      </c>
      <c r="F8" s="192">
        <v>6</v>
      </c>
      <c r="G8" s="191">
        <v>100</v>
      </c>
      <c r="H8" s="189" t="s">
        <v>328</v>
      </c>
      <c r="I8" s="193" t="s">
        <v>329</v>
      </c>
      <c r="J8" s="82">
        <v>100</v>
      </c>
      <c r="K8" s="83">
        <v>1</v>
      </c>
      <c r="O8" s="84"/>
      <c r="P8" s="84"/>
      <c r="Q8" s="84"/>
      <c r="R8" s="84"/>
      <c r="S8" s="84"/>
      <c r="T8" s="84"/>
      <c r="U8" s="84"/>
      <c r="V8" s="84"/>
      <c r="W8" s="84"/>
      <c r="X8" s="84"/>
      <c r="Y8" s="84"/>
      <c r="Z8" s="84"/>
    </row>
    <row r="9" spans="1:26" x14ac:dyDescent="0.25">
      <c r="A9" s="85" t="s">
        <v>330</v>
      </c>
      <c r="B9" s="189" t="s">
        <v>331</v>
      </c>
      <c r="C9" s="9" t="s">
        <v>314</v>
      </c>
      <c r="D9" s="190">
        <v>6</v>
      </c>
      <c r="E9" s="191">
        <v>55</v>
      </c>
      <c r="F9" s="192">
        <v>6</v>
      </c>
      <c r="G9" s="191">
        <v>100</v>
      </c>
      <c r="H9" s="189" t="s">
        <v>332</v>
      </c>
      <c r="I9" s="193" t="s">
        <v>333</v>
      </c>
      <c r="J9" s="82" t="s">
        <v>305</v>
      </c>
      <c r="K9" s="83" t="s">
        <v>184</v>
      </c>
      <c r="O9" s="84"/>
      <c r="P9" s="84"/>
      <c r="Q9" s="84"/>
      <c r="R9" s="84"/>
      <c r="S9" s="84"/>
      <c r="T9" s="84"/>
      <c r="U9" s="84"/>
      <c r="V9" s="84"/>
      <c r="W9" s="84"/>
      <c r="X9" s="84"/>
      <c r="Y9" s="84"/>
      <c r="Z9" s="84"/>
    </row>
    <row r="10" spans="1:26" x14ac:dyDescent="0.25">
      <c r="A10" s="85" t="s">
        <v>334</v>
      </c>
      <c r="B10" s="189" t="s">
        <v>335</v>
      </c>
      <c r="C10" s="9" t="s">
        <v>322</v>
      </c>
      <c r="D10" s="190" t="s">
        <v>304</v>
      </c>
      <c r="E10" s="191" t="s">
        <v>305</v>
      </c>
      <c r="F10" s="192" t="s">
        <v>304</v>
      </c>
      <c r="G10" s="191" t="s">
        <v>305</v>
      </c>
      <c r="H10" s="189" t="s">
        <v>336</v>
      </c>
      <c r="I10" s="193" t="s">
        <v>337</v>
      </c>
      <c r="J10" s="82" t="s">
        <v>305</v>
      </c>
      <c r="K10" s="83" t="s">
        <v>184</v>
      </c>
      <c r="O10" s="84"/>
      <c r="P10" s="84"/>
      <c r="Q10" s="84"/>
      <c r="R10" s="84"/>
      <c r="S10" s="84"/>
      <c r="T10" s="84"/>
      <c r="U10" s="84"/>
      <c r="V10" s="84"/>
      <c r="W10" s="84"/>
      <c r="X10" s="84"/>
      <c r="Y10" s="84"/>
      <c r="Z10" s="84"/>
    </row>
    <row r="11" spans="1:26" x14ac:dyDescent="0.25">
      <c r="A11" s="85" t="s">
        <v>338</v>
      </c>
      <c r="B11" s="189" t="s">
        <v>331</v>
      </c>
      <c r="C11" s="9" t="s">
        <v>314</v>
      </c>
      <c r="D11" s="190">
        <v>6</v>
      </c>
      <c r="E11" s="191">
        <v>60</v>
      </c>
      <c r="F11" s="192">
        <v>24.4</v>
      </c>
      <c r="G11" s="191">
        <v>8</v>
      </c>
      <c r="H11" s="189" t="s">
        <v>339</v>
      </c>
      <c r="I11" s="193" t="s">
        <v>340</v>
      </c>
      <c r="J11" s="82" t="s">
        <v>305</v>
      </c>
      <c r="K11" s="83" t="s">
        <v>184</v>
      </c>
      <c r="O11" s="84"/>
      <c r="P11" s="84"/>
      <c r="Q11" s="84"/>
      <c r="R11" s="84"/>
      <c r="S11" s="84"/>
      <c r="T11" s="84"/>
      <c r="U11" s="84"/>
      <c r="V11" s="84"/>
      <c r="W11" s="84"/>
      <c r="X11" s="84"/>
      <c r="Y11" s="84"/>
      <c r="Z11" s="84"/>
    </row>
    <row r="12" spans="1:26" x14ac:dyDescent="0.25">
      <c r="A12" s="85" t="s">
        <v>341</v>
      </c>
      <c r="B12" s="189" t="s">
        <v>331</v>
      </c>
      <c r="C12" s="9" t="s">
        <v>303</v>
      </c>
      <c r="D12" s="190">
        <v>10</v>
      </c>
      <c r="E12" s="191">
        <v>100</v>
      </c>
      <c r="F12" s="192">
        <v>7</v>
      </c>
      <c r="G12" s="191">
        <v>95</v>
      </c>
      <c r="H12" s="189" t="s">
        <v>342</v>
      </c>
      <c r="I12" s="193" t="s">
        <v>343</v>
      </c>
      <c r="J12" s="82" t="s">
        <v>305</v>
      </c>
      <c r="K12" s="83" t="s">
        <v>184</v>
      </c>
      <c r="O12" s="84"/>
      <c r="P12" s="84"/>
      <c r="Q12" s="84"/>
      <c r="R12" s="84"/>
      <c r="S12" s="84"/>
      <c r="T12" s="84"/>
      <c r="U12" s="84"/>
      <c r="V12" s="84"/>
      <c r="W12" s="84"/>
      <c r="X12" s="84"/>
      <c r="Y12" s="84"/>
      <c r="Z12" s="84"/>
    </row>
    <row r="13" spans="1:26" x14ac:dyDescent="0.25">
      <c r="A13" s="85" t="s">
        <v>344</v>
      </c>
      <c r="B13" s="189" t="s">
        <v>335</v>
      </c>
      <c r="C13" s="9" t="s">
        <v>322</v>
      </c>
      <c r="D13" s="190" t="s">
        <v>304</v>
      </c>
      <c r="E13" s="191" t="s">
        <v>305</v>
      </c>
      <c r="F13" s="192" t="s">
        <v>304</v>
      </c>
      <c r="G13" s="191" t="s">
        <v>305</v>
      </c>
      <c r="H13" s="189" t="s">
        <v>345</v>
      </c>
      <c r="I13" s="193" t="s">
        <v>346</v>
      </c>
      <c r="J13" s="82" t="s">
        <v>305</v>
      </c>
      <c r="K13" s="83" t="s">
        <v>184</v>
      </c>
      <c r="O13" s="84"/>
      <c r="P13" s="84"/>
      <c r="Q13" s="84"/>
      <c r="R13" s="84"/>
      <c r="S13" s="84"/>
      <c r="T13" s="84"/>
      <c r="U13" s="84"/>
      <c r="V13" s="84"/>
      <c r="W13" s="84"/>
      <c r="X13" s="84"/>
      <c r="Y13" s="84"/>
      <c r="Z13" s="84"/>
    </row>
    <row r="14" spans="1:26" x14ac:dyDescent="0.25">
      <c r="A14" s="85" t="s">
        <v>347</v>
      </c>
      <c r="B14" s="189" t="s">
        <v>348</v>
      </c>
      <c r="C14" s="9" t="s">
        <v>322</v>
      </c>
      <c r="D14" s="190" t="s">
        <v>304</v>
      </c>
      <c r="E14" s="191" t="s">
        <v>305</v>
      </c>
      <c r="F14" s="192" t="s">
        <v>304</v>
      </c>
      <c r="G14" s="191" t="s">
        <v>305</v>
      </c>
      <c r="H14" s="189" t="s">
        <v>349</v>
      </c>
      <c r="I14" s="193" t="s">
        <v>350</v>
      </c>
      <c r="J14" s="82" t="s">
        <v>305</v>
      </c>
      <c r="K14" s="83" t="s">
        <v>184</v>
      </c>
      <c r="O14" s="84"/>
      <c r="P14" s="84"/>
      <c r="Q14" s="84"/>
      <c r="R14" s="84"/>
      <c r="S14" s="84"/>
      <c r="T14" s="84"/>
      <c r="U14" s="84"/>
      <c r="V14" s="84"/>
      <c r="W14" s="84"/>
      <c r="X14" s="84"/>
      <c r="Y14" s="84"/>
      <c r="Z14" s="84"/>
    </row>
    <row r="15" spans="1:26" x14ac:dyDescent="0.25">
      <c r="A15" s="85" t="s">
        <v>351</v>
      </c>
      <c r="B15" s="189" t="s">
        <v>331</v>
      </c>
      <c r="C15" s="9" t="s">
        <v>303</v>
      </c>
      <c r="D15" s="190">
        <v>6</v>
      </c>
      <c r="E15" s="191">
        <v>60</v>
      </c>
      <c r="F15" s="192">
        <v>7</v>
      </c>
      <c r="G15" s="191">
        <v>95</v>
      </c>
      <c r="H15" s="189" t="s">
        <v>342</v>
      </c>
      <c r="I15" s="193" t="s">
        <v>343</v>
      </c>
      <c r="J15" s="82" t="s">
        <v>305</v>
      </c>
      <c r="K15" s="83" t="s">
        <v>184</v>
      </c>
      <c r="O15" s="84"/>
      <c r="P15" s="84"/>
      <c r="Q15" s="84"/>
      <c r="R15" s="84"/>
      <c r="S15" s="84"/>
      <c r="T15" s="84"/>
      <c r="U15" s="84"/>
      <c r="V15" s="84"/>
      <c r="W15" s="84"/>
      <c r="X15" s="84"/>
      <c r="Y15" s="84"/>
      <c r="Z15" s="84"/>
    </row>
    <row r="16" spans="1:26" x14ac:dyDescent="0.25">
      <c r="A16" s="85" t="s">
        <v>352</v>
      </c>
      <c r="B16" s="189" t="s">
        <v>331</v>
      </c>
      <c r="C16" s="9" t="s">
        <v>303</v>
      </c>
      <c r="D16" s="190">
        <v>8</v>
      </c>
      <c r="E16" s="191">
        <v>75</v>
      </c>
      <c r="F16" s="192">
        <v>7</v>
      </c>
      <c r="G16" s="191">
        <v>95</v>
      </c>
      <c r="H16" s="189" t="s">
        <v>353</v>
      </c>
      <c r="I16" s="193" t="s">
        <v>354</v>
      </c>
      <c r="J16" s="82">
        <v>30</v>
      </c>
      <c r="K16" s="83">
        <v>15</v>
      </c>
      <c r="O16" s="84"/>
      <c r="P16" s="84"/>
      <c r="Q16" s="84"/>
      <c r="R16" s="84"/>
      <c r="S16" s="84"/>
      <c r="T16" s="84"/>
      <c r="U16" s="84"/>
      <c r="V16" s="84"/>
      <c r="W16" s="84"/>
      <c r="X16" s="84"/>
      <c r="Y16" s="84"/>
      <c r="Z16" s="84"/>
    </row>
    <row r="17" spans="1:26" x14ac:dyDescent="0.25">
      <c r="A17" s="85" t="s">
        <v>355</v>
      </c>
      <c r="B17" s="189" t="s">
        <v>356</v>
      </c>
      <c r="C17" s="9" t="s">
        <v>305</v>
      </c>
      <c r="D17" s="190" t="s">
        <v>304</v>
      </c>
      <c r="E17" s="191" t="s">
        <v>305</v>
      </c>
      <c r="F17" s="192" t="s">
        <v>304</v>
      </c>
      <c r="G17" s="191" t="s">
        <v>305</v>
      </c>
      <c r="H17" s="189" t="s">
        <v>357</v>
      </c>
      <c r="I17" s="193" t="s">
        <v>357</v>
      </c>
      <c r="J17" s="82" t="s">
        <v>305</v>
      </c>
      <c r="K17" s="83" t="s">
        <v>184</v>
      </c>
      <c r="O17" s="84"/>
      <c r="P17" s="84"/>
      <c r="Q17" s="84"/>
      <c r="R17" s="84"/>
      <c r="S17" s="84"/>
      <c r="T17" s="84"/>
      <c r="U17" s="84"/>
      <c r="V17" s="84"/>
      <c r="W17" s="84"/>
      <c r="X17" s="84"/>
      <c r="Y17" s="84"/>
      <c r="Z17" s="84"/>
    </row>
    <row r="18" spans="1:26" x14ac:dyDescent="0.25">
      <c r="A18" s="85" t="s">
        <v>358</v>
      </c>
      <c r="B18" s="189" t="s">
        <v>359</v>
      </c>
      <c r="C18" s="9" t="s">
        <v>303</v>
      </c>
      <c r="D18" s="190">
        <v>8</v>
      </c>
      <c r="E18" s="191">
        <v>80</v>
      </c>
      <c r="F18" s="192">
        <v>6</v>
      </c>
      <c r="G18" s="191">
        <v>100</v>
      </c>
      <c r="H18" s="189"/>
      <c r="I18" s="193" t="s">
        <v>184</v>
      </c>
      <c r="J18" s="82" t="s">
        <v>305</v>
      </c>
      <c r="K18" s="83" t="s">
        <v>184</v>
      </c>
      <c r="O18" s="84"/>
      <c r="P18" s="84"/>
      <c r="Q18" s="84"/>
      <c r="R18" s="84"/>
      <c r="S18" s="84"/>
      <c r="T18" s="84"/>
      <c r="U18" s="84"/>
      <c r="V18" s="84"/>
      <c r="W18" s="84"/>
      <c r="X18" s="84"/>
      <c r="Y18" s="84"/>
      <c r="Z18" s="84"/>
    </row>
    <row r="19" spans="1:26" x14ac:dyDescent="0.25">
      <c r="A19" s="85" t="s">
        <v>360</v>
      </c>
      <c r="B19" s="189" t="s">
        <v>348</v>
      </c>
      <c r="C19" s="9" t="s">
        <v>322</v>
      </c>
      <c r="D19" s="190" t="s">
        <v>304</v>
      </c>
      <c r="E19" s="191" t="s">
        <v>305</v>
      </c>
      <c r="F19" s="192" t="s">
        <v>304</v>
      </c>
      <c r="G19" s="191" t="s">
        <v>305</v>
      </c>
      <c r="H19" s="189" t="s">
        <v>361</v>
      </c>
      <c r="I19" s="193" t="s">
        <v>362</v>
      </c>
      <c r="J19" s="82" t="s">
        <v>305</v>
      </c>
      <c r="K19" s="83" t="s">
        <v>184</v>
      </c>
      <c r="O19" s="84"/>
      <c r="P19" s="84"/>
      <c r="Q19" s="84"/>
      <c r="R19" s="84"/>
      <c r="S19" s="84"/>
      <c r="T19" s="84"/>
      <c r="U19" s="84"/>
      <c r="V19" s="84"/>
      <c r="W19" s="84"/>
      <c r="X19" s="84"/>
      <c r="Y19" s="84"/>
      <c r="Z19" s="84"/>
    </row>
    <row r="20" spans="1:26" x14ac:dyDescent="0.25">
      <c r="A20" s="85" t="s">
        <v>363</v>
      </c>
      <c r="B20" s="189" t="s">
        <v>348</v>
      </c>
      <c r="C20" s="9" t="s">
        <v>322</v>
      </c>
      <c r="D20" s="190" t="s">
        <v>304</v>
      </c>
      <c r="E20" s="191" t="s">
        <v>305</v>
      </c>
      <c r="F20" s="192" t="s">
        <v>304</v>
      </c>
      <c r="G20" s="191" t="s">
        <v>305</v>
      </c>
      <c r="H20" s="189" t="s">
        <v>364</v>
      </c>
      <c r="I20" s="193" t="s">
        <v>365</v>
      </c>
      <c r="J20" s="82" t="s">
        <v>305</v>
      </c>
      <c r="K20" s="83" t="s">
        <v>184</v>
      </c>
      <c r="O20" s="84"/>
      <c r="P20" s="84"/>
      <c r="Q20" s="84"/>
      <c r="R20" s="84"/>
      <c r="S20" s="84"/>
      <c r="T20" s="84"/>
      <c r="U20" s="84"/>
      <c r="V20" s="84"/>
      <c r="W20" s="84"/>
      <c r="X20" s="84"/>
      <c r="Y20" s="84"/>
      <c r="Z20" s="84"/>
    </row>
    <row r="21" spans="1:26" ht="15.75" customHeight="1" x14ac:dyDescent="0.25">
      <c r="A21" s="85" t="s">
        <v>366</v>
      </c>
      <c r="B21" s="189" t="s">
        <v>367</v>
      </c>
      <c r="C21" s="9" t="s">
        <v>314</v>
      </c>
      <c r="D21" s="190">
        <v>8</v>
      </c>
      <c r="E21" s="191">
        <v>80</v>
      </c>
      <c r="F21" s="192">
        <v>6</v>
      </c>
      <c r="G21" s="191">
        <v>100</v>
      </c>
      <c r="H21" s="189" t="s">
        <v>368</v>
      </c>
      <c r="I21" s="193" t="s">
        <v>369</v>
      </c>
      <c r="J21" s="82" t="s">
        <v>305</v>
      </c>
      <c r="K21" s="83" t="s">
        <v>184</v>
      </c>
      <c r="O21" s="84"/>
      <c r="P21" s="84"/>
      <c r="Q21" s="84"/>
      <c r="R21" s="84"/>
      <c r="S21" s="84"/>
      <c r="T21" s="84"/>
      <c r="U21" s="84"/>
      <c r="V21" s="84"/>
      <c r="W21" s="84"/>
      <c r="X21" s="84"/>
      <c r="Y21" s="84"/>
      <c r="Z21" s="84"/>
    </row>
    <row r="22" spans="1:26" ht="15.75" customHeight="1" x14ac:dyDescent="0.25">
      <c r="A22" s="85" t="s">
        <v>370</v>
      </c>
      <c r="B22" s="189" t="s">
        <v>313</v>
      </c>
      <c r="C22" s="9" t="s">
        <v>303</v>
      </c>
      <c r="D22" s="190">
        <v>6</v>
      </c>
      <c r="E22" s="191">
        <v>60</v>
      </c>
      <c r="F22" s="192">
        <v>6</v>
      </c>
      <c r="G22" s="191">
        <v>100</v>
      </c>
      <c r="H22" s="189" t="s">
        <v>371</v>
      </c>
      <c r="I22" s="193" t="s">
        <v>372</v>
      </c>
      <c r="J22" s="82">
        <v>10</v>
      </c>
      <c r="K22" s="83">
        <v>19</v>
      </c>
      <c r="O22" s="84"/>
      <c r="P22" s="84"/>
      <c r="Q22" s="84"/>
      <c r="R22" s="84"/>
      <c r="S22" s="84"/>
      <c r="T22" s="84"/>
      <c r="U22" s="84"/>
      <c r="V22" s="84"/>
      <c r="W22" s="84"/>
      <c r="X22" s="84"/>
      <c r="Y22" s="84"/>
      <c r="Z22" s="84"/>
    </row>
    <row r="23" spans="1:26" ht="15.75" customHeight="1" x14ac:dyDescent="0.25">
      <c r="A23" s="85" t="s">
        <v>373</v>
      </c>
      <c r="B23" s="189" t="s">
        <v>309</v>
      </c>
      <c r="C23" s="9" t="s">
        <v>303</v>
      </c>
      <c r="D23" s="190">
        <v>8</v>
      </c>
      <c r="E23" s="191">
        <v>80</v>
      </c>
      <c r="F23" s="192">
        <v>6</v>
      </c>
      <c r="G23" s="191">
        <v>100</v>
      </c>
      <c r="H23" s="189" t="s">
        <v>374</v>
      </c>
      <c r="I23" s="193" t="s">
        <v>375</v>
      </c>
      <c r="J23" s="82">
        <v>100</v>
      </c>
      <c r="K23" s="83">
        <v>1</v>
      </c>
      <c r="O23" s="84"/>
      <c r="P23" s="84"/>
      <c r="Q23" s="84"/>
      <c r="R23" s="84"/>
      <c r="S23" s="84"/>
      <c r="T23" s="84"/>
      <c r="U23" s="84"/>
      <c r="V23" s="84"/>
      <c r="W23" s="84"/>
      <c r="X23" s="84"/>
      <c r="Y23" s="84"/>
      <c r="Z23" s="84"/>
    </row>
    <row r="24" spans="1:26" ht="15.75" customHeight="1" x14ac:dyDescent="0.25">
      <c r="A24" s="85" t="s">
        <v>376</v>
      </c>
      <c r="B24" s="189" t="s">
        <v>377</v>
      </c>
      <c r="C24" s="9" t="s">
        <v>314</v>
      </c>
      <c r="D24" s="190">
        <v>7</v>
      </c>
      <c r="E24" s="191">
        <v>70</v>
      </c>
      <c r="F24" s="192">
        <v>6</v>
      </c>
      <c r="G24" s="191">
        <v>100</v>
      </c>
      <c r="H24" s="189" t="s">
        <v>342</v>
      </c>
      <c r="I24" s="193" t="s">
        <v>343</v>
      </c>
      <c r="J24" s="82" t="s">
        <v>305</v>
      </c>
      <c r="K24" s="83" t="s">
        <v>184</v>
      </c>
      <c r="O24" s="84"/>
      <c r="P24" s="84"/>
      <c r="Q24" s="84"/>
      <c r="R24" s="84"/>
      <c r="S24" s="84"/>
      <c r="T24" s="84"/>
      <c r="U24" s="84"/>
      <c r="V24" s="84"/>
      <c r="W24" s="84"/>
      <c r="X24" s="84"/>
      <c r="Y24" s="84"/>
      <c r="Z24" s="84"/>
    </row>
    <row r="25" spans="1:26" ht="15.75" customHeight="1" x14ac:dyDescent="0.25">
      <c r="A25" s="85" t="s">
        <v>378</v>
      </c>
      <c r="B25" s="189" t="s">
        <v>377</v>
      </c>
      <c r="C25" s="9" t="s">
        <v>314</v>
      </c>
      <c r="D25" s="190">
        <v>4</v>
      </c>
      <c r="E25" s="191">
        <v>40</v>
      </c>
      <c r="F25" s="192">
        <v>6</v>
      </c>
      <c r="G25" s="191">
        <v>100</v>
      </c>
      <c r="H25" s="189" t="s">
        <v>315</v>
      </c>
      <c r="I25" s="193" t="s">
        <v>316</v>
      </c>
      <c r="J25" s="82" t="s">
        <v>305</v>
      </c>
      <c r="K25" s="83" t="s">
        <v>184</v>
      </c>
      <c r="O25" s="84"/>
      <c r="P25" s="84"/>
      <c r="Q25" s="84"/>
      <c r="R25" s="84"/>
      <c r="S25" s="84"/>
      <c r="T25" s="84"/>
      <c r="U25" s="84"/>
      <c r="V25" s="84"/>
      <c r="W25" s="84"/>
      <c r="X25" s="84"/>
      <c r="Y25" s="84"/>
      <c r="Z25" s="84"/>
    </row>
    <row r="26" spans="1:26" ht="15.75" customHeight="1" x14ac:dyDescent="0.25">
      <c r="A26" s="85" t="s">
        <v>379</v>
      </c>
      <c r="B26" s="189" t="s">
        <v>377</v>
      </c>
      <c r="C26" s="9" t="s">
        <v>322</v>
      </c>
      <c r="D26" s="190" t="s">
        <v>304</v>
      </c>
      <c r="E26" s="191" t="s">
        <v>305</v>
      </c>
      <c r="F26" s="192" t="s">
        <v>304</v>
      </c>
      <c r="G26" s="191" t="s">
        <v>305</v>
      </c>
      <c r="H26" s="189" t="s">
        <v>380</v>
      </c>
      <c r="I26" s="193" t="s">
        <v>381</v>
      </c>
      <c r="J26" s="82" t="s">
        <v>305</v>
      </c>
      <c r="K26" s="83" t="s">
        <v>184</v>
      </c>
      <c r="O26" s="84"/>
      <c r="P26" s="84"/>
      <c r="Q26" s="84"/>
      <c r="R26" s="84"/>
      <c r="S26" s="84"/>
      <c r="T26" s="84"/>
      <c r="U26" s="84"/>
      <c r="V26" s="84"/>
      <c r="W26" s="84"/>
      <c r="X26" s="84"/>
      <c r="Y26" s="84"/>
      <c r="Z26" s="84"/>
    </row>
    <row r="27" spans="1:26" ht="15.75" customHeight="1" x14ac:dyDescent="0.25">
      <c r="A27" s="85" t="s">
        <v>382</v>
      </c>
      <c r="B27" s="189" t="s">
        <v>377</v>
      </c>
      <c r="C27" s="9" t="s">
        <v>314</v>
      </c>
      <c r="D27" s="190">
        <v>8</v>
      </c>
      <c r="E27" s="191">
        <v>80</v>
      </c>
      <c r="F27" s="192">
        <v>6</v>
      </c>
      <c r="G27" s="191">
        <v>100</v>
      </c>
      <c r="H27" s="189" t="s">
        <v>383</v>
      </c>
      <c r="I27" s="193" t="s">
        <v>384</v>
      </c>
      <c r="J27" s="82">
        <v>100</v>
      </c>
      <c r="K27" s="83">
        <v>1</v>
      </c>
      <c r="O27" s="84"/>
      <c r="P27" s="84"/>
      <c r="Q27" s="84"/>
      <c r="R27" s="84"/>
      <c r="S27" s="84"/>
      <c r="T27" s="84"/>
      <c r="U27" s="84"/>
      <c r="V27" s="84"/>
      <c r="W27" s="84"/>
      <c r="X27" s="84"/>
      <c r="Y27" s="84"/>
      <c r="Z27" s="84"/>
    </row>
    <row r="28" spans="1:26" ht="15.75" customHeight="1" x14ac:dyDescent="0.25">
      <c r="A28" s="85" t="s">
        <v>385</v>
      </c>
      <c r="B28" s="189" t="s">
        <v>377</v>
      </c>
      <c r="C28" s="9" t="s">
        <v>314</v>
      </c>
      <c r="D28" s="190"/>
      <c r="E28" s="191">
        <v>90</v>
      </c>
      <c r="F28" s="192">
        <v>8</v>
      </c>
      <c r="G28" s="191">
        <v>90</v>
      </c>
      <c r="H28" s="189"/>
      <c r="I28" s="193" t="s">
        <v>184</v>
      </c>
      <c r="J28" s="82" t="s">
        <v>305</v>
      </c>
      <c r="K28" s="83" t="s">
        <v>184</v>
      </c>
      <c r="O28" s="84"/>
      <c r="P28" s="84"/>
      <c r="Q28" s="84"/>
      <c r="R28" s="84"/>
      <c r="S28" s="84"/>
      <c r="T28" s="84"/>
      <c r="U28" s="84"/>
      <c r="V28" s="84"/>
      <c r="W28" s="84"/>
      <c r="X28" s="84"/>
      <c r="Y28" s="84"/>
      <c r="Z28" s="84"/>
    </row>
    <row r="29" spans="1:26" ht="15.75" customHeight="1" x14ac:dyDescent="0.25">
      <c r="A29" s="85" t="s">
        <v>386</v>
      </c>
      <c r="B29" s="189" t="s">
        <v>356</v>
      </c>
      <c r="C29" s="9" t="s">
        <v>314</v>
      </c>
      <c r="D29" s="190">
        <v>2</v>
      </c>
      <c r="E29" s="191">
        <v>15</v>
      </c>
      <c r="F29" s="192">
        <v>6</v>
      </c>
      <c r="G29" s="191">
        <v>100</v>
      </c>
      <c r="H29" s="189" t="s">
        <v>387</v>
      </c>
      <c r="I29" s="193" t="s">
        <v>388</v>
      </c>
      <c r="J29" s="82" t="s">
        <v>305</v>
      </c>
      <c r="K29" s="83" t="s">
        <v>184</v>
      </c>
      <c r="O29" s="84"/>
      <c r="P29" s="84"/>
      <c r="Q29" s="84"/>
      <c r="R29" s="84"/>
      <c r="S29" s="84"/>
      <c r="T29" s="84"/>
      <c r="U29" s="84"/>
      <c r="V29" s="84"/>
      <c r="W29" s="84"/>
      <c r="X29" s="84"/>
      <c r="Y29" s="84"/>
      <c r="Z29" s="84"/>
    </row>
    <row r="30" spans="1:26" ht="15.75" customHeight="1" x14ac:dyDescent="0.25">
      <c r="A30" s="85" t="s">
        <v>389</v>
      </c>
      <c r="B30" s="189" t="s">
        <v>390</v>
      </c>
      <c r="C30" s="9" t="s">
        <v>303</v>
      </c>
      <c r="D30" s="190">
        <v>12</v>
      </c>
      <c r="E30" s="191">
        <v>120</v>
      </c>
      <c r="F30" s="192">
        <v>6</v>
      </c>
      <c r="G30" s="191">
        <v>100</v>
      </c>
      <c r="H30" s="189" t="s">
        <v>391</v>
      </c>
      <c r="I30" s="193" t="s">
        <v>392</v>
      </c>
      <c r="J30" s="82" t="s">
        <v>305</v>
      </c>
      <c r="K30" s="83" t="s">
        <v>184</v>
      </c>
      <c r="O30" s="84"/>
      <c r="P30" s="84"/>
      <c r="Q30" s="84"/>
      <c r="R30" s="84"/>
      <c r="S30" s="84"/>
      <c r="T30" s="84"/>
      <c r="U30" s="84"/>
      <c r="V30" s="84"/>
      <c r="W30" s="84"/>
      <c r="X30" s="84"/>
      <c r="Y30" s="84"/>
      <c r="Z30" s="84"/>
    </row>
    <row r="31" spans="1:26" ht="15.75" customHeight="1" x14ac:dyDescent="0.25">
      <c r="A31" s="85" t="s">
        <v>393</v>
      </c>
      <c r="B31" s="189" t="s">
        <v>309</v>
      </c>
      <c r="C31" s="9" t="s">
        <v>322</v>
      </c>
      <c r="D31" s="190" t="s">
        <v>304</v>
      </c>
      <c r="E31" s="191" t="s">
        <v>305</v>
      </c>
      <c r="F31" s="192" t="s">
        <v>304</v>
      </c>
      <c r="G31" s="191" t="s">
        <v>305</v>
      </c>
      <c r="H31" s="189" t="s">
        <v>394</v>
      </c>
      <c r="I31" s="193" t="s">
        <v>395</v>
      </c>
      <c r="J31" s="82" t="s">
        <v>305</v>
      </c>
      <c r="K31" s="83" t="s">
        <v>184</v>
      </c>
      <c r="O31" s="84"/>
      <c r="P31" s="84"/>
      <c r="Q31" s="84"/>
      <c r="R31" s="84"/>
      <c r="S31" s="84"/>
      <c r="T31" s="84"/>
      <c r="U31" s="84"/>
      <c r="V31" s="84"/>
      <c r="W31" s="84"/>
      <c r="X31" s="84"/>
      <c r="Y31" s="84"/>
      <c r="Z31" s="84"/>
    </row>
    <row r="32" spans="1:26" ht="15.75" customHeight="1" x14ac:dyDescent="0.25">
      <c r="A32" s="85" t="s">
        <v>396</v>
      </c>
      <c r="B32" s="189" t="s">
        <v>359</v>
      </c>
      <c r="C32" s="9" t="s">
        <v>322</v>
      </c>
      <c r="D32" s="190" t="s">
        <v>304</v>
      </c>
      <c r="E32" s="191" t="s">
        <v>305</v>
      </c>
      <c r="F32" s="192" t="s">
        <v>304</v>
      </c>
      <c r="G32" s="191" t="s">
        <v>305</v>
      </c>
      <c r="H32" s="189" t="s">
        <v>397</v>
      </c>
      <c r="I32" s="193" t="s">
        <v>398</v>
      </c>
      <c r="J32" s="82" t="s">
        <v>305</v>
      </c>
      <c r="K32" s="83" t="s">
        <v>184</v>
      </c>
      <c r="O32" s="84"/>
      <c r="P32" s="84"/>
      <c r="Q32" s="84"/>
      <c r="R32" s="84"/>
      <c r="S32" s="84"/>
      <c r="T32" s="84"/>
      <c r="U32" s="84"/>
      <c r="V32" s="84"/>
      <c r="W32" s="84"/>
      <c r="X32" s="84"/>
      <c r="Y32" s="84"/>
      <c r="Z32" s="84"/>
    </row>
    <row r="33" spans="1:26" ht="15.75" customHeight="1" x14ac:dyDescent="0.25">
      <c r="A33" s="85" t="s">
        <v>399</v>
      </c>
      <c r="B33" s="189" t="s">
        <v>335</v>
      </c>
      <c r="C33" s="9" t="s">
        <v>322</v>
      </c>
      <c r="D33" s="190" t="s">
        <v>304</v>
      </c>
      <c r="E33" s="191" t="s">
        <v>305</v>
      </c>
      <c r="F33" s="192" t="s">
        <v>304</v>
      </c>
      <c r="G33" s="191" t="s">
        <v>305</v>
      </c>
      <c r="H33" s="189" t="s">
        <v>400</v>
      </c>
      <c r="I33" s="193" t="s">
        <v>401</v>
      </c>
      <c r="J33" s="82" t="s">
        <v>305</v>
      </c>
      <c r="K33" s="83" t="s">
        <v>184</v>
      </c>
      <c r="O33" s="84"/>
      <c r="P33" s="84"/>
      <c r="Q33" s="84"/>
      <c r="R33" s="84"/>
      <c r="S33" s="84"/>
      <c r="T33" s="84"/>
      <c r="U33" s="84"/>
      <c r="V33" s="84"/>
      <c r="W33" s="84"/>
      <c r="X33" s="84"/>
      <c r="Y33" s="84"/>
      <c r="Z33" s="84"/>
    </row>
    <row r="34" spans="1:26" ht="15.75" customHeight="1" x14ac:dyDescent="0.25">
      <c r="A34" s="85" t="s">
        <v>402</v>
      </c>
      <c r="B34" s="189" t="s">
        <v>403</v>
      </c>
      <c r="C34" s="9" t="s">
        <v>314</v>
      </c>
      <c r="D34" s="190">
        <v>6</v>
      </c>
      <c r="E34" s="191">
        <v>60</v>
      </c>
      <c r="F34" s="192">
        <v>6</v>
      </c>
      <c r="G34" s="191">
        <v>100</v>
      </c>
      <c r="H34" s="189" t="s">
        <v>404</v>
      </c>
      <c r="I34" s="193" t="s">
        <v>405</v>
      </c>
      <c r="J34" s="82" t="s">
        <v>305</v>
      </c>
      <c r="K34" s="83" t="s">
        <v>184</v>
      </c>
      <c r="O34" s="84"/>
      <c r="P34" s="84"/>
      <c r="Q34" s="84"/>
      <c r="R34" s="84"/>
      <c r="S34" s="84"/>
      <c r="T34" s="84"/>
      <c r="U34" s="84"/>
      <c r="V34" s="84"/>
      <c r="W34" s="84"/>
      <c r="X34" s="84"/>
      <c r="Y34" s="84"/>
      <c r="Z34" s="84"/>
    </row>
    <row r="35" spans="1:26" ht="15.75" customHeight="1" x14ac:dyDescent="0.25">
      <c r="A35" s="85" t="s">
        <v>406</v>
      </c>
      <c r="B35" s="189" t="s">
        <v>407</v>
      </c>
      <c r="C35" s="9" t="s">
        <v>314</v>
      </c>
      <c r="D35" s="190">
        <v>3</v>
      </c>
      <c r="E35" s="191">
        <v>30</v>
      </c>
      <c r="F35" s="192">
        <v>6</v>
      </c>
      <c r="G35" s="191">
        <v>100</v>
      </c>
      <c r="H35" s="189" t="s">
        <v>353</v>
      </c>
      <c r="I35" s="193" t="s">
        <v>354</v>
      </c>
      <c r="J35" s="82">
        <v>30</v>
      </c>
      <c r="K35" s="83">
        <v>15</v>
      </c>
      <c r="O35" s="84"/>
      <c r="P35" s="84"/>
      <c r="Q35" s="84"/>
      <c r="R35" s="84"/>
      <c r="S35" s="84"/>
      <c r="T35" s="84"/>
      <c r="U35" s="84"/>
      <c r="V35" s="84"/>
      <c r="W35" s="84"/>
      <c r="X35" s="84"/>
      <c r="Y35" s="84"/>
      <c r="Z35" s="84"/>
    </row>
    <row r="36" spans="1:26" ht="15.75" customHeight="1" x14ac:dyDescent="0.25">
      <c r="A36" s="85" t="s">
        <v>408</v>
      </c>
      <c r="B36" s="189" t="s">
        <v>407</v>
      </c>
      <c r="C36" s="9" t="s">
        <v>303</v>
      </c>
      <c r="D36" s="190">
        <v>12</v>
      </c>
      <c r="E36" s="191">
        <v>120</v>
      </c>
      <c r="F36" s="192">
        <v>6</v>
      </c>
      <c r="G36" s="191">
        <v>100</v>
      </c>
      <c r="H36" s="189" t="s">
        <v>409</v>
      </c>
      <c r="I36" s="193" t="s">
        <v>409</v>
      </c>
      <c r="J36" s="82" t="s">
        <v>305</v>
      </c>
      <c r="K36" s="83" t="s">
        <v>184</v>
      </c>
      <c r="O36" s="84"/>
      <c r="P36" s="84"/>
      <c r="Q36" s="84"/>
      <c r="R36" s="84"/>
      <c r="S36" s="84"/>
      <c r="T36" s="84"/>
      <c r="U36" s="84"/>
      <c r="V36" s="84"/>
      <c r="W36" s="84"/>
      <c r="X36" s="84"/>
      <c r="Y36" s="84"/>
      <c r="Z36" s="84"/>
    </row>
    <row r="37" spans="1:26" ht="15.75" customHeight="1" x14ac:dyDescent="0.25">
      <c r="A37" s="85" t="s">
        <v>410</v>
      </c>
      <c r="B37" s="189" t="s">
        <v>411</v>
      </c>
      <c r="C37" s="9" t="s">
        <v>314</v>
      </c>
      <c r="D37" s="190">
        <v>9</v>
      </c>
      <c r="E37" s="191">
        <v>90</v>
      </c>
      <c r="F37" s="192">
        <v>6</v>
      </c>
      <c r="G37" s="191">
        <v>100</v>
      </c>
      <c r="H37" s="189" t="s">
        <v>342</v>
      </c>
      <c r="I37" s="193" t="s">
        <v>343</v>
      </c>
      <c r="J37" s="82" t="s">
        <v>305</v>
      </c>
      <c r="K37" s="83" t="s">
        <v>184</v>
      </c>
      <c r="O37" s="84"/>
      <c r="P37" s="84"/>
      <c r="Q37" s="84"/>
      <c r="R37" s="84"/>
      <c r="S37" s="84"/>
      <c r="T37" s="84"/>
      <c r="U37" s="84"/>
      <c r="V37" s="84"/>
      <c r="W37" s="84"/>
      <c r="X37" s="84"/>
      <c r="Y37" s="84"/>
      <c r="Z37" s="84"/>
    </row>
    <row r="38" spans="1:26" ht="15.75" customHeight="1" x14ac:dyDescent="0.25">
      <c r="A38" s="85" t="s">
        <v>412</v>
      </c>
      <c r="B38" s="189" t="s">
        <v>335</v>
      </c>
      <c r="C38" s="9" t="s">
        <v>322</v>
      </c>
      <c r="D38" s="190" t="s">
        <v>304</v>
      </c>
      <c r="E38" s="191" t="s">
        <v>305</v>
      </c>
      <c r="F38" s="192">
        <v>6</v>
      </c>
      <c r="G38" s="191">
        <v>100</v>
      </c>
      <c r="H38" s="189" t="s">
        <v>413</v>
      </c>
      <c r="I38" s="193" t="s">
        <v>414</v>
      </c>
      <c r="J38" s="82" t="s">
        <v>305</v>
      </c>
      <c r="K38" s="83" t="s">
        <v>184</v>
      </c>
      <c r="O38" s="84"/>
      <c r="P38" s="84"/>
      <c r="Q38" s="84"/>
      <c r="R38" s="84"/>
      <c r="S38" s="84"/>
      <c r="T38" s="84"/>
      <c r="U38" s="84"/>
      <c r="V38" s="84"/>
      <c r="W38" s="84"/>
      <c r="X38" s="84"/>
      <c r="Y38" s="84"/>
      <c r="Z38" s="84"/>
    </row>
    <row r="39" spans="1:26" ht="15.75" customHeight="1" x14ac:dyDescent="0.25">
      <c r="A39" s="85" t="s">
        <v>415</v>
      </c>
      <c r="B39" s="189" t="s">
        <v>356</v>
      </c>
      <c r="C39" s="9" t="s">
        <v>303</v>
      </c>
      <c r="D39" s="190">
        <v>8</v>
      </c>
      <c r="E39" s="191">
        <v>80</v>
      </c>
      <c r="F39" s="192">
        <v>24.4</v>
      </c>
      <c r="G39" s="191">
        <v>8</v>
      </c>
      <c r="H39" s="189" t="s">
        <v>339</v>
      </c>
      <c r="I39" s="193" t="s">
        <v>340</v>
      </c>
      <c r="J39" s="82" t="s">
        <v>305</v>
      </c>
      <c r="K39" s="83" t="s">
        <v>184</v>
      </c>
      <c r="O39" s="84"/>
      <c r="P39" s="84"/>
      <c r="Q39" s="84"/>
      <c r="R39" s="84"/>
      <c r="S39" s="84"/>
      <c r="T39" s="84"/>
      <c r="U39" s="84"/>
      <c r="V39" s="84"/>
      <c r="W39" s="84"/>
      <c r="X39" s="84"/>
      <c r="Y39" s="84"/>
      <c r="Z39" s="84"/>
    </row>
    <row r="40" spans="1:26" ht="15.75" customHeight="1" x14ac:dyDescent="0.25">
      <c r="A40" s="85" t="s">
        <v>416</v>
      </c>
      <c r="B40" s="189" t="s">
        <v>302</v>
      </c>
      <c r="C40" s="9" t="s">
        <v>314</v>
      </c>
      <c r="D40" s="190">
        <v>11</v>
      </c>
      <c r="E40" s="191">
        <v>110</v>
      </c>
      <c r="F40" s="192">
        <v>6</v>
      </c>
      <c r="G40" s="191">
        <v>100</v>
      </c>
      <c r="H40" s="189" t="s">
        <v>417</v>
      </c>
      <c r="I40" s="193" t="s">
        <v>417</v>
      </c>
      <c r="J40" s="82">
        <v>100</v>
      </c>
      <c r="K40" s="83">
        <v>1</v>
      </c>
      <c r="O40" s="84"/>
      <c r="P40" s="84"/>
      <c r="Q40" s="84"/>
      <c r="R40" s="84"/>
      <c r="S40" s="84"/>
      <c r="T40" s="84"/>
      <c r="U40" s="84"/>
      <c r="V40" s="84"/>
      <c r="W40" s="84"/>
      <c r="X40" s="84"/>
      <c r="Y40" s="84"/>
      <c r="Z40" s="84"/>
    </row>
    <row r="41" spans="1:26" ht="15.75" customHeight="1" x14ac:dyDescent="0.25">
      <c r="A41" s="85" t="s">
        <v>418</v>
      </c>
      <c r="B41" s="189" t="s">
        <v>419</v>
      </c>
      <c r="C41" s="9" t="s">
        <v>303</v>
      </c>
      <c r="D41" s="190">
        <v>7</v>
      </c>
      <c r="E41" s="191">
        <v>65</v>
      </c>
      <c r="F41" s="192">
        <v>6</v>
      </c>
      <c r="G41" s="191">
        <v>100</v>
      </c>
      <c r="H41" s="189" t="s">
        <v>420</v>
      </c>
      <c r="I41" s="193" t="s">
        <v>421</v>
      </c>
      <c r="J41" s="82">
        <v>10</v>
      </c>
      <c r="K41" s="83">
        <v>19</v>
      </c>
      <c r="O41" s="84"/>
      <c r="P41" s="84"/>
      <c r="Q41" s="84"/>
      <c r="R41" s="84"/>
      <c r="S41" s="84"/>
      <c r="T41" s="84"/>
      <c r="U41" s="84"/>
      <c r="V41" s="84"/>
      <c r="W41" s="84"/>
      <c r="X41" s="84"/>
      <c r="Y41" s="84"/>
      <c r="Z41" s="84"/>
    </row>
    <row r="42" spans="1:26" ht="15.75" customHeight="1" x14ac:dyDescent="0.25">
      <c r="A42" s="85" t="s">
        <v>422</v>
      </c>
      <c r="B42" s="189" t="s">
        <v>419</v>
      </c>
      <c r="C42" s="9" t="s">
        <v>322</v>
      </c>
      <c r="D42" s="190" t="s">
        <v>304</v>
      </c>
      <c r="E42" s="191" t="s">
        <v>305</v>
      </c>
      <c r="F42" s="192" t="s">
        <v>304</v>
      </c>
      <c r="G42" s="191" t="s">
        <v>305</v>
      </c>
      <c r="H42" s="189" t="s">
        <v>423</v>
      </c>
      <c r="I42" s="193" t="s">
        <v>424</v>
      </c>
      <c r="J42" s="82" t="s">
        <v>305</v>
      </c>
      <c r="K42" s="83" t="s">
        <v>184</v>
      </c>
      <c r="O42" s="84"/>
      <c r="P42" s="84"/>
      <c r="Q42" s="84"/>
      <c r="R42" s="84"/>
      <c r="S42" s="84"/>
      <c r="T42" s="84"/>
      <c r="U42" s="84"/>
      <c r="V42" s="84"/>
      <c r="W42" s="84"/>
      <c r="X42" s="84"/>
      <c r="Y42" s="84"/>
      <c r="Z42" s="84"/>
    </row>
    <row r="43" spans="1:26" ht="15.75" customHeight="1" x14ac:dyDescent="0.25">
      <c r="A43" s="85" t="s">
        <v>425</v>
      </c>
      <c r="B43" s="189" t="s">
        <v>367</v>
      </c>
      <c r="C43" s="9" t="s">
        <v>322</v>
      </c>
      <c r="D43" s="190" t="s">
        <v>304</v>
      </c>
      <c r="E43" s="191" t="s">
        <v>305</v>
      </c>
      <c r="F43" s="192" t="s">
        <v>304</v>
      </c>
      <c r="G43" s="191" t="s">
        <v>305</v>
      </c>
      <c r="H43" s="189" t="s">
        <v>426</v>
      </c>
      <c r="I43" s="193" t="s">
        <v>350</v>
      </c>
      <c r="J43" s="82" t="s">
        <v>305</v>
      </c>
      <c r="K43" s="83" t="s">
        <v>184</v>
      </c>
      <c r="O43" s="84"/>
      <c r="P43" s="84"/>
      <c r="Q43" s="84"/>
      <c r="R43" s="84"/>
      <c r="S43" s="84"/>
      <c r="T43" s="84"/>
      <c r="U43" s="84"/>
      <c r="V43" s="84"/>
      <c r="W43" s="84"/>
      <c r="X43" s="84"/>
      <c r="Y43" s="84"/>
      <c r="Z43" s="84"/>
    </row>
    <row r="44" spans="1:26" ht="15.75" customHeight="1" x14ac:dyDescent="0.25">
      <c r="A44" s="85" t="s">
        <v>427</v>
      </c>
      <c r="B44" s="189" t="s">
        <v>419</v>
      </c>
      <c r="C44" s="9" t="s">
        <v>314</v>
      </c>
      <c r="D44" s="190">
        <v>6</v>
      </c>
      <c r="E44" s="191">
        <v>60</v>
      </c>
      <c r="F44" s="192">
        <v>6</v>
      </c>
      <c r="G44" s="191">
        <v>100</v>
      </c>
      <c r="H44" s="189" t="s">
        <v>428</v>
      </c>
      <c r="I44" s="193" t="s">
        <v>429</v>
      </c>
      <c r="J44" s="82" t="s">
        <v>305</v>
      </c>
      <c r="K44" s="83" t="s">
        <v>184</v>
      </c>
      <c r="O44" s="84"/>
      <c r="P44" s="84"/>
      <c r="Q44" s="84"/>
      <c r="R44" s="84"/>
      <c r="S44" s="84"/>
      <c r="T44" s="84"/>
      <c r="U44" s="84"/>
      <c r="V44" s="84"/>
      <c r="W44" s="84"/>
      <c r="X44" s="84"/>
      <c r="Y44" s="84"/>
      <c r="Z44" s="84"/>
    </row>
    <row r="45" spans="1:26" ht="15.75" customHeight="1" x14ac:dyDescent="0.25">
      <c r="A45" s="85" t="s">
        <v>430</v>
      </c>
      <c r="B45" s="189" t="s">
        <v>356</v>
      </c>
      <c r="C45" s="9" t="s">
        <v>314</v>
      </c>
      <c r="D45" s="190">
        <v>12</v>
      </c>
      <c r="E45" s="191">
        <v>120</v>
      </c>
      <c r="F45" s="192">
        <v>8</v>
      </c>
      <c r="G45" s="191">
        <v>90</v>
      </c>
      <c r="H45" s="189" t="s">
        <v>431</v>
      </c>
      <c r="I45" s="193" t="s">
        <v>432</v>
      </c>
      <c r="J45" s="82" t="s">
        <v>305</v>
      </c>
      <c r="K45" s="83" t="s">
        <v>184</v>
      </c>
      <c r="O45" s="84"/>
      <c r="P45" s="84"/>
      <c r="Q45" s="84"/>
      <c r="R45" s="84"/>
      <c r="S45" s="84"/>
      <c r="T45" s="84"/>
      <c r="U45" s="84"/>
      <c r="V45" s="84"/>
      <c r="W45" s="84"/>
      <c r="X45" s="84"/>
      <c r="Y45" s="84"/>
      <c r="Z45" s="84"/>
    </row>
    <row r="46" spans="1:26" ht="15.75" customHeight="1" x14ac:dyDescent="0.25">
      <c r="A46" s="85" t="s">
        <v>433</v>
      </c>
      <c r="B46" s="189" t="s">
        <v>359</v>
      </c>
      <c r="C46" s="9" t="s">
        <v>322</v>
      </c>
      <c r="D46" s="190" t="s">
        <v>304</v>
      </c>
      <c r="E46" s="191" t="s">
        <v>305</v>
      </c>
      <c r="F46" s="192">
        <v>6</v>
      </c>
      <c r="G46" s="191">
        <v>100</v>
      </c>
      <c r="H46" s="189" t="s">
        <v>434</v>
      </c>
      <c r="I46" s="193" t="s">
        <v>435</v>
      </c>
      <c r="J46" s="82" t="s">
        <v>305</v>
      </c>
      <c r="K46" s="83" t="s">
        <v>184</v>
      </c>
      <c r="O46" s="84"/>
      <c r="P46" s="84"/>
      <c r="Q46" s="84"/>
      <c r="R46" s="84"/>
      <c r="S46" s="84"/>
      <c r="T46" s="84"/>
      <c r="U46" s="84"/>
      <c r="V46" s="84"/>
      <c r="W46" s="84"/>
      <c r="X46" s="84"/>
      <c r="Y46" s="84"/>
      <c r="Z46" s="84"/>
    </row>
    <row r="47" spans="1:26" ht="15.75" customHeight="1" x14ac:dyDescent="0.25">
      <c r="A47" s="85" t="s">
        <v>436</v>
      </c>
      <c r="B47" s="189" t="s">
        <v>403</v>
      </c>
      <c r="C47" s="9" t="s">
        <v>303</v>
      </c>
      <c r="D47" s="190">
        <v>9</v>
      </c>
      <c r="E47" s="191">
        <v>90</v>
      </c>
      <c r="F47" s="192">
        <v>6</v>
      </c>
      <c r="G47" s="191">
        <v>100</v>
      </c>
      <c r="H47" s="189" t="s">
        <v>437</v>
      </c>
      <c r="I47" s="193" t="s">
        <v>438</v>
      </c>
      <c r="J47" s="82" t="s">
        <v>305</v>
      </c>
      <c r="K47" s="83" t="s">
        <v>184</v>
      </c>
      <c r="O47" s="84"/>
      <c r="P47" s="84"/>
      <c r="Q47" s="84"/>
      <c r="R47" s="84"/>
      <c r="S47" s="84"/>
      <c r="T47" s="84"/>
      <c r="U47" s="84"/>
      <c r="V47" s="84"/>
      <c r="W47" s="84"/>
      <c r="X47" s="84"/>
      <c r="Y47" s="84"/>
      <c r="Z47" s="84"/>
    </row>
    <row r="48" spans="1:26" ht="15.75" customHeight="1" x14ac:dyDescent="0.25">
      <c r="A48" s="85" t="s">
        <v>439</v>
      </c>
      <c r="B48" s="189" t="s">
        <v>318</v>
      </c>
      <c r="C48" s="9" t="s">
        <v>322</v>
      </c>
      <c r="D48" s="190" t="s">
        <v>304</v>
      </c>
      <c r="E48" s="191" t="s">
        <v>305</v>
      </c>
      <c r="F48" s="192" t="s">
        <v>304</v>
      </c>
      <c r="G48" s="191" t="s">
        <v>305</v>
      </c>
      <c r="H48" s="189" t="s">
        <v>440</v>
      </c>
      <c r="I48" s="193" t="s">
        <v>441</v>
      </c>
      <c r="J48" s="82" t="s">
        <v>305</v>
      </c>
      <c r="K48" s="83" t="s">
        <v>184</v>
      </c>
      <c r="O48" s="84"/>
      <c r="P48" s="84"/>
      <c r="Q48" s="84"/>
      <c r="R48" s="84"/>
      <c r="S48" s="84"/>
      <c r="T48" s="84"/>
      <c r="U48" s="84"/>
      <c r="V48" s="84"/>
      <c r="W48" s="84"/>
      <c r="X48" s="84"/>
      <c r="Y48" s="84"/>
      <c r="Z48" s="84"/>
    </row>
    <row r="49" spans="1:26" ht="15.75" customHeight="1" x14ac:dyDescent="0.25">
      <c r="A49" s="85" t="s">
        <v>442</v>
      </c>
      <c r="B49" s="189" t="s">
        <v>318</v>
      </c>
      <c r="C49" s="9" t="s">
        <v>314</v>
      </c>
      <c r="D49" s="190">
        <v>6</v>
      </c>
      <c r="E49" s="191">
        <v>60</v>
      </c>
      <c r="F49" s="192">
        <v>6</v>
      </c>
      <c r="G49" s="191">
        <v>100</v>
      </c>
      <c r="H49" s="189" t="s">
        <v>443</v>
      </c>
      <c r="I49" s="193" t="s">
        <v>444</v>
      </c>
      <c r="J49" s="82" t="s">
        <v>305</v>
      </c>
      <c r="K49" s="83" t="s">
        <v>184</v>
      </c>
      <c r="O49" s="84"/>
      <c r="P49" s="84"/>
      <c r="Q49" s="84"/>
      <c r="R49" s="84"/>
      <c r="S49" s="84"/>
      <c r="T49" s="84"/>
      <c r="U49" s="84"/>
      <c r="V49" s="84"/>
      <c r="W49" s="84"/>
      <c r="X49" s="84"/>
      <c r="Y49" s="84"/>
      <c r="Z49" s="84"/>
    </row>
    <row r="50" spans="1:26" ht="15.75" customHeight="1" x14ac:dyDescent="0.25">
      <c r="A50" s="85" t="s">
        <v>445</v>
      </c>
      <c r="B50" s="189" t="s">
        <v>335</v>
      </c>
      <c r="C50" s="9" t="s">
        <v>314</v>
      </c>
      <c r="D50" s="190">
        <v>2</v>
      </c>
      <c r="E50" s="191">
        <v>15</v>
      </c>
      <c r="F50" s="192">
        <v>9</v>
      </c>
      <c r="G50" s="191">
        <v>85</v>
      </c>
      <c r="H50" s="189" t="s">
        <v>387</v>
      </c>
      <c r="I50" s="193" t="s">
        <v>388</v>
      </c>
      <c r="J50" s="82" t="s">
        <v>305</v>
      </c>
      <c r="K50" s="83" t="s">
        <v>184</v>
      </c>
      <c r="O50" s="84"/>
      <c r="P50" s="84"/>
      <c r="Q50" s="84"/>
      <c r="R50" s="84"/>
      <c r="S50" s="84"/>
      <c r="T50" s="84"/>
      <c r="U50" s="84"/>
      <c r="V50" s="84"/>
      <c r="W50" s="84"/>
      <c r="X50" s="84"/>
      <c r="Y50" s="84"/>
      <c r="Z50" s="84"/>
    </row>
    <row r="51" spans="1:26" ht="15.75" customHeight="1" x14ac:dyDescent="0.25">
      <c r="A51" s="85" t="s">
        <v>446</v>
      </c>
      <c r="B51" s="189" t="s">
        <v>348</v>
      </c>
      <c r="C51" s="9" t="s">
        <v>322</v>
      </c>
      <c r="D51" s="190" t="s">
        <v>304</v>
      </c>
      <c r="E51" s="191" t="s">
        <v>305</v>
      </c>
      <c r="F51" s="192" t="s">
        <v>304</v>
      </c>
      <c r="G51" s="191" t="s">
        <v>305</v>
      </c>
      <c r="H51" s="189" t="s">
        <v>323</v>
      </c>
      <c r="I51" s="193" t="s">
        <v>447</v>
      </c>
      <c r="J51" s="82" t="s">
        <v>305</v>
      </c>
      <c r="K51" s="83" t="s">
        <v>184</v>
      </c>
      <c r="O51" s="84"/>
      <c r="P51" s="84"/>
      <c r="Q51" s="84"/>
      <c r="R51" s="84"/>
      <c r="S51" s="84"/>
      <c r="T51" s="84"/>
      <c r="U51" s="84"/>
      <c r="V51" s="84"/>
      <c r="W51" s="84"/>
      <c r="X51" s="84"/>
      <c r="Y51" s="84"/>
      <c r="Z51" s="84"/>
    </row>
    <row r="52" spans="1:26" ht="15.75" customHeight="1" x14ac:dyDescent="0.25">
      <c r="A52" s="85" t="s">
        <v>448</v>
      </c>
      <c r="B52" s="189" t="s">
        <v>335</v>
      </c>
      <c r="C52" s="9" t="s">
        <v>322</v>
      </c>
      <c r="D52" s="190" t="s">
        <v>304</v>
      </c>
      <c r="E52" s="191" t="s">
        <v>305</v>
      </c>
      <c r="F52" s="192" t="s">
        <v>304</v>
      </c>
      <c r="G52" s="191" t="s">
        <v>305</v>
      </c>
      <c r="H52" s="189" t="s">
        <v>449</v>
      </c>
      <c r="I52" s="193" t="s">
        <v>450</v>
      </c>
      <c r="J52" s="82" t="s">
        <v>305</v>
      </c>
      <c r="K52" s="83" t="s">
        <v>184</v>
      </c>
      <c r="O52" s="84"/>
      <c r="P52" s="84"/>
      <c r="Q52" s="84"/>
      <c r="R52" s="84"/>
      <c r="S52" s="84"/>
      <c r="T52" s="84"/>
      <c r="U52" s="84"/>
      <c r="V52" s="84"/>
      <c r="W52" s="84"/>
      <c r="X52" s="84"/>
      <c r="Y52" s="84"/>
      <c r="Z52" s="84"/>
    </row>
    <row r="53" spans="1:26" ht="15.75" customHeight="1" x14ac:dyDescent="0.25">
      <c r="A53" s="85" t="s">
        <v>451</v>
      </c>
      <c r="B53" s="189" t="s">
        <v>331</v>
      </c>
      <c r="C53" s="9" t="s">
        <v>314</v>
      </c>
      <c r="D53" s="190">
        <v>10</v>
      </c>
      <c r="E53" s="191">
        <v>100</v>
      </c>
      <c r="F53" s="192">
        <v>6</v>
      </c>
      <c r="G53" s="191">
        <v>100</v>
      </c>
      <c r="H53" s="189" t="s">
        <v>452</v>
      </c>
      <c r="I53" s="193" t="s">
        <v>453</v>
      </c>
      <c r="J53" s="82" t="s">
        <v>305</v>
      </c>
      <c r="K53" s="83" t="s">
        <v>184</v>
      </c>
      <c r="O53" s="84"/>
      <c r="P53" s="84"/>
      <c r="Q53" s="84"/>
      <c r="R53" s="84"/>
      <c r="S53" s="84"/>
      <c r="T53" s="84"/>
      <c r="U53" s="84"/>
      <c r="V53" s="84"/>
      <c r="W53" s="84"/>
      <c r="X53" s="84"/>
      <c r="Y53" s="84"/>
      <c r="Z53" s="84"/>
    </row>
    <row r="54" spans="1:26" ht="15.75" customHeight="1" x14ac:dyDescent="0.25">
      <c r="A54" s="85" t="s">
        <v>454</v>
      </c>
      <c r="B54" s="189" t="s">
        <v>403</v>
      </c>
      <c r="C54" s="9" t="s">
        <v>314</v>
      </c>
      <c r="D54" s="190" t="s">
        <v>304</v>
      </c>
      <c r="E54" s="191" t="s">
        <v>305</v>
      </c>
      <c r="F54" s="192">
        <v>6</v>
      </c>
      <c r="G54" s="191">
        <v>100</v>
      </c>
      <c r="H54" s="189" t="s">
        <v>455</v>
      </c>
      <c r="I54" s="193" t="s">
        <v>456</v>
      </c>
      <c r="J54" s="82" t="s">
        <v>305</v>
      </c>
      <c r="K54" s="83" t="s">
        <v>184</v>
      </c>
      <c r="O54" s="84"/>
      <c r="P54" s="84"/>
      <c r="Q54" s="84"/>
      <c r="R54" s="84"/>
      <c r="S54" s="84"/>
      <c r="T54" s="84"/>
      <c r="U54" s="84"/>
      <c r="V54" s="84"/>
      <c r="W54" s="84"/>
      <c r="X54" s="84"/>
      <c r="Y54" s="84"/>
      <c r="Z54" s="84"/>
    </row>
    <row r="55" spans="1:26" ht="15.75" customHeight="1" x14ac:dyDescent="0.25">
      <c r="A55" s="85" t="s">
        <v>457</v>
      </c>
      <c r="B55" s="189" t="s">
        <v>367</v>
      </c>
      <c r="C55" s="9" t="s">
        <v>314</v>
      </c>
      <c r="D55" s="190">
        <v>10</v>
      </c>
      <c r="E55" s="191">
        <v>100</v>
      </c>
      <c r="F55" s="192">
        <v>6</v>
      </c>
      <c r="G55" s="191">
        <v>100</v>
      </c>
      <c r="H55" s="189" t="s">
        <v>458</v>
      </c>
      <c r="I55" s="193" t="s">
        <v>459</v>
      </c>
      <c r="J55" s="82" t="s">
        <v>305</v>
      </c>
      <c r="K55" s="83" t="s">
        <v>184</v>
      </c>
      <c r="O55" s="84"/>
      <c r="P55" s="84"/>
      <c r="Q55" s="84"/>
      <c r="R55" s="84"/>
      <c r="S55" s="84"/>
      <c r="T55" s="84"/>
      <c r="U55" s="84"/>
      <c r="V55" s="84"/>
      <c r="W55" s="84"/>
      <c r="X55" s="84"/>
      <c r="Y55" s="84"/>
      <c r="Z55" s="84"/>
    </row>
    <row r="56" spans="1:26" ht="15.75" customHeight="1" x14ac:dyDescent="0.25">
      <c r="A56" s="85" t="s">
        <v>460</v>
      </c>
      <c r="B56" s="189" t="s">
        <v>367</v>
      </c>
      <c r="C56" s="9" t="s">
        <v>314</v>
      </c>
      <c r="D56" s="190">
        <v>10</v>
      </c>
      <c r="E56" s="191">
        <v>100</v>
      </c>
      <c r="F56" s="192">
        <v>6</v>
      </c>
      <c r="G56" s="191">
        <v>100</v>
      </c>
      <c r="H56" s="189" t="s">
        <v>458</v>
      </c>
      <c r="I56" s="193" t="s">
        <v>459</v>
      </c>
      <c r="J56" s="82" t="s">
        <v>305</v>
      </c>
      <c r="K56" s="83" t="s">
        <v>184</v>
      </c>
      <c r="O56" s="84"/>
      <c r="P56" s="84"/>
      <c r="Q56" s="84"/>
      <c r="R56" s="84"/>
      <c r="S56" s="84"/>
      <c r="T56" s="84"/>
      <c r="U56" s="84"/>
      <c r="V56" s="84"/>
      <c r="W56" s="84"/>
      <c r="X56" s="84"/>
      <c r="Y56" s="84"/>
      <c r="Z56" s="84"/>
    </row>
    <row r="57" spans="1:26" ht="15.75" customHeight="1" x14ac:dyDescent="0.25">
      <c r="A57" s="85" t="s">
        <v>461</v>
      </c>
      <c r="B57" s="189" t="s">
        <v>318</v>
      </c>
      <c r="C57" s="9" t="s">
        <v>303</v>
      </c>
      <c r="D57" s="190">
        <v>12</v>
      </c>
      <c r="E57" s="191">
        <v>120</v>
      </c>
      <c r="F57" s="192">
        <v>8</v>
      </c>
      <c r="G57" s="191">
        <v>90</v>
      </c>
      <c r="H57" s="189" t="s">
        <v>462</v>
      </c>
      <c r="I57" s="193" t="s">
        <v>463</v>
      </c>
      <c r="J57" s="82" t="s">
        <v>305</v>
      </c>
      <c r="K57" s="83" t="s">
        <v>184</v>
      </c>
      <c r="O57" s="84"/>
      <c r="P57" s="84"/>
      <c r="Q57" s="84"/>
      <c r="R57" s="84"/>
      <c r="S57" s="84"/>
      <c r="T57" s="84"/>
      <c r="U57" s="84"/>
      <c r="V57" s="84"/>
      <c r="W57" s="84"/>
      <c r="X57" s="84"/>
      <c r="Y57" s="84"/>
      <c r="Z57" s="84"/>
    </row>
    <row r="58" spans="1:26" ht="15.75" customHeight="1" x14ac:dyDescent="0.25">
      <c r="A58" s="85" t="s">
        <v>464</v>
      </c>
      <c r="B58" s="189" t="s">
        <v>335</v>
      </c>
      <c r="C58" s="9" t="s">
        <v>322</v>
      </c>
      <c r="D58" s="190" t="s">
        <v>304</v>
      </c>
      <c r="E58" s="191" t="s">
        <v>305</v>
      </c>
      <c r="F58" s="192" t="s">
        <v>304</v>
      </c>
      <c r="G58" s="191" t="s">
        <v>305</v>
      </c>
      <c r="H58" s="189" t="s">
        <v>465</v>
      </c>
      <c r="I58" s="193" t="s">
        <v>466</v>
      </c>
      <c r="J58" s="82" t="s">
        <v>305</v>
      </c>
      <c r="K58" s="83" t="s">
        <v>184</v>
      </c>
      <c r="O58" s="84"/>
      <c r="P58" s="84"/>
      <c r="Q58" s="84"/>
      <c r="R58" s="84"/>
      <c r="S58" s="84"/>
      <c r="T58" s="84"/>
      <c r="U58" s="84"/>
      <c r="V58" s="84"/>
      <c r="W58" s="84"/>
      <c r="X58" s="84"/>
      <c r="Y58" s="84"/>
      <c r="Z58" s="84"/>
    </row>
    <row r="59" spans="1:26" ht="15.75" customHeight="1" x14ac:dyDescent="0.25">
      <c r="A59" s="85" t="s">
        <v>467</v>
      </c>
      <c r="B59" s="189" t="s">
        <v>335</v>
      </c>
      <c r="C59" s="9" t="s">
        <v>322</v>
      </c>
      <c r="D59" s="190" t="s">
        <v>304</v>
      </c>
      <c r="E59" s="191" t="s">
        <v>305</v>
      </c>
      <c r="F59" s="192" t="s">
        <v>304</v>
      </c>
      <c r="G59" s="191" t="s">
        <v>305</v>
      </c>
      <c r="H59" s="189" t="s">
        <v>468</v>
      </c>
      <c r="I59" s="193" t="s">
        <v>469</v>
      </c>
      <c r="J59" s="82" t="s">
        <v>305</v>
      </c>
      <c r="K59" s="83" t="s">
        <v>184</v>
      </c>
      <c r="O59" s="84"/>
      <c r="P59" s="84"/>
      <c r="Q59" s="84"/>
      <c r="R59" s="84"/>
      <c r="S59" s="84"/>
      <c r="T59" s="84"/>
      <c r="U59" s="84"/>
      <c r="V59" s="84"/>
      <c r="W59" s="84"/>
      <c r="X59" s="84"/>
      <c r="Y59" s="84"/>
      <c r="Z59" s="84"/>
    </row>
    <row r="60" spans="1:26" ht="15.75" customHeight="1" x14ac:dyDescent="0.25">
      <c r="A60" s="85" t="s">
        <v>470</v>
      </c>
      <c r="B60" s="189" t="s">
        <v>335</v>
      </c>
      <c r="C60" s="9" t="s">
        <v>314</v>
      </c>
      <c r="D60" s="190" t="s">
        <v>304</v>
      </c>
      <c r="E60" s="191" t="s">
        <v>305</v>
      </c>
      <c r="F60" s="192" t="s">
        <v>304</v>
      </c>
      <c r="G60" s="191" t="s">
        <v>305</v>
      </c>
      <c r="H60" s="189" t="s">
        <v>471</v>
      </c>
      <c r="I60" s="193" t="s">
        <v>472</v>
      </c>
      <c r="J60" s="82" t="s">
        <v>305</v>
      </c>
      <c r="K60" s="83" t="s">
        <v>184</v>
      </c>
      <c r="O60" s="84"/>
      <c r="P60" s="84"/>
      <c r="Q60" s="84"/>
      <c r="R60" s="84"/>
      <c r="S60" s="84"/>
      <c r="T60" s="84"/>
      <c r="U60" s="84"/>
      <c r="V60" s="84"/>
      <c r="W60" s="84"/>
      <c r="X60" s="84"/>
      <c r="Y60" s="84"/>
      <c r="Z60" s="84"/>
    </row>
    <row r="61" spans="1:26" ht="15.75" customHeight="1" x14ac:dyDescent="0.25">
      <c r="A61" s="85" t="s">
        <v>473</v>
      </c>
      <c r="B61" s="189" t="s">
        <v>335</v>
      </c>
      <c r="C61" s="9" t="s">
        <v>314</v>
      </c>
      <c r="D61" s="190">
        <v>2</v>
      </c>
      <c r="E61" s="191">
        <v>15</v>
      </c>
      <c r="F61" s="192">
        <v>9</v>
      </c>
      <c r="G61" s="191">
        <v>85</v>
      </c>
      <c r="H61" s="189" t="s">
        <v>474</v>
      </c>
      <c r="I61" s="193" t="s">
        <v>475</v>
      </c>
      <c r="J61" s="82">
        <v>100</v>
      </c>
      <c r="K61" s="83">
        <v>1</v>
      </c>
      <c r="O61" s="84"/>
      <c r="P61" s="84"/>
      <c r="Q61" s="84"/>
      <c r="R61" s="84"/>
      <c r="S61" s="84"/>
      <c r="T61" s="84"/>
      <c r="U61" s="84"/>
      <c r="V61" s="84"/>
      <c r="W61" s="84"/>
      <c r="X61" s="84"/>
      <c r="Y61" s="84"/>
      <c r="Z61" s="84"/>
    </row>
    <row r="62" spans="1:26" ht="15.75" customHeight="1" x14ac:dyDescent="0.25">
      <c r="A62" s="85" t="s">
        <v>476</v>
      </c>
      <c r="B62" s="189" t="s">
        <v>403</v>
      </c>
      <c r="C62" s="9" t="s">
        <v>314</v>
      </c>
      <c r="D62" s="190">
        <v>6</v>
      </c>
      <c r="E62" s="191">
        <v>60</v>
      </c>
      <c r="F62" s="192">
        <v>6</v>
      </c>
      <c r="G62" s="191">
        <v>100</v>
      </c>
      <c r="H62" s="189" t="s">
        <v>353</v>
      </c>
      <c r="I62" s="193" t="s">
        <v>354</v>
      </c>
      <c r="J62" s="82">
        <v>30</v>
      </c>
      <c r="K62" s="83">
        <v>15</v>
      </c>
      <c r="O62" s="84"/>
      <c r="P62" s="84"/>
      <c r="Q62" s="84"/>
      <c r="R62" s="84"/>
      <c r="S62" s="84"/>
      <c r="T62" s="84"/>
      <c r="U62" s="84"/>
      <c r="V62" s="84"/>
      <c r="W62" s="84"/>
      <c r="X62" s="84"/>
      <c r="Y62" s="84"/>
      <c r="Z62" s="84"/>
    </row>
    <row r="63" spans="1:26" ht="15.75" customHeight="1" x14ac:dyDescent="0.25">
      <c r="A63" s="85" t="s">
        <v>477</v>
      </c>
      <c r="B63" s="189" t="s">
        <v>390</v>
      </c>
      <c r="C63" s="9" t="s">
        <v>314</v>
      </c>
      <c r="D63" s="190">
        <v>9</v>
      </c>
      <c r="E63" s="191">
        <v>90</v>
      </c>
      <c r="F63" s="192">
        <v>6</v>
      </c>
      <c r="G63" s="191">
        <v>100</v>
      </c>
      <c r="H63" s="189" t="s">
        <v>310</v>
      </c>
      <c r="I63" s="193" t="s">
        <v>311</v>
      </c>
      <c r="J63" s="82" t="s">
        <v>305</v>
      </c>
      <c r="K63" s="83" t="s">
        <v>184</v>
      </c>
      <c r="O63" s="84"/>
      <c r="P63" s="84"/>
      <c r="Q63" s="84"/>
      <c r="R63" s="84"/>
      <c r="S63" s="84"/>
      <c r="T63" s="84"/>
      <c r="U63" s="84"/>
      <c r="V63" s="84"/>
      <c r="W63" s="84"/>
      <c r="X63" s="84"/>
      <c r="Y63" s="84"/>
      <c r="Z63" s="84"/>
    </row>
    <row r="64" spans="1:26" ht="15.75" customHeight="1" x14ac:dyDescent="0.25">
      <c r="A64" s="85" t="s">
        <v>478</v>
      </c>
      <c r="B64" s="189" t="s">
        <v>407</v>
      </c>
      <c r="C64" s="9" t="s">
        <v>303</v>
      </c>
      <c r="D64" s="190">
        <v>8</v>
      </c>
      <c r="E64" s="191">
        <v>75</v>
      </c>
      <c r="F64" s="192">
        <v>6</v>
      </c>
      <c r="G64" s="191">
        <v>100</v>
      </c>
      <c r="H64" s="189" t="s">
        <v>443</v>
      </c>
      <c r="I64" s="193" t="s">
        <v>444</v>
      </c>
      <c r="J64" s="82" t="s">
        <v>305</v>
      </c>
      <c r="K64" s="83" t="s">
        <v>184</v>
      </c>
      <c r="O64" s="84"/>
      <c r="P64" s="84"/>
      <c r="Q64" s="84"/>
      <c r="R64" s="84"/>
      <c r="S64" s="84"/>
      <c r="T64" s="84"/>
      <c r="U64" s="84"/>
      <c r="V64" s="84"/>
      <c r="W64" s="84"/>
      <c r="X64" s="84"/>
      <c r="Y64" s="84"/>
      <c r="Z64" s="84"/>
    </row>
    <row r="65" spans="1:26" ht="15.75" customHeight="1" x14ac:dyDescent="0.25">
      <c r="A65" s="85" t="s">
        <v>479</v>
      </c>
      <c r="B65" s="189" t="s">
        <v>403</v>
      </c>
      <c r="C65" s="9" t="s">
        <v>305</v>
      </c>
      <c r="D65" s="190" t="s">
        <v>304</v>
      </c>
      <c r="E65" s="191" t="s">
        <v>305</v>
      </c>
      <c r="F65" s="192" t="s">
        <v>304</v>
      </c>
      <c r="G65" s="191" t="s">
        <v>305</v>
      </c>
      <c r="H65" s="189" t="s">
        <v>480</v>
      </c>
      <c r="I65" s="193" t="s">
        <v>480</v>
      </c>
      <c r="J65" s="82" t="s">
        <v>305</v>
      </c>
      <c r="K65" s="83" t="s">
        <v>184</v>
      </c>
      <c r="O65" s="84"/>
      <c r="P65" s="84"/>
      <c r="Q65" s="84"/>
      <c r="R65" s="84"/>
      <c r="S65" s="84"/>
      <c r="T65" s="84"/>
      <c r="U65" s="84"/>
      <c r="V65" s="84"/>
      <c r="W65" s="84"/>
      <c r="X65" s="84"/>
      <c r="Y65" s="84"/>
      <c r="Z65" s="84"/>
    </row>
    <row r="66" spans="1:26" ht="15.75" customHeight="1" x14ac:dyDescent="0.25">
      <c r="A66" s="85" t="s">
        <v>481</v>
      </c>
      <c r="B66" s="189" t="s">
        <v>390</v>
      </c>
      <c r="C66" s="9" t="s">
        <v>303</v>
      </c>
      <c r="D66" s="190">
        <v>15</v>
      </c>
      <c r="E66" s="191">
        <v>150</v>
      </c>
      <c r="F66" s="192">
        <v>8</v>
      </c>
      <c r="G66" s="191">
        <v>90</v>
      </c>
      <c r="H66" s="189" t="s">
        <v>482</v>
      </c>
      <c r="I66" s="193" t="s">
        <v>483</v>
      </c>
      <c r="J66" s="82" t="s">
        <v>305</v>
      </c>
      <c r="K66" s="83" t="s">
        <v>184</v>
      </c>
      <c r="O66" s="84"/>
      <c r="P66" s="84"/>
      <c r="Q66" s="84"/>
      <c r="R66" s="84"/>
      <c r="S66" s="84"/>
      <c r="T66" s="84"/>
      <c r="U66" s="84"/>
      <c r="V66" s="84"/>
      <c r="W66" s="84"/>
      <c r="X66" s="84"/>
      <c r="Y66" s="84"/>
      <c r="Z66" s="84"/>
    </row>
    <row r="67" spans="1:26" ht="15.75" customHeight="1" x14ac:dyDescent="0.25">
      <c r="A67" s="85" t="s">
        <v>484</v>
      </c>
      <c r="B67" s="189" t="s">
        <v>390</v>
      </c>
      <c r="C67" s="9" t="s">
        <v>314</v>
      </c>
      <c r="D67" s="190">
        <v>9</v>
      </c>
      <c r="E67" s="191">
        <v>85</v>
      </c>
      <c r="F67" s="192">
        <v>8</v>
      </c>
      <c r="G67" s="191">
        <v>90</v>
      </c>
      <c r="H67" s="189" t="s">
        <v>485</v>
      </c>
      <c r="I67" s="193" t="s">
        <v>486</v>
      </c>
      <c r="J67" s="82">
        <v>10</v>
      </c>
      <c r="K67" s="83">
        <v>19</v>
      </c>
      <c r="O67" s="84"/>
      <c r="P67" s="84"/>
      <c r="Q67" s="84"/>
      <c r="R67" s="84"/>
      <c r="S67" s="84"/>
      <c r="T67" s="84"/>
      <c r="U67" s="84"/>
      <c r="V67" s="84"/>
      <c r="W67" s="84"/>
      <c r="X67" s="84"/>
      <c r="Y67" s="84"/>
      <c r="Z67" s="84"/>
    </row>
    <row r="68" spans="1:26" ht="15.75" customHeight="1" x14ac:dyDescent="0.25">
      <c r="A68" s="85" t="s">
        <v>487</v>
      </c>
      <c r="B68" s="189" t="s">
        <v>390</v>
      </c>
      <c r="C68" s="9" t="s">
        <v>314</v>
      </c>
      <c r="D68" s="190">
        <v>8</v>
      </c>
      <c r="E68" s="191">
        <v>80</v>
      </c>
      <c r="F68" s="192">
        <v>6</v>
      </c>
      <c r="G68" s="191">
        <v>100</v>
      </c>
      <c r="H68" s="189"/>
      <c r="I68" s="193" t="s">
        <v>184</v>
      </c>
      <c r="J68" s="82" t="s">
        <v>305</v>
      </c>
      <c r="K68" s="83" t="s">
        <v>184</v>
      </c>
      <c r="O68" s="84"/>
      <c r="P68" s="84"/>
      <c r="Q68" s="84"/>
      <c r="R68" s="84"/>
      <c r="S68" s="84"/>
      <c r="T68" s="84"/>
      <c r="U68" s="84"/>
      <c r="V68" s="84"/>
      <c r="W68" s="84"/>
      <c r="X68" s="84"/>
      <c r="Y68" s="84"/>
      <c r="Z68" s="84"/>
    </row>
    <row r="69" spans="1:26" ht="15.75" customHeight="1" x14ac:dyDescent="0.25">
      <c r="A69" s="85" t="s">
        <v>488</v>
      </c>
      <c r="B69" s="189" t="s">
        <v>331</v>
      </c>
      <c r="C69" s="9" t="s">
        <v>303</v>
      </c>
      <c r="D69" s="190">
        <v>10</v>
      </c>
      <c r="E69" s="191">
        <v>100</v>
      </c>
      <c r="F69" s="192">
        <v>10</v>
      </c>
      <c r="G69" s="191">
        <v>80</v>
      </c>
      <c r="H69" s="189" t="s">
        <v>489</v>
      </c>
      <c r="I69" s="193" t="s">
        <v>490</v>
      </c>
      <c r="J69" s="82" t="s">
        <v>305</v>
      </c>
      <c r="K69" s="83" t="s">
        <v>184</v>
      </c>
      <c r="O69" s="84"/>
      <c r="P69" s="84"/>
      <c r="Q69" s="84"/>
      <c r="R69" s="84"/>
      <c r="S69" s="84"/>
      <c r="T69" s="84"/>
      <c r="U69" s="84"/>
      <c r="V69" s="84"/>
      <c r="W69" s="84"/>
      <c r="X69" s="84"/>
      <c r="Y69" s="84"/>
      <c r="Z69" s="84"/>
    </row>
    <row r="70" spans="1:26" ht="15.75" customHeight="1" x14ac:dyDescent="0.25">
      <c r="A70" s="85" t="s">
        <v>491</v>
      </c>
      <c r="B70" s="189" t="s">
        <v>419</v>
      </c>
      <c r="C70" s="9" t="s">
        <v>303</v>
      </c>
      <c r="D70" s="190">
        <v>11</v>
      </c>
      <c r="E70" s="191">
        <v>110</v>
      </c>
      <c r="F70" s="192">
        <v>12</v>
      </c>
      <c r="G70" s="191">
        <v>70</v>
      </c>
      <c r="H70" s="189" t="s">
        <v>492</v>
      </c>
      <c r="I70" s="193" t="s">
        <v>493</v>
      </c>
      <c r="J70" s="82">
        <v>10</v>
      </c>
      <c r="K70" s="83">
        <v>19</v>
      </c>
      <c r="O70" s="84"/>
      <c r="P70" s="84"/>
      <c r="Q70" s="84"/>
      <c r="R70" s="84"/>
      <c r="S70" s="84"/>
      <c r="T70" s="84"/>
      <c r="U70" s="84"/>
      <c r="V70" s="84"/>
      <c r="W70" s="84"/>
      <c r="X70" s="84"/>
      <c r="Y70" s="84"/>
      <c r="Z70" s="84"/>
    </row>
    <row r="71" spans="1:26" ht="15.75" customHeight="1" x14ac:dyDescent="0.25">
      <c r="A71" s="85" t="s">
        <v>494</v>
      </c>
      <c r="B71" s="189" t="s">
        <v>335</v>
      </c>
      <c r="C71" s="9" t="s">
        <v>322</v>
      </c>
      <c r="D71" s="190" t="s">
        <v>304</v>
      </c>
      <c r="E71" s="191" t="s">
        <v>305</v>
      </c>
      <c r="F71" s="192" t="s">
        <v>304</v>
      </c>
      <c r="G71" s="191" t="s">
        <v>305</v>
      </c>
      <c r="H71" s="189" t="s">
        <v>495</v>
      </c>
      <c r="I71" s="193" t="s">
        <v>496</v>
      </c>
      <c r="J71" s="82" t="s">
        <v>305</v>
      </c>
      <c r="K71" s="83" t="s">
        <v>184</v>
      </c>
      <c r="O71" s="84"/>
      <c r="P71" s="84"/>
      <c r="Q71" s="84"/>
      <c r="R71" s="84"/>
      <c r="S71" s="84"/>
      <c r="T71" s="84"/>
      <c r="U71" s="84"/>
      <c r="V71" s="84"/>
      <c r="W71" s="84"/>
      <c r="X71" s="84"/>
      <c r="Y71" s="84"/>
      <c r="Z71" s="84"/>
    </row>
    <row r="72" spans="1:26" ht="15.75" customHeight="1" x14ac:dyDescent="0.25">
      <c r="A72" s="85" t="s">
        <v>497</v>
      </c>
      <c r="B72" s="189"/>
      <c r="C72" s="9" t="s">
        <v>305</v>
      </c>
      <c r="D72" s="190" t="s">
        <v>304</v>
      </c>
      <c r="E72" s="191" t="s">
        <v>305</v>
      </c>
      <c r="F72" s="192" t="s">
        <v>304</v>
      </c>
      <c r="G72" s="191" t="s">
        <v>305</v>
      </c>
      <c r="H72" s="189" t="s">
        <v>498</v>
      </c>
      <c r="I72" s="193" t="s">
        <v>498</v>
      </c>
      <c r="J72" s="82" t="s">
        <v>305</v>
      </c>
      <c r="K72" s="83" t="s">
        <v>184</v>
      </c>
      <c r="O72" s="84"/>
      <c r="P72" s="84"/>
      <c r="Q72" s="84"/>
      <c r="R72" s="84"/>
      <c r="S72" s="84"/>
      <c r="T72" s="84"/>
      <c r="U72" s="84"/>
      <c r="V72" s="84"/>
      <c r="W72" s="84"/>
      <c r="X72" s="84"/>
      <c r="Y72" s="84"/>
      <c r="Z72" s="84"/>
    </row>
    <row r="73" spans="1:26" ht="15.75" customHeight="1" x14ac:dyDescent="0.25">
      <c r="A73" s="85" t="s">
        <v>499</v>
      </c>
      <c r="B73" s="189" t="s">
        <v>309</v>
      </c>
      <c r="C73" s="9" t="s">
        <v>305</v>
      </c>
      <c r="D73" s="190" t="s">
        <v>304</v>
      </c>
      <c r="E73" s="191" t="s">
        <v>305</v>
      </c>
      <c r="F73" s="192" t="s">
        <v>304</v>
      </c>
      <c r="G73" s="191" t="s">
        <v>305</v>
      </c>
      <c r="H73" s="189" t="s">
        <v>500</v>
      </c>
      <c r="I73" s="193" t="s">
        <v>500</v>
      </c>
      <c r="J73" s="82" t="s">
        <v>305</v>
      </c>
      <c r="K73" s="83" t="s">
        <v>184</v>
      </c>
      <c r="O73" s="84"/>
      <c r="P73" s="84"/>
      <c r="Q73" s="84"/>
      <c r="R73" s="84"/>
      <c r="S73" s="84"/>
      <c r="T73" s="84"/>
      <c r="U73" s="84"/>
      <c r="V73" s="84"/>
      <c r="W73" s="84"/>
      <c r="X73" s="84"/>
      <c r="Y73" s="84"/>
      <c r="Z73" s="84"/>
    </row>
    <row r="74" spans="1:26" ht="15.75" customHeight="1" x14ac:dyDescent="0.25">
      <c r="A74" s="85" t="s">
        <v>501</v>
      </c>
      <c r="B74" s="189" t="s">
        <v>390</v>
      </c>
      <c r="C74" s="9" t="s">
        <v>303</v>
      </c>
      <c r="D74" s="190">
        <v>13</v>
      </c>
      <c r="E74" s="191">
        <v>130</v>
      </c>
      <c r="F74" s="192">
        <v>9</v>
      </c>
      <c r="G74" s="191">
        <v>85</v>
      </c>
      <c r="H74" s="189" t="s">
        <v>502</v>
      </c>
      <c r="I74" s="193" t="s">
        <v>503</v>
      </c>
      <c r="J74" s="82">
        <v>20</v>
      </c>
      <c r="K74" s="83">
        <v>17</v>
      </c>
      <c r="O74" s="84"/>
      <c r="P74" s="84"/>
      <c r="Q74" s="84"/>
      <c r="R74" s="84"/>
      <c r="S74" s="84"/>
      <c r="T74" s="84"/>
      <c r="U74" s="84"/>
      <c r="V74" s="84"/>
      <c r="W74" s="84"/>
      <c r="X74" s="84"/>
      <c r="Y74" s="84"/>
      <c r="Z74" s="84"/>
    </row>
    <row r="75" spans="1:26" ht="15.75" customHeight="1" x14ac:dyDescent="0.25">
      <c r="A75" s="85" t="s">
        <v>504</v>
      </c>
      <c r="B75" s="189" t="s">
        <v>356</v>
      </c>
      <c r="C75" s="9" t="s">
        <v>314</v>
      </c>
      <c r="D75" s="190">
        <v>8</v>
      </c>
      <c r="E75" s="191">
        <v>80</v>
      </c>
      <c r="F75" s="192">
        <v>6</v>
      </c>
      <c r="G75" s="191">
        <v>100</v>
      </c>
      <c r="H75" s="189" t="s">
        <v>505</v>
      </c>
      <c r="I75" s="193" t="s">
        <v>506</v>
      </c>
      <c r="J75" s="82" t="s">
        <v>305</v>
      </c>
      <c r="K75" s="83" t="s">
        <v>184</v>
      </c>
      <c r="O75" s="84"/>
      <c r="P75" s="84"/>
      <c r="Q75" s="84"/>
      <c r="R75" s="84"/>
      <c r="S75" s="84"/>
      <c r="T75" s="84"/>
      <c r="U75" s="84"/>
      <c r="V75" s="84"/>
      <c r="W75" s="84"/>
      <c r="X75" s="84"/>
      <c r="Y75" s="84"/>
      <c r="Z75" s="84"/>
    </row>
    <row r="76" spans="1:26" ht="15.75" customHeight="1" x14ac:dyDescent="0.25">
      <c r="A76" s="85" t="s">
        <v>507</v>
      </c>
      <c r="B76" s="189" t="s">
        <v>335</v>
      </c>
      <c r="C76" s="9" t="s">
        <v>314</v>
      </c>
      <c r="D76" s="190">
        <v>9</v>
      </c>
      <c r="E76" s="191">
        <v>85</v>
      </c>
      <c r="F76" s="192">
        <v>6</v>
      </c>
      <c r="G76" s="191">
        <v>100</v>
      </c>
      <c r="H76" s="189" t="s">
        <v>508</v>
      </c>
      <c r="I76" s="193" t="s">
        <v>509</v>
      </c>
      <c r="J76" s="82">
        <v>30</v>
      </c>
      <c r="K76" s="83">
        <v>15</v>
      </c>
      <c r="O76" s="84"/>
      <c r="P76" s="84"/>
      <c r="Q76" s="84"/>
      <c r="R76" s="84"/>
      <c r="S76" s="84"/>
      <c r="T76" s="84"/>
      <c r="U76" s="84"/>
      <c r="V76" s="84"/>
      <c r="W76" s="84"/>
      <c r="X76" s="84"/>
      <c r="Y76" s="84"/>
      <c r="Z76" s="84"/>
    </row>
    <row r="77" spans="1:26" ht="15.75" customHeight="1" x14ac:dyDescent="0.25">
      <c r="A77" s="85" t="s">
        <v>510</v>
      </c>
      <c r="B77" s="189" t="s">
        <v>302</v>
      </c>
      <c r="C77" s="9" t="s">
        <v>314</v>
      </c>
      <c r="D77" s="190">
        <v>9</v>
      </c>
      <c r="E77" s="191">
        <v>85</v>
      </c>
      <c r="F77" s="192">
        <v>6</v>
      </c>
      <c r="G77" s="191">
        <v>100</v>
      </c>
      <c r="H77" s="189" t="s">
        <v>511</v>
      </c>
      <c r="I77" s="193" t="s">
        <v>512</v>
      </c>
      <c r="J77" s="82" t="s">
        <v>305</v>
      </c>
      <c r="K77" s="83" t="s">
        <v>184</v>
      </c>
      <c r="O77" s="84"/>
      <c r="P77" s="84"/>
      <c r="Q77" s="84"/>
      <c r="R77" s="84"/>
      <c r="S77" s="84"/>
      <c r="T77" s="84"/>
      <c r="U77" s="84"/>
      <c r="V77" s="84"/>
      <c r="W77" s="84"/>
      <c r="X77" s="84"/>
      <c r="Y77" s="84"/>
      <c r="Z77" s="84"/>
    </row>
    <row r="78" spans="1:26" ht="15.75" customHeight="1" x14ac:dyDescent="0.25">
      <c r="A78" s="85" t="s">
        <v>513</v>
      </c>
      <c r="B78" s="189" t="s">
        <v>302</v>
      </c>
      <c r="C78" s="9" t="s">
        <v>314</v>
      </c>
      <c r="D78" s="190">
        <v>13</v>
      </c>
      <c r="E78" s="191">
        <v>130</v>
      </c>
      <c r="F78" s="192">
        <v>9</v>
      </c>
      <c r="G78" s="191">
        <v>85</v>
      </c>
      <c r="H78" s="189" t="s">
        <v>508</v>
      </c>
      <c r="I78" s="193" t="s">
        <v>509</v>
      </c>
      <c r="J78" s="82">
        <v>20</v>
      </c>
      <c r="K78" s="83">
        <v>17</v>
      </c>
      <c r="O78" s="84"/>
      <c r="P78" s="84"/>
      <c r="Q78" s="84"/>
      <c r="R78" s="84"/>
      <c r="S78" s="84"/>
      <c r="T78" s="84"/>
      <c r="U78" s="84"/>
      <c r="V78" s="84"/>
      <c r="W78" s="84"/>
      <c r="X78" s="84"/>
      <c r="Y78" s="84"/>
      <c r="Z78" s="84"/>
    </row>
    <row r="79" spans="1:26" ht="15.75" customHeight="1" x14ac:dyDescent="0.25">
      <c r="A79" s="85" t="s">
        <v>514</v>
      </c>
      <c r="B79" s="189" t="s">
        <v>515</v>
      </c>
      <c r="C79" s="9" t="s">
        <v>314</v>
      </c>
      <c r="D79" s="190">
        <v>7</v>
      </c>
      <c r="E79" s="191">
        <v>65</v>
      </c>
      <c r="F79" s="192">
        <v>9</v>
      </c>
      <c r="G79" s="191">
        <v>85</v>
      </c>
      <c r="H79" s="189" t="s">
        <v>353</v>
      </c>
      <c r="I79" s="193" t="s">
        <v>354</v>
      </c>
      <c r="J79" s="82">
        <v>10</v>
      </c>
      <c r="K79" s="83">
        <v>19</v>
      </c>
      <c r="O79" s="84"/>
      <c r="P79" s="84"/>
      <c r="Q79" s="84"/>
      <c r="R79" s="84"/>
      <c r="S79" s="84"/>
      <c r="T79" s="84"/>
      <c r="U79" s="84"/>
      <c r="V79" s="84"/>
      <c r="W79" s="84"/>
      <c r="X79" s="84"/>
      <c r="Y79" s="84"/>
      <c r="Z79" s="84"/>
    </row>
    <row r="80" spans="1:26" ht="15.75" customHeight="1" x14ac:dyDescent="0.25">
      <c r="A80" s="85" t="s">
        <v>516</v>
      </c>
      <c r="B80" s="189" t="s">
        <v>515</v>
      </c>
      <c r="C80" s="9" t="s">
        <v>314</v>
      </c>
      <c r="D80" s="190">
        <v>3</v>
      </c>
      <c r="E80" s="191">
        <v>25</v>
      </c>
      <c r="F80" s="192">
        <v>8</v>
      </c>
      <c r="G80" s="191">
        <v>90</v>
      </c>
      <c r="H80" s="189" t="s">
        <v>387</v>
      </c>
      <c r="I80" s="193" t="s">
        <v>388</v>
      </c>
      <c r="J80" s="82" t="s">
        <v>305</v>
      </c>
      <c r="K80" s="83" t="s">
        <v>184</v>
      </c>
      <c r="O80" s="84"/>
      <c r="P80" s="84"/>
      <c r="Q80" s="84"/>
      <c r="R80" s="84"/>
      <c r="S80" s="84"/>
      <c r="T80" s="84"/>
      <c r="U80" s="84"/>
      <c r="V80" s="84"/>
      <c r="W80" s="84"/>
      <c r="X80" s="84"/>
      <c r="Y80" s="84"/>
      <c r="Z80" s="84"/>
    </row>
    <row r="81" spans="1:26" ht="15.75" customHeight="1" x14ac:dyDescent="0.25">
      <c r="A81" s="85" t="s">
        <v>517</v>
      </c>
      <c r="B81" s="189" t="s">
        <v>515</v>
      </c>
      <c r="C81" s="9" t="s">
        <v>314</v>
      </c>
      <c r="D81" s="190">
        <v>5</v>
      </c>
      <c r="E81" s="191">
        <v>50</v>
      </c>
      <c r="F81" s="192">
        <v>8</v>
      </c>
      <c r="G81" s="191">
        <v>90</v>
      </c>
      <c r="H81" s="189" t="s">
        <v>518</v>
      </c>
      <c r="I81" s="193" t="s">
        <v>518</v>
      </c>
      <c r="J81" s="82" t="s">
        <v>305</v>
      </c>
      <c r="K81" s="83" t="s">
        <v>184</v>
      </c>
      <c r="O81" s="84"/>
      <c r="P81" s="84"/>
      <c r="Q81" s="84"/>
      <c r="R81" s="84"/>
      <c r="S81" s="84"/>
      <c r="T81" s="84"/>
      <c r="U81" s="84"/>
      <c r="V81" s="84"/>
      <c r="W81" s="84"/>
      <c r="X81" s="84"/>
      <c r="Y81" s="84"/>
      <c r="Z81" s="84"/>
    </row>
    <row r="82" spans="1:26" ht="15.75" customHeight="1" x14ac:dyDescent="0.25">
      <c r="A82" s="85" t="s">
        <v>519</v>
      </c>
      <c r="B82" s="189" t="s">
        <v>335</v>
      </c>
      <c r="C82" s="9" t="s">
        <v>303</v>
      </c>
      <c r="D82" s="190">
        <v>14</v>
      </c>
      <c r="E82" s="191">
        <v>140</v>
      </c>
      <c r="F82" s="192">
        <v>6</v>
      </c>
      <c r="G82" s="191">
        <v>100</v>
      </c>
      <c r="H82" s="189" t="s">
        <v>520</v>
      </c>
      <c r="I82" s="193" t="s">
        <v>520</v>
      </c>
      <c r="J82" s="82" t="s">
        <v>305</v>
      </c>
      <c r="K82" s="83" t="s">
        <v>184</v>
      </c>
      <c r="O82" s="84"/>
      <c r="P82" s="84"/>
      <c r="Q82" s="84"/>
      <c r="R82" s="84"/>
      <c r="S82" s="84"/>
      <c r="T82" s="84"/>
      <c r="U82" s="84"/>
      <c r="V82" s="84"/>
      <c r="W82" s="84"/>
      <c r="X82" s="84"/>
      <c r="Y82" s="84"/>
      <c r="Z82" s="84"/>
    </row>
    <row r="83" spans="1:26" ht="15.75" customHeight="1" x14ac:dyDescent="0.25">
      <c r="A83" s="85" t="s">
        <v>521</v>
      </c>
      <c r="B83" s="189" t="s">
        <v>331</v>
      </c>
      <c r="C83" s="9" t="s">
        <v>314</v>
      </c>
      <c r="D83" s="190">
        <v>9</v>
      </c>
      <c r="E83" s="191">
        <v>85</v>
      </c>
      <c r="F83" s="192">
        <v>9</v>
      </c>
      <c r="G83" s="191">
        <v>85</v>
      </c>
      <c r="H83" s="189" t="s">
        <v>522</v>
      </c>
      <c r="I83" s="193" t="s">
        <v>523</v>
      </c>
      <c r="J83" s="82">
        <v>30</v>
      </c>
      <c r="K83" s="83">
        <v>15</v>
      </c>
      <c r="O83" s="84"/>
      <c r="P83" s="84"/>
      <c r="Q83" s="84"/>
      <c r="R83" s="84"/>
      <c r="S83" s="84"/>
      <c r="T83" s="84"/>
      <c r="U83" s="84"/>
      <c r="V83" s="84"/>
      <c r="W83" s="84"/>
      <c r="X83" s="84"/>
      <c r="Y83" s="84"/>
      <c r="Z83" s="84"/>
    </row>
    <row r="84" spans="1:26" ht="15.75" customHeight="1" x14ac:dyDescent="0.25">
      <c r="A84" s="85" t="s">
        <v>524</v>
      </c>
      <c r="B84" s="189" t="s">
        <v>377</v>
      </c>
      <c r="C84" s="9" t="s">
        <v>303</v>
      </c>
      <c r="D84" s="190">
        <v>9</v>
      </c>
      <c r="E84" s="191">
        <v>90</v>
      </c>
      <c r="F84" s="192">
        <v>6</v>
      </c>
      <c r="G84" s="191">
        <v>100</v>
      </c>
      <c r="H84" s="189" t="s">
        <v>310</v>
      </c>
      <c r="I84" s="193" t="s">
        <v>311</v>
      </c>
      <c r="J84" s="82" t="s">
        <v>305</v>
      </c>
      <c r="K84" s="83" t="s">
        <v>184</v>
      </c>
      <c r="O84" s="84"/>
      <c r="P84" s="84"/>
      <c r="Q84" s="84"/>
      <c r="R84" s="84"/>
      <c r="S84" s="84"/>
      <c r="T84" s="84"/>
      <c r="U84" s="84"/>
      <c r="V84" s="84"/>
      <c r="W84" s="84"/>
      <c r="X84" s="84"/>
      <c r="Y84" s="84"/>
      <c r="Z84" s="84"/>
    </row>
    <row r="85" spans="1:26" ht="15.75" customHeight="1" x14ac:dyDescent="0.25">
      <c r="A85" s="85" t="s">
        <v>525</v>
      </c>
      <c r="B85" s="189" t="s">
        <v>309</v>
      </c>
      <c r="C85" s="9" t="s">
        <v>314</v>
      </c>
      <c r="D85" s="190">
        <v>4</v>
      </c>
      <c r="E85" s="191">
        <v>40</v>
      </c>
      <c r="F85" s="192">
        <v>6</v>
      </c>
      <c r="G85" s="191">
        <v>100</v>
      </c>
      <c r="H85" s="189"/>
      <c r="I85" s="193" t="s">
        <v>184</v>
      </c>
      <c r="J85" s="82" t="s">
        <v>305</v>
      </c>
      <c r="K85" s="83" t="s">
        <v>184</v>
      </c>
      <c r="O85" s="84"/>
      <c r="P85" s="84"/>
      <c r="Q85" s="84"/>
      <c r="R85" s="84"/>
      <c r="S85" s="84"/>
      <c r="T85" s="84"/>
      <c r="U85" s="84"/>
      <c r="V85" s="84"/>
      <c r="W85" s="84"/>
      <c r="X85" s="84"/>
      <c r="Y85" s="84"/>
      <c r="Z85" s="84"/>
    </row>
    <row r="86" spans="1:26" ht="15.75" customHeight="1" x14ac:dyDescent="0.25">
      <c r="A86" s="85" t="s">
        <v>526</v>
      </c>
      <c r="B86" s="189" t="s">
        <v>331</v>
      </c>
      <c r="C86" s="9" t="s">
        <v>314</v>
      </c>
      <c r="D86" s="190">
        <v>12</v>
      </c>
      <c r="E86" s="191">
        <v>120</v>
      </c>
      <c r="F86" s="192">
        <v>6</v>
      </c>
      <c r="G86" s="191">
        <v>100</v>
      </c>
      <c r="H86" s="189" t="s">
        <v>527</v>
      </c>
      <c r="I86" s="193" t="s">
        <v>528</v>
      </c>
      <c r="J86" s="82" t="s">
        <v>305</v>
      </c>
      <c r="K86" s="83" t="s">
        <v>184</v>
      </c>
      <c r="O86" s="84"/>
      <c r="P86" s="84"/>
      <c r="Q86" s="84"/>
      <c r="R86" s="84"/>
      <c r="S86" s="84"/>
      <c r="T86" s="84"/>
      <c r="U86" s="84"/>
      <c r="V86" s="84"/>
      <c r="W86" s="84"/>
      <c r="X86" s="84"/>
      <c r="Y86" s="84"/>
      <c r="Z86" s="84"/>
    </row>
    <row r="87" spans="1:26" ht="15.75" customHeight="1" x14ac:dyDescent="0.25">
      <c r="A87" s="85" t="s">
        <v>529</v>
      </c>
      <c r="B87" s="189" t="s">
        <v>530</v>
      </c>
      <c r="C87" s="9" t="s">
        <v>314</v>
      </c>
      <c r="D87" s="190">
        <v>6</v>
      </c>
      <c r="E87" s="191">
        <v>60</v>
      </c>
      <c r="F87" s="192">
        <v>6</v>
      </c>
      <c r="G87" s="191">
        <v>100</v>
      </c>
      <c r="H87" s="189" t="s">
        <v>531</v>
      </c>
      <c r="I87" s="193" t="s">
        <v>532</v>
      </c>
      <c r="J87" s="82">
        <v>100</v>
      </c>
      <c r="K87" s="83">
        <v>1</v>
      </c>
      <c r="O87" s="84"/>
      <c r="P87" s="84"/>
      <c r="Q87" s="84"/>
      <c r="R87" s="84"/>
      <c r="S87" s="84"/>
      <c r="T87" s="84"/>
      <c r="U87" s="84"/>
      <c r="V87" s="84"/>
      <c r="W87" s="84"/>
      <c r="X87" s="84"/>
      <c r="Y87" s="84"/>
      <c r="Z87" s="84"/>
    </row>
    <row r="88" spans="1:26" ht="15.75" customHeight="1" x14ac:dyDescent="0.25">
      <c r="A88" s="85" t="s">
        <v>533</v>
      </c>
      <c r="B88" s="189" t="s">
        <v>335</v>
      </c>
      <c r="C88" s="9" t="s">
        <v>305</v>
      </c>
      <c r="D88" s="190" t="s">
        <v>304</v>
      </c>
      <c r="E88" s="191" t="s">
        <v>305</v>
      </c>
      <c r="F88" s="192" t="s">
        <v>304</v>
      </c>
      <c r="G88" s="191" t="s">
        <v>305</v>
      </c>
      <c r="H88" s="189" t="s">
        <v>534</v>
      </c>
      <c r="I88" s="193" t="s">
        <v>534</v>
      </c>
      <c r="J88" s="82" t="s">
        <v>305</v>
      </c>
      <c r="K88" s="83" t="s">
        <v>184</v>
      </c>
      <c r="O88" s="84"/>
      <c r="P88" s="84"/>
      <c r="Q88" s="84"/>
      <c r="R88" s="84"/>
      <c r="S88" s="84"/>
      <c r="T88" s="84"/>
      <c r="U88" s="84"/>
      <c r="V88" s="84"/>
      <c r="W88" s="84"/>
      <c r="X88" s="84"/>
      <c r="Y88" s="84"/>
      <c r="Z88" s="84"/>
    </row>
    <row r="89" spans="1:26" ht="15.75" customHeight="1" x14ac:dyDescent="0.25">
      <c r="A89" s="85" t="s">
        <v>535</v>
      </c>
      <c r="B89" s="189" t="s">
        <v>356</v>
      </c>
      <c r="C89" s="9" t="s">
        <v>314</v>
      </c>
      <c r="D89" s="190">
        <v>8</v>
      </c>
      <c r="E89" s="191">
        <v>75</v>
      </c>
      <c r="F89" s="192">
        <v>6</v>
      </c>
      <c r="G89" s="191">
        <v>100</v>
      </c>
      <c r="H89" s="189" t="s">
        <v>536</v>
      </c>
      <c r="I89" s="193" t="s">
        <v>537</v>
      </c>
      <c r="J89" s="82" t="s">
        <v>305</v>
      </c>
      <c r="K89" s="83" t="s">
        <v>184</v>
      </c>
      <c r="O89" s="84"/>
      <c r="P89" s="84"/>
      <c r="Q89" s="84"/>
      <c r="R89" s="84"/>
      <c r="S89" s="84"/>
      <c r="T89" s="84"/>
      <c r="U89" s="84"/>
      <c r="V89" s="84"/>
      <c r="W89" s="84"/>
      <c r="X89" s="84"/>
      <c r="Y89" s="84"/>
      <c r="Z89" s="84"/>
    </row>
    <row r="90" spans="1:26" ht="15.75" customHeight="1" x14ac:dyDescent="0.25">
      <c r="A90" s="85" t="s">
        <v>538</v>
      </c>
      <c r="B90" s="189" t="s">
        <v>377</v>
      </c>
      <c r="C90" s="9" t="s">
        <v>303</v>
      </c>
      <c r="D90" s="190">
        <v>7</v>
      </c>
      <c r="E90" s="191">
        <v>65</v>
      </c>
      <c r="F90" s="192">
        <v>6</v>
      </c>
      <c r="G90" s="191">
        <v>100</v>
      </c>
      <c r="H90" s="189" t="s">
        <v>539</v>
      </c>
      <c r="I90" s="193" t="s">
        <v>540</v>
      </c>
      <c r="J90" s="82" t="s">
        <v>305</v>
      </c>
      <c r="K90" s="83" t="s">
        <v>184</v>
      </c>
      <c r="O90" s="84"/>
      <c r="P90" s="84"/>
      <c r="Q90" s="84"/>
      <c r="R90" s="84"/>
      <c r="S90" s="84"/>
      <c r="T90" s="84"/>
      <c r="U90" s="84"/>
      <c r="V90" s="84"/>
      <c r="W90" s="84"/>
      <c r="X90" s="84"/>
      <c r="Y90" s="84"/>
      <c r="Z90" s="84"/>
    </row>
    <row r="91" spans="1:26" ht="15.75" customHeight="1" x14ac:dyDescent="0.25">
      <c r="A91" s="85" t="s">
        <v>541</v>
      </c>
      <c r="B91" s="189" t="s">
        <v>403</v>
      </c>
      <c r="C91" s="9" t="s">
        <v>314</v>
      </c>
      <c r="D91" s="190">
        <v>6</v>
      </c>
      <c r="E91" s="191">
        <v>60</v>
      </c>
      <c r="F91" s="192">
        <v>6</v>
      </c>
      <c r="G91" s="191">
        <v>100</v>
      </c>
      <c r="H91" s="189" t="s">
        <v>542</v>
      </c>
      <c r="I91" s="193" t="s">
        <v>543</v>
      </c>
      <c r="J91" s="82" t="s">
        <v>305</v>
      </c>
      <c r="K91" s="83" t="s">
        <v>184</v>
      </c>
      <c r="O91" s="84"/>
      <c r="P91" s="84"/>
      <c r="Q91" s="84"/>
      <c r="R91" s="84"/>
      <c r="S91" s="84"/>
      <c r="T91" s="84"/>
      <c r="U91" s="84"/>
      <c r="V91" s="84"/>
      <c r="W91" s="84"/>
      <c r="X91" s="84"/>
      <c r="Y91" s="84"/>
      <c r="Z91" s="84"/>
    </row>
    <row r="92" spans="1:26" ht="15.75" customHeight="1" x14ac:dyDescent="0.25">
      <c r="A92" s="85" t="s">
        <v>544</v>
      </c>
      <c r="B92" s="189" t="s">
        <v>377</v>
      </c>
      <c r="C92" s="9" t="s">
        <v>303</v>
      </c>
      <c r="D92" s="190">
        <v>4</v>
      </c>
      <c r="E92" s="191">
        <v>40</v>
      </c>
      <c r="F92" s="192">
        <v>6</v>
      </c>
      <c r="G92" s="191">
        <v>100</v>
      </c>
      <c r="H92" s="189" t="s">
        <v>545</v>
      </c>
      <c r="I92" s="193" t="s">
        <v>546</v>
      </c>
      <c r="J92" s="82">
        <v>10</v>
      </c>
      <c r="K92" s="83">
        <v>19</v>
      </c>
      <c r="O92" s="84"/>
      <c r="P92" s="84"/>
      <c r="Q92" s="84"/>
      <c r="R92" s="84"/>
      <c r="S92" s="84"/>
      <c r="T92" s="84"/>
      <c r="U92" s="84"/>
      <c r="V92" s="84"/>
      <c r="W92" s="84"/>
      <c r="X92" s="84"/>
      <c r="Y92" s="84"/>
      <c r="Z92" s="84"/>
    </row>
    <row r="93" spans="1:26" ht="15.75" customHeight="1" x14ac:dyDescent="0.25">
      <c r="A93" s="85" t="s">
        <v>547</v>
      </c>
      <c r="B93" s="189" t="s">
        <v>377</v>
      </c>
      <c r="C93" s="9" t="s">
        <v>303</v>
      </c>
      <c r="D93" s="190">
        <v>7</v>
      </c>
      <c r="E93" s="191">
        <v>65</v>
      </c>
      <c r="F93" s="192">
        <v>6</v>
      </c>
      <c r="G93" s="191">
        <v>100</v>
      </c>
      <c r="H93" s="189" t="s">
        <v>545</v>
      </c>
      <c r="I93" s="193" t="s">
        <v>546</v>
      </c>
      <c r="J93" s="82">
        <v>10</v>
      </c>
      <c r="K93" s="83">
        <v>19</v>
      </c>
      <c r="O93" s="84"/>
      <c r="P93" s="84"/>
      <c r="Q93" s="84"/>
      <c r="R93" s="84"/>
      <c r="S93" s="84"/>
      <c r="T93" s="84"/>
      <c r="U93" s="84"/>
      <c r="V93" s="84"/>
      <c r="W93" s="84"/>
      <c r="X93" s="84"/>
      <c r="Y93" s="84"/>
      <c r="Z93" s="84"/>
    </row>
    <row r="94" spans="1:26" ht="15.75" customHeight="1" x14ac:dyDescent="0.25">
      <c r="A94" s="85" t="s">
        <v>548</v>
      </c>
      <c r="B94" s="189" t="s">
        <v>411</v>
      </c>
      <c r="C94" s="9" t="s">
        <v>314</v>
      </c>
      <c r="D94" s="190">
        <v>6</v>
      </c>
      <c r="E94" s="191">
        <v>60</v>
      </c>
      <c r="F94" s="192">
        <v>6</v>
      </c>
      <c r="G94" s="191">
        <v>100</v>
      </c>
      <c r="H94" s="189" t="s">
        <v>549</v>
      </c>
      <c r="I94" s="193" t="s">
        <v>550</v>
      </c>
      <c r="J94" s="82" t="s">
        <v>305</v>
      </c>
      <c r="K94" s="83" t="s">
        <v>184</v>
      </c>
      <c r="O94" s="84"/>
      <c r="P94" s="84"/>
      <c r="Q94" s="84"/>
      <c r="R94" s="84"/>
      <c r="S94" s="84"/>
      <c r="T94" s="84"/>
      <c r="U94" s="84"/>
      <c r="V94" s="84"/>
      <c r="W94" s="84"/>
      <c r="X94" s="84"/>
      <c r="Y94" s="84"/>
      <c r="Z94" s="84"/>
    </row>
    <row r="95" spans="1:26" ht="15.75" customHeight="1" x14ac:dyDescent="0.25">
      <c r="A95" s="85" t="s">
        <v>551</v>
      </c>
      <c r="B95" s="189" t="s">
        <v>411</v>
      </c>
      <c r="C95" s="9" t="s">
        <v>303</v>
      </c>
      <c r="D95" s="190">
        <v>9</v>
      </c>
      <c r="E95" s="191">
        <v>90</v>
      </c>
      <c r="F95" s="192">
        <v>6</v>
      </c>
      <c r="G95" s="191">
        <v>100</v>
      </c>
      <c r="H95" s="189" t="s">
        <v>319</v>
      </c>
      <c r="I95" s="193" t="s">
        <v>320</v>
      </c>
      <c r="J95" s="82">
        <v>10</v>
      </c>
      <c r="K95" s="83">
        <v>19</v>
      </c>
      <c r="O95" s="84"/>
      <c r="P95" s="84"/>
      <c r="Q95" s="84"/>
      <c r="R95" s="84"/>
      <c r="S95" s="84"/>
      <c r="T95" s="84"/>
      <c r="U95" s="84"/>
      <c r="V95" s="84"/>
      <c r="W95" s="84"/>
      <c r="X95" s="84"/>
      <c r="Y95" s="84"/>
      <c r="Z95" s="84"/>
    </row>
    <row r="96" spans="1:26" ht="15.75" customHeight="1" x14ac:dyDescent="0.25">
      <c r="A96" s="85" t="s">
        <v>552</v>
      </c>
      <c r="B96" s="189" t="s">
        <v>356</v>
      </c>
      <c r="C96" s="9" t="s">
        <v>322</v>
      </c>
      <c r="D96" s="190" t="s">
        <v>304</v>
      </c>
      <c r="E96" s="191" t="s">
        <v>305</v>
      </c>
      <c r="F96" s="192" t="s">
        <v>304</v>
      </c>
      <c r="G96" s="191" t="s">
        <v>305</v>
      </c>
      <c r="H96" s="189" t="s">
        <v>553</v>
      </c>
      <c r="I96" s="193" t="s">
        <v>554</v>
      </c>
      <c r="J96" s="82" t="s">
        <v>305</v>
      </c>
      <c r="K96" s="83" t="s">
        <v>184</v>
      </c>
      <c r="O96" s="84"/>
      <c r="P96" s="84"/>
      <c r="Q96" s="84"/>
      <c r="R96" s="84"/>
      <c r="S96" s="84"/>
      <c r="T96" s="84"/>
      <c r="U96" s="84"/>
      <c r="V96" s="84"/>
      <c r="W96" s="84"/>
      <c r="X96" s="84"/>
      <c r="Y96" s="84"/>
      <c r="Z96" s="84"/>
    </row>
    <row r="97" spans="1:26" ht="15.75" customHeight="1" x14ac:dyDescent="0.25">
      <c r="A97" s="85" t="s">
        <v>555</v>
      </c>
      <c r="B97" s="189" t="s">
        <v>515</v>
      </c>
      <c r="C97" s="9" t="s">
        <v>314</v>
      </c>
      <c r="D97" s="190">
        <v>6</v>
      </c>
      <c r="E97" s="191">
        <v>60</v>
      </c>
      <c r="F97" s="192">
        <v>6</v>
      </c>
      <c r="G97" s="191">
        <v>100</v>
      </c>
      <c r="H97" s="189" t="s">
        <v>556</v>
      </c>
      <c r="I97" s="193" t="s">
        <v>557</v>
      </c>
      <c r="J97" s="82">
        <v>100</v>
      </c>
      <c r="K97" s="83">
        <v>1</v>
      </c>
      <c r="O97" s="84"/>
      <c r="P97" s="84"/>
      <c r="Q97" s="84"/>
      <c r="R97" s="84"/>
      <c r="S97" s="84"/>
      <c r="T97" s="84"/>
      <c r="U97" s="84"/>
      <c r="V97" s="84"/>
      <c r="W97" s="84"/>
      <c r="X97" s="84"/>
      <c r="Y97" s="84"/>
      <c r="Z97" s="84"/>
    </row>
    <row r="98" spans="1:26" ht="15.75" customHeight="1" x14ac:dyDescent="0.25">
      <c r="A98" s="85" t="s">
        <v>558</v>
      </c>
      <c r="B98" s="189" t="s">
        <v>367</v>
      </c>
      <c r="C98" s="9" t="s">
        <v>314</v>
      </c>
      <c r="D98" s="190">
        <v>4</v>
      </c>
      <c r="E98" s="191">
        <v>40</v>
      </c>
      <c r="F98" s="192">
        <v>6</v>
      </c>
      <c r="G98" s="191">
        <v>100</v>
      </c>
      <c r="H98" s="189" t="s">
        <v>315</v>
      </c>
      <c r="I98" s="193" t="s">
        <v>316</v>
      </c>
      <c r="J98" s="82" t="s">
        <v>305</v>
      </c>
      <c r="K98" s="83" t="s">
        <v>184</v>
      </c>
      <c r="O98" s="84"/>
      <c r="P98" s="84"/>
      <c r="Q98" s="84"/>
      <c r="R98" s="84"/>
      <c r="S98" s="84"/>
      <c r="T98" s="84"/>
      <c r="U98" s="84"/>
      <c r="V98" s="84"/>
      <c r="W98" s="84"/>
      <c r="X98" s="84"/>
      <c r="Y98" s="84"/>
      <c r="Z98" s="84"/>
    </row>
    <row r="99" spans="1:26" ht="15.75" customHeight="1" x14ac:dyDescent="0.25">
      <c r="A99" s="85" t="s">
        <v>559</v>
      </c>
      <c r="B99" s="189" t="s">
        <v>309</v>
      </c>
      <c r="C99" s="9" t="s">
        <v>314</v>
      </c>
      <c r="D99" s="190">
        <v>3</v>
      </c>
      <c r="E99" s="191">
        <v>25</v>
      </c>
      <c r="F99" s="192">
        <v>6</v>
      </c>
      <c r="G99" s="191">
        <v>100</v>
      </c>
      <c r="H99" s="189" t="s">
        <v>387</v>
      </c>
      <c r="I99" s="193" t="s">
        <v>388</v>
      </c>
      <c r="J99" s="82" t="s">
        <v>305</v>
      </c>
      <c r="K99" s="83" t="s">
        <v>184</v>
      </c>
      <c r="O99" s="84"/>
      <c r="P99" s="84"/>
      <c r="Q99" s="84"/>
      <c r="R99" s="84"/>
      <c r="S99" s="84"/>
      <c r="T99" s="84"/>
      <c r="U99" s="84"/>
      <c r="V99" s="84"/>
      <c r="W99" s="84"/>
      <c r="X99" s="84"/>
      <c r="Y99" s="84"/>
      <c r="Z99" s="84"/>
    </row>
    <row r="100" spans="1:26" ht="15.75" customHeight="1" x14ac:dyDescent="0.25">
      <c r="A100" s="85" t="s">
        <v>560</v>
      </c>
      <c r="B100" s="189" t="s">
        <v>390</v>
      </c>
      <c r="C100" s="9" t="s">
        <v>303</v>
      </c>
      <c r="D100" s="190">
        <v>13</v>
      </c>
      <c r="E100" s="191">
        <v>130</v>
      </c>
      <c r="F100" s="192">
        <v>6</v>
      </c>
      <c r="G100" s="191">
        <v>100</v>
      </c>
      <c r="H100" s="189" t="s">
        <v>561</v>
      </c>
      <c r="I100" s="193" t="s">
        <v>562</v>
      </c>
      <c r="J100" s="82" t="s">
        <v>305</v>
      </c>
      <c r="K100" s="83" t="s">
        <v>184</v>
      </c>
      <c r="O100" s="84"/>
      <c r="P100" s="84"/>
      <c r="Q100" s="84"/>
      <c r="R100" s="84"/>
      <c r="S100" s="84"/>
      <c r="T100" s="84"/>
      <c r="U100" s="84"/>
      <c r="V100" s="84"/>
      <c r="W100" s="84"/>
      <c r="X100" s="84"/>
      <c r="Y100" s="84"/>
      <c r="Z100" s="84"/>
    </row>
    <row r="101" spans="1:26" ht="15.75" customHeight="1" x14ac:dyDescent="0.25">
      <c r="A101" s="85" t="s">
        <v>563</v>
      </c>
      <c r="B101" s="189" t="s">
        <v>390</v>
      </c>
      <c r="C101" s="9" t="s">
        <v>322</v>
      </c>
      <c r="D101" s="190" t="s">
        <v>304</v>
      </c>
      <c r="E101" s="191" t="s">
        <v>305</v>
      </c>
      <c r="F101" s="192">
        <v>24.4</v>
      </c>
      <c r="G101" s="191">
        <v>8</v>
      </c>
      <c r="H101" s="189"/>
      <c r="I101" s="193" t="s">
        <v>184</v>
      </c>
      <c r="J101" s="82" t="s">
        <v>305</v>
      </c>
      <c r="K101" s="83" t="s">
        <v>184</v>
      </c>
      <c r="O101" s="84"/>
      <c r="P101" s="84"/>
      <c r="Q101" s="84"/>
      <c r="R101" s="84"/>
      <c r="S101" s="84"/>
      <c r="T101" s="84"/>
      <c r="U101" s="84"/>
      <c r="V101" s="84"/>
      <c r="W101" s="84"/>
      <c r="X101" s="84"/>
      <c r="Y101" s="84"/>
      <c r="Z101" s="84"/>
    </row>
    <row r="102" spans="1:26" ht="15.75" customHeight="1" x14ac:dyDescent="0.25">
      <c r="A102" s="85" t="s">
        <v>564</v>
      </c>
      <c r="B102" s="189" t="s">
        <v>390</v>
      </c>
      <c r="C102" s="9" t="s">
        <v>303</v>
      </c>
      <c r="D102" s="190">
        <v>7</v>
      </c>
      <c r="E102" s="191">
        <v>70</v>
      </c>
      <c r="F102" s="192">
        <v>6</v>
      </c>
      <c r="G102" s="191">
        <v>100</v>
      </c>
      <c r="H102" s="189" t="s">
        <v>565</v>
      </c>
      <c r="I102" s="193" t="s">
        <v>565</v>
      </c>
      <c r="J102" s="82" t="s">
        <v>305</v>
      </c>
      <c r="K102" s="83" t="s">
        <v>184</v>
      </c>
      <c r="O102" s="84"/>
      <c r="P102" s="84"/>
      <c r="Q102" s="84"/>
      <c r="R102" s="84"/>
      <c r="S102" s="84"/>
      <c r="T102" s="84"/>
      <c r="U102" s="84"/>
      <c r="V102" s="84"/>
      <c r="W102" s="84"/>
      <c r="X102" s="84"/>
      <c r="Y102" s="84"/>
      <c r="Z102" s="84"/>
    </row>
    <row r="103" spans="1:26" ht="15.75" customHeight="1" x14ac:dyDescent="0.25">
      <c r="A103" s="85" t="s">
        <v>566</v>
      </c>
      <c r="B103" s="189" t="s">
        <v>302</v>
      </c>
      <c r="C103" s="9" t="s">
        <v>303</v>
      </c>
      <c r="D103" s="190">
        <v>9</v>
      </c>
      <c r="E103" s="191">
        <v>90</v>
      </c>
      <c r="F103" s="192">
        <v>6</v>
      </c>
      <c r="G103" s="191">
        <v>100</v>
      </c>
      <c r="H103" s="189" t="s">
        <v>567</v>
      </c>
      <c r="I103" s="193" t="s">
        <v>568</v>
      </c>
      <c r="J103" s="82">
        <v>100</v>
      </c>
      <c r="K103" s="83">
        <v>1</v>
      </c>
      <c r="O103" s="84"/>
      <c r="P103" s="84"/>
      <c r="Q103" s="84"/>
      <c r="R103" s="84"/>
      <c r="S103" s="84"/>
      <c r="T103" s="84"/>
      <c r="U103" s="84"/>
      <c r="V103" s="84"/>
      <c r="W103" s="84"/>
      <c r="X103" s="84"/>
      <c r="Y103" s="84"/>
      <c r="Z103" s="84"/>
    </row>
    <row r="104" spans="1:26" ht="15.75" customHeight="1" x14ac:dyDescent="0.25">
      <c r="A104" s="85" t="s">
        <v>569</v>
      </c>
      <c r="B104" s="189" t="s">
        <v>348</v>
      </c>
      <c r="C104" s="9" t="s">
        <v>322</v>
      </c>
      <c r="D104" s="190" t="s">
        <v>304</v>
      </c>
      <c r="E104" s="191" t="s">
        <v>305</v>
      </c>
      <c r="F104" s="192" t="s">
        <v>304</v>
      </c>
      <c r="G104" s="191" t="s">
        <v>305</v>
      </c>
      <c r="H104" s="189" t="s">
        <v>570</v>
      </c>
      <c r="I104" s="193" t="s">
        <v>571</v>
      </c>
      <c r="J104" s="82" t="s">
        <v>305</v>
      </c>
      <c r="K104" s="83" t="s">
        <v>184</v>
      </c>
      <c r="O104" s="84"/>
      <c r="P104" s="84"/>
      <c r="Q104" s="84"/>
      <c r="R104" s="84"/>
      <c r="S104" s="84"/>
      <c r="T104" s="84"/>
      <c r="U104" s="84"/>
      <c r="V104" s="84"/>
      <c r="W104" s="84"/>
      <c r="X104" s="84"/>
      <c r="Y104" s="84"/>
      <c r="Z104" s="84"/>
    </row>
    <row r="105" spans="1:26" ht="15.75" customHeight="1" x14ac:dyDescent="0.25">
      <c r="A105" s="85" t="s">
        <v>572</v>
      </c>
      <c r="B105" s="189" t="s">
        <v>335</v>
      </c>
      <c r="C105" s="9" t="s">
        <v>322</v>
      </c>
      <c r="D105" s="190" t="s">
        <v>304</v>
      </c>
      <c r="E105" s="191" t="s">
        <v>305</v>
      </c>
      <c r="F105" s="192" t="s">
        <v>304</v>
      </c>
      <c r="G105" s="191" t="s">
        <v>305</v>
      </c>
      <c r="H105" s="189" t="s">
        <v>573</v>
      </c>
      <c r="I105" s="193" t="s">
        <v>574</v>
      </c>
      <c r="J105" s="82" t="s">
        <v>305</v>
      </c>
      <c r="K105" s="83" t="s">
        <v>184</v>
      </c>
      <c r="O105" s="84"/>
      <c r="P105" s="84"/>
      <c r="Q105" s="84"/>
      <c r="R105" s="84"/>
      <c r="S105" s="84"/>
      <c r="T105" s="84"/>
      <c r="U105" s="84"/>
      <c r="V105" s="84"/>
      <c r="W105" s="84"/>
      <c r="X105" s="84"/>
      <c r="Y105" s="84"/>
      <c r="Z105" s="84"/>
    </row>
    <row r="106" spans="1:26" ht="15.75" customHeight="1" x14ac:dyDescent="0.25">
      <c r="A106" s="85" t="s">
        <v>575</v>
      </c>
      <c r="B106" s="189" t="s">
        <v>335</v>
      </c>
      <c r="C106" s="9" t="s">
        <v>322</v>
      </c>
      <c r="D106" s="190" t="s">
        <v>304</v>
      </c>
      <c r="E106" s="191" t="s">
        <v>305</v>
      </c>
      <c r="F106" s="192">
        <v>6</v>
      </c>
      <c r="G106" s="191">
        <v>100</v>
      </c>
      <c r="H106" s="189" t="s">
        <v>576</v>
      </c>
      <c r="I106" s="193" t="s">
        <v>577</v>
      </c>
      <c r="J106" s="82" t="s">
        <v>305</v>
      </c>
      <c r="K106" s="83" t="s">
        <v>184</v>
      </c>
      <c r="O106" s="84"/>
      <c r="P106" s="84"/>
      <c r="Q106" s="84"/>
      <c r="R106" s="84"/>
      <c r="S106" s="84"/>
      <c r="T106" s="84"/>
      <c r="U106" s="84"/>
      <c r="V106" s="84"/>
      <c r="W106" s="84"/>
      <c r="X106" s="84"/>
      <c r="Y106" s="84"/>
      <c r="Z106" s="84"/>
    </row>
    <row r="107" spans="1:26" ht="15.75" customHeight="1" x14ac:dyDescent="0.25">
      <c r="A107" s="85" t="s">
        <v>578</v>
      </c>
      <c r="B107" s="189" t="s">
        <v>302</v>
      </c>
      <c r="C107" s="9" t="s">
        <v>314</v>
      </c>
      <c r="D107" s="190">
        <v>21</v>
      </c>
      <c r="E107" s="191">
        <v>210</v>
      </c>
      <c r="F107" s="192" t="s">
        <v>304</v>
      </c>
      <c r="G107" s="191" t="s">
        <v>305</v>
      </c>
      <c r="H107" s="189" t="s">
        <v>579</v>
      </c>
      <c r="I107" s="193" t="s">
        <v>579</v>
      </c>
      <c r="J107" s="82" t="s">
        <v>305</v>
      </c>
      <c r="K107" s="83" t="s">
        <v>184</v>
      </c>
      <c r="O107" s="84"/>
      <c r="P107" s="84"/>
      <c r="Q107" s="84"/>
      <c r="R107" s="84"/>
      <c r="S107" s="84"/>
      <c r="T107" s="84"/>
      <c r="U107" s="84"/>
      <c r="V107" s="84"/>
      <c r="W107" s="84"/>
      <c r="X107" s="84"/>
      <c r="Y107" s="84"/>
      <c r="Z107" s="84"/>
    </row>
    <row r="108" spans="1:26" ht="15.75" customHeight="1" x14ac:dyDescent="0.25">
      <c r="A108" s="85" t="s">
        <v>580</v>
      </c>
      <c r="B108" s="189" t="s">
        <v>403</v>
      </c>
      <c r="C108" s="9" t="s">
        <v>314</v>
      </c>
      <c r="D108" s="190">
        <v>7</v>
      </c>
      <c r="E108" s="191">
        <v>65</v>
      </c>
      <c r="F108" s="192">
        <v>8</v>
      </c>
      <c r="G108" s="191">
        <v>90</v>
      </c>
      <c r="H108" s="189" t="s">
        <v>581</v>
      </c>
      <c r="I108" s="193" t="s">
        <v>582</v>
      </c>
      <c r="J108" s="82" t="s">
        <v>305</v>
      </c>
      <c r="K108" s="83" t="s">
        <v>184</v>
      </c>
      <c r="O108" s="84"/>
      <c r="P108" s="84"/>
      <c r="Q108" s="84"/>
      <c r="R108" s="84"/>
      <c r="S108" s="84"/>
      <c r="T108" s="84"/>
      <c r="U108" s="84"/>
      <c r="V108" s="84"/>
      <c r="W108" s="84"/>
      <c r="X108" s="84"/>
      <c r="Y108" s="84"/>
      <c r="Z108" s="84"/>
    </row>
    <row r="109" spans="1:26" ht="15.75" customHeight="1" x14ac:dyDescent="0.25">
      <c r="A109" s="85" t="s">
        <v>583</v>
      </c>
      <c r="B109" s="189" t="s">
        <v>335</v>
      </c>
      <c r="C109" s="9" t="s">
        <v>322</v>
      </c>
      <c r="D109" s="190" t="s">
        <v>304</v>
      </c>
      <c r="E109" s="191" t="s">
        <v>305</v>
      </c>
      <c r="F109" s="192" t="s">
        <v>304</v>
      </c>
      <c r="G109" s="191" t="s">
        <v>305</v>
      </c>
      <c r="H109" s="189" t="s">
        <v>584</v>
      </c>
      <c r="I109" s="193" t="s">
        <v>585</v>
      </c>
      <c r="J109" s="82" t="s">
        <v>305</v>
      </c>
      <c r="K109" s="83" t="s">
        <v>184</v>
      </c>
      <c r="O109" s="84"/>
      <c r="P109" s="84"/>
      <c r="Q109" s="84"/>
      <c r="R109" s="84"/>
      <c r="S109" s="84"/>
      <c r="T109" s="84"/>
      <c r="U109" s="84"/>
      <c r="V109" s="84"/>
      <c r="W109" s="84"/>
      <c r="X109" s="84"/>
      <c r="Y109" s="84"/>
      <c r="Z109" s="84"/>
    </row>
    <row r="110" spans="1:26" ht="15.75" customHeight="1" x14ac:dyDescent="0.25">
      <c r="A110" s="85" t="s">
        <v>586</v>
      </c>
      <c r="B110" s="189" t="s">
        <v>302</v>
      </c>
      <c r="C110" s="9" t="s">
        <v>322</v>
      </c>
      <c r="D110" s="190" t="s">
        <v>304</v>
      </c>
      <c r="E110" s="191" t="s">
        <v>305</v>
      </c>
      <c r="F110" s="192" t="s">
        <v>304</v>
      </c>
      <c r="G110" s="191" t="s">
        <v>305</v>
      </c>
      <c r="H110" s="189" t="s">
        <v>587</v>
      </c>
      <c r="I110" s="193" t="s">
        <v>588</v>
      </c>
      <c r="J110" s="82" t="s">
        <v>305</v>
      </c>
      <c r="K110" s="83" t="s">
        <v>184</v>
      </c>
      <c r="O110" s="84"/>
      <c r="P110" s="84"/>
      <c r="Q110" s="84"/>
      <c r="R110" s="84"/>
      <c r="S110" s="84"/>
      <c r="T110" s="84"/>
      <c r="U110" s="84"/>
      <c r="V110" s="84"/>
      <c r="W110" s="84"/>
      <c r="X110" s="84"/>
      <c r="Y110" s="84"/>
      <c r="Z110" s="84"/>
    </row>
    <row r="111" spans="1:26" ht="15.75" customHeight="1" x14ac:dyDescent="0.25">
      <c r="A111" s="85" t="s">
        <v>589</v>
      </c>
      <c r="B111" s="189" t="s">
        <v>302</v>
      </c>
      <c r="C111" s="9" t="s">
        <v>303</v>
      </c>
      <c r="D111" s="190">
        <v>5</v>
      </c>
      <c r="E111" s="191">
        <v>50</v>
      </c>
      <c r="F111" s="192">
        <v>8</v>
      </c>
      <c r="G111" s="191">
        <v>90</v>
      </c>
      <c r="H111" s="189" t="s">
        <v>590</v>
      </c>
      <c r="I111" s="193" t="s">
        <v>591</v>
      </c>
      <c r="J111" s="82">
        <v>70</v>
      </c>
      <c r="K111" s="83">
        <v>7</v>
      </c>
      <c r="O111" s="84"/>
      <c r="P111" s="84"/>
      <c r="Q111" s="84"/>
      <c r="R111" s="84"/>
      <c r="S111" s="84"/>
      <c r="T111" s="84"/>
      <c r="U111" s="84"/>
      <c r="V111" s="84"/>
      <c r="W111" s="84"/>
      <c r="X111" s="84"/>
      <c r="Y111" s="84"/>
      <c r="Z111" s="84"/>
    </row>
    <row r="112" spans="1:26" ht="15.75" customHeight="1" x14ac:dyDescent="0.25">
      <c r="A112" s="85" t="s">
        <v>592</v>
      </c>
      <c r="B112" s="189" t="s">
        <v>359</v>
      </c>
      <c r="C112" s="9" t="s">
        <v>322</v>
      </c>
      <c r="D112" s="190" t="s">
        <v>304</v>
      </c>
      <c r="E112" s="191" t="s">
        <v>305</v>
      </c>
      <c r="F112" s="192">
        <v>6</v>
      </c>
      <c r="G112" s="191">
        <v>100</v>
      </c>
      <c r="H112" s="189" t="s">
        <v>593</v>
      </c>
      <c r="I112" s="193" t="s">
        <v>594</v>
      </c>
      <c r="J112" s="82" t="s">
        <v>305</v>
      </c>
      <c r="K112" s="83" t="s">
        <v>184</v>
      </c>
      <c r="O112" s="84"/>
      <c r="P112" s="84"/>
      <c r="Q112" s="84"/>
      <c r="R112" s="84"/>
      <c r="S112" s="84"/>
      <c r="T112" s="84"/>
      <c r="U112" s="84"/>
      <c r="V112" s="84"/>
      <c r="W112" s="84"/>
      <c r="X112" s="84"/>
      <c r="Y112" s="84"/>
      <c r="Z112" s="84"/>
    </row>
    <row r="113" spans="1:26" ht="15.75" customHeight="1" x14ac:dyDescent="0.25">
      <c r="A113" s="85" t="s">
        <v>595</v>
      </c>
      <c r="B113" s="189" t="s">
        <v>331</v>
      </c>
      <c r="C113" s="9" t="s">
        <v>303</v>
      </c>
      <c r="D113" s="190">
        <v>7</v>
      </c>
      <c r="E113" s="191">
        <v>65</v>
      </c>
      <c r="F113" s="192">
        <v>6</v>
      </c>
      <c r="G113" s="191">
        <v>100</v>
      </c>
      <c r="H113" s="189" t="s">
        <v>596</v>
      </c>
      <c r="I113" s="193" t="s">
        <v>597</v>
      </c>
      <c r="J113" s="82">
        <v>100</v>
      </c>
      <c r="K113" s="83">
        <v>1</v>
      </c>
      <c r="O113" s="84"/>
      <c r="P113" s="84"/>
      <c r="Q113" s="84"/>
      <c r="R113" s="84"/>
      <c r="S113" s="84"/>
      <c r="T113" s="84"/>
      <c r="U113" s="84"/>
      <c r="V113" s="84"/>
      <c r="W113" s="84"/>
      <c r="X113" s="84"/>
      <c r="Y113" s="84"/>
      <c r="Z113" s="84"/>
    </row>
    <row r="114" spans="1:26" ht="15.75" customHeight="1" x14ac:dyDescent="0.25">
      <c r="A114" s="85" t="s">
        <v>598</v>
      </c>
      <c r="B114" s="189" t="s">
        <v>377</v>
      </c>
      <c r="C114" s="9" t="s">
        <v>303</v>
      </c>
      <c r="D114" s="190">
        <v>5</v>
      </c>
      <c r="E114" s="191">
        <v>50</v>
      </c>
      <c r="F114" s="192">
        <v>6</v>
      </c>
      <c r="G114" s="191">
        <v>100</v>
      </c>
      <c r="H114" s="189" t="s">
        <v>599</v>
      </c>
      <c r="I114" s="193" t="s">
        <v>600</v>
      </c>
      <c r="J114" s="82" t="s">
        <v>305</v>
      </c>
      <c r="K114" s="83" t="s">
        <v>184</v>
      </c>
      <c r="O114" s="84"/>
      <c r="P114" s="84"/>
      <c r="Q114" s="84"/>
      <c r="R114" s="84"/>
      <c r="S114" s="84"/>
      <c r="T114" s="84"/>
      <c r="U114" s="84"/>
      <c r="V114" s="84"/>
      <c r="W114" s="84"/>
      <c r="X114" s="84"/>
      <c r="Y114" s="84"/>
      <c r="Z114" s="84"/>
    </row>
    <row r="115" spans="1:26" ht="15.75" customHeight="1" x14ac:dyDescent="0.25">
      <c r="A115" s="85" t="s">
        <v>601</v>
      </c>
      <c r="B115" s="189" t="s">
        <v>419</v>
      </c>
      <c r="C115" s="9" t="s">
        <v>322</v>
      </c>
      <c r="D115" s="190" t="s">
        <v>304</v>
      </c>
      <c r="E115" s="191" t="s">
        <v>305</v>
      </c>
      <c r="F115" s="192" t="s">
        <v>304</v>
      </c>
      <c r="G115" s="191" t="s">
        <v>305</v>
      </c>
      <c r="H115" s="189" t="s">
        <v>602</v>
      </c>
      <c r="I115" s="193" t="s">
        <v>603</v>
      </c>
      <c r="J115" s="82" t="s">
        <v>305</v>
      </c>
      <c r="K115" s="83" t="s">
        <v>184</v>
      </c>
      <c r="O115" s="84"/>
      <c r="P115" s="84"/>
      <c r="Q115" s="84"/>
      <c r="R115" s="84"/>
      <c r="S115" s="84"/>
      <c r="T115" s="84"/>
      <c r="U115" s="84"/>
      <c r="V115" s="84"/>
      <c r="W115" s="84"/>
      <c r="X115" s="84"/>
      <c r="Y115" s="84"/>
      <c r="Z115" s="84"/>
    </row>
    <row r="116" spans="1:26" ht="15.75" customHeight="1" x14ac:dyDescent="0.25">
      <c r="A116" s="85" t="s">
        <v>604</v>
      </c>
      <c r="B116" s="189" t="s">
        <v>335</v>
      </c>
      <c r="C116" s="9" t="s">
        <v>314</v>
      </c>
      <c r="D116" s="190">
        <v>7</v>
      </c>
      <c r="E116" s="191">
        <v>70</v>
      </c>
      <c r="F116" s="192">
        <v>6</v>
      </c>
      <c r="G116" s="191">
        <v>100</v>
      </c>
      <c r="H116" s="189" t="s">
        <v>605</v>
      </c>
      <c r="I116" s="193" t="s">
        <v>606</v>
      </c>
      <c r="J116" s="82" t="s">
        <v>305</v>
      </c>
      <c r="K116" s="83" t="s">
        <v>184</v>
      </c>
      <c r="O116" s="84"/>
      <c r="P116" s="84"/>
      <c r="Q116" s="84"/>
      <c r="R116" s="84"/>
      <c r="S116" s="84"/>
      <c r="T116" s="84"/>
      <c r="U116" s="84"/>
      <c r="V116" s="84"/>
      <c r="W116" s="84"/>
      <c r="X116" s="84"/>
      <c r="Y116" s="84"/>
      <c r="Z116" s="84"/>
    </row>
    <row r="117" spans="1:26" ht="15.75" customHeight="1" x14ac:dyDescent="0.25">
      <c r="A117" s="85" t="s">
        <v>607</v>
      </c>
      <c r="B117" s="189" t="s">
        <v>309</v>
      </c>
      <c r="C117" s="9" t="s">
        <v>303</v>
      </c>
      <c r="D117" s="190">
        <v>15</v>
      </c>
      <c r="E117" s="191">
        <v>150</v>
      </c>
      <c r="F117" s="192">
        <v>7</v>
      </c>
      <c r="G117" s="191">
        <v>95</v>
      </c>
      <c r="H117" s="189" t="s">
        <v>527</v>
      </c>
      <c r="I117" s="193" t="s">
        <v>608</v>
      </c>
      <c r="J117" s="82" t="s">
        <v>305</v>
      </c>
      <c r="K117" s="83" t="s">
        <v>184</v>
      </c>
      <c r="O117" s="84"/>
      <c r="P117" s="84"/>
      <c r="Q117" s="84"/>
      <c r="R117" s="84"/>
      <c r="S117" s="84"/>
      <c r="T117" s="84"/>
      <c r="U117" s="84"/>
      <c r="V117" s="84"/>
      <c r="W117" s="84"/>
      <c r="X117" s="84"/>
      <c r="Y117" s="84"/>
      <c r="Z117" s="84"/>
    </row>
    <row r="118" spans="1:26" ht="15.75" customHeight="1" x14ac:dyDescent="0.25">
      <c r="A118" s="85" t="s">
        <v>609</v>
      </c>
      <c r="B118" s="189" t="s">
        <v>356</v>
      </c>
      <c r="C118" s="9" t="s">
        <v>314</v>
      </c>
      <c r="D118" s="190">
        <v>6</v>
      </c>
      <c r="E118" s="191">
        <v>60</v>
      </c>
      <c r="F118" s="192">
        <v>8</v>
      </c>
      <c r="G118" s="191">
        <v>90</v>
      </c>
      <c r="H118" s="189" t="s">
        <v>610</v>
      </c>
      <c r="I118" s="193" t="s">
        <v>611</v>
      </c>
      <c r="J118" s="82" t="s">
        <v>305</v>
      </c>
      <c r="K118" s="83" t="s">
        <v>184</v>
      </c>
      <c r="O118" s="84"/>
      <c r="P118" s="84"/>
      <c r="Q118" s="84"/>
      <c r="R118" s="84"/>
      <c r="S118" s="84"/>
      <c r="T118" s="84"/>
      <c r="U118" s="84"/>
      <c r="V118" s="84"/>
      <c r="W118" s="84"/>
      <c r="X118" s="84"/>
      <c r="Y118" s="84"/>
      <c r="Z118" s="84"/>
    </row>
    <row r="119" spans="1:26" ht="15.75" customHeight="1" x14ac:dyDescent="0.25">
      <c r="A119" s="85" t="s">
        <v>612</v>
      </c>
      <c r="B119" s="189" t="s">
        <v>377</v>
      </c>
      <c r="C119" s="9" t="s">
        <v>314</v>
      </c>
      <c r="D119" s="190">
        <v>4</v>
      </c>
      <c r="E119" s="191">
        <v>35</v>
      </c>
      <c r="F119" s="192">
        <v>9</v>
      </c>
      <c r="G119" s="191">
        <v>85</v>
      </c>
      <c r="H119" s="189" t="s">
        <v>474</v>
      </c>
      <c r="I119" s="193" t="s">
        <v>475</v>
      </c>
      <c r="J119" s="82">
        <v>100</v>
      </c>
      <c r="K119" s="83">
        <v>1</v>
      </c>
      <c r="O119" s="84"/>
      <c r="P119" s="84"/>
      <c r="Q119" s="84"/>
      <c r="R119" s="84"/>
      <c r="S119" s="84"/>
      <c r="T119" s="84"/>
      <c r="U119" s="84"/>
      <c r="V119" s="84"/>
      <c r="W119" s="84"/>
      <c r="X119" s="84"/>
      <c r="Y119" s="84"/>
      <c r="Z119" s="84"/>
    </row>
    <row r="120" spans="1:26" ht="15.75" customHeight="1" x14ac:dyDescent="0.25">
      <c r="A120" s="85" t="s">
        <v>613</v>
      </c>
      <c r="B120" s="189" t="s">
        <v>530</v>
      </c>
      <c r="C120" s="9" t="s">
        <v>303</v>
      </c>
      <c r="D120" s="190">
        <v>11</v>
      </c>
      <c r="E120" s="191">
        <v>110</v>
      </c>
      <c r="F120" s="192">
        <v>6</v>
      </c>
      <c r="G120" s="191">
        <v>100</v>
      </c>
      <c r="H120" s="189" t="s">
        <v>614</v>
      </c>
      <c r="I120" s="193" t="s">
        <v>615</v>
      </c>
      <c r="J120" s="82">
        <v>100</v>
      </c>
      <c r="K120" s="83">
        <v>1</v>
      </c>
      <c r="O120" s="84"/>
      <c r="P120" s="84"/>
      <c r="Q120" s="84"/>
      <c r="R120" s="84"/>
      <c r="S120" s="84"/>
      <c r="T120" s="84"/>
      <c r="U120" s="84"/>
      <c r="V120" s="84"/>
      <c r="W120" s="84"/>
      <c r="X120" s="84"/>
      <c r="Y120" s="84"/>
      <c r="Z120" s="84"/>
    </row>
    <row r="121" spans="1:26" ht="15.75" customHeight="1" x14ac:dyDescent="0.25">
      <c r="A121" s="85" t="s">
        <v>616</v>
      </c>
      <c r="B121" s="189" t="s">
        <v>530</v>
      </c>
      <c r="C121" s="9" t="s">
        <v>322</v>
      </c>
      <c r="D121" s="190" t="s">
        <v>304</v>
      </c>
      <c r="E121" s="191" t="s">
        <v>305</v>
      </c>
      <c r="F121" s="192">
        <v>6</v>
      </c>
      <c r="G121" s="191">
        <v>100</v>
      </c>
      <c r="H121" s="189" t="s">
        <v>617</v>
      </c>
      <c r="I121" s="193" t="s">
        <v>618</v>
      </c>
      <c r="J121" s="82">
        <v>100</v>
      </c>
      <c r="K121" s="83">
        <v>1</v>
      </c>
      <c r="O121" s="84"/>
      <c r="P121" s="84"/>
      <c r="Q121" s="84"/>
      <c r="R121" s="84"/>
      <c r="S121" s="84"/>
      <c r="T121" s="84"/>
      <c r="U121" s="84"/>
      <c r="V121" s="84"/>
      <c r="W121" s="84"/>
      <c r="X121" s="84"/>
      <c r="Y121" s="84"/>
      <c r="Z121" s="84"/>
    </row>
    <row r="122" spans="1:26" ht="15.75" customHeight="1" x14ac:dyDescent="0.25">
      <c r="A122" s="85" t="s">
        <v>619</v>
      </c>
      <c r="B122" s="189" t="s">
        <v>530</v>
      </c>
      <c r="C122" s="9" t="s">
        <v>303</v>
      </c>
      <c r="D122" s="190">
        <v>19</v>
      </c>
      <c r="E122" s="191">
        <v>185</v>
      </c>
      <c r="F122" s="192" t="s">
        <v>304</v>
      </c>
      <c r="G122" s="191" t="s">
        <v>305</v>
      </c>
      <c r="H122" s="189" t="s">
        <v>620</v>
      </c>
      <c r="I122" s="193" t="s">
        <v>620</v>
      </c>
      <c r="J122" s="82" t="s">
        <v>305</v>
      </c>
      <c r="K122" s="83" t="s">
        <v>184</v>
      </c>
      <c r="O122" s="84"/>
      <c r="P122" s="84"/>
      <c r="Q122" s="84"/>
      <c r="R122" s="84"/>
      <c r="S122" s="84"/>
      <c r="T122" s="84"/>
      <c r="U122" s="84"/>
      <c r="V122" s="84"/>
      <c r="W122" s="84"/>
      <c r="X122" s="84"/>
      <c r="Y122" s="84"/>
      <c r="Z122" s="84"/>
    </row>
    <row r="123" spans="1:26" ht="15.75" customHeight="1" x14ac:dyDescent="0.25">
      <c r="A123" s="85" t="s">
        <v>621</v>
      </c>
      <c r="B123" s="189" t="s">
        <v>318</v>
      </c>
      <c r="C123" s="9" t="s">
        <v>303</v>
      </c>
      <c r="D123" s="190">
        <v>5</v>
      </c>
      <c r="E123" s="191">
        <v>50</v>
      </c>
      <c r="F123" s="192" t="s">
        <v>304</v>
      </c>
      <c r="G123" s="191" t="s">
        <v>305</v>
      </c>
      <c r="H123" s="189" t="s">
        <v>622</v>
      </c>
      <c r="I123" s="193" t="s">
        <v>623</v>
      </c>
      <c r="J123" s="82" t="s">
        <v>305</v>
      </c>
      <c r="K123" s="83" t="s">
        <v>184</v>
      </c>
      <c r="O123" s="84"/>
      <c r="P123" s="84"/>
      <c r="Q123" s="84"/>
      <c r="R123" s="84"/>
      <c r="S123" s="84"/>
      <c r="T123" s="84"/>
      <c r="U123" s="84"/>
      <c r="V123" s="84"/>
      <c r="W123" s="84"/>
      <c r="X123" s="84"/>
      <c r="Y123" s="84"/>
      <c r="Z123" s="84"/>
    </row>
    <row r="124" spans="1:26" ht="15.75" customHeight="1" x14ac:dyDescent="0.25">
      <c r="A124" s="85" t="s">
        <v>624</v>
      </c>
      <c r="B124" s="189" t="s">
        <v>356</v>
      </c>
      <c r="C124" s="9" t="s">
        <v>314</v>
      </c>
      <c r="D124" s="190">
        <v>12</v>
      </c>
      <c r="E124" s="191">
        <v>120</v>
      </c>
      <c r="F124" s="192">
        <v>6</v>
      </c>
      <c r="G124" s="191">
        <v>100</v>
      </c>
      <c r="H124" s="189" t="s">
        <v>391</v>
      </c>
      <c r="I124" s="193" t="s">
        <v>625</v>
      </c>
      <c r="J124" s="82">
        <v>100</v>
      </c>
      <c r="K124" s="83">
        <v>1</v>
      </c>
      <c r="O124" s="84"/>
      <c r="P124" s="84"/>
      <c r="Q124" s="84"/>
      <c r="R124" s="84"/>
      <c r="S124" s="84"/>
      <c r="T124" s="84"/>
      <c r="U124" s="84"/>
      <c r="V124" s="84"/>
      <c r="W124" s="84"/>
      <c r="X124" s="84"/>
      <c r="Y124" s="84"/>
      <c r="Z124" s="84"/>
    </row>
    <row r="125" spans="1:26" ht="15.75" customHeight="1" x14ac:dyDescent="0.25">
      <c r="A125" s="85" t="s">
        <v>626</v>
      </c>
      <c r="B125" s="189" t="s">
        <v>356</v>
      </c>
      <c r="C125" s="9" t="s">
        <v>322</v>
      </c>
      <c r="D125" s="190" t="s">
        <v>304</v>
      </c>
      <c r="E125" s="191" t="s">
        <v>305</v>
      </c>
      <c r="F125" s="192" t="s">
        <v>304</v>
      </c>
      <c r="G125" s="191" t="s">
        <v>305</v>
      </c>
      <c r="H125" s="189" t="s">
        <v>627</v>
      </c>
      <c r="I125" s="193" t="s">
        <v>628</v>
      </c>
      <c r="J125" s="82" t="s">
        <v>305</v>
      </c>
      <c r="K125" s="83" t="s">
        <v>184</v>
      </c>
      <c r="O125" s="84"/>
      <c r="P125" s="84"/>
      <c r="Q125" s="84"/>
      <c r="R125" s="84"/>
      <c r="S125" s="84"/>
      <c r="T125" s="84"/>
      <c r="U125" s="84"/>
      <c r="V125" s="84"/>
      <c r="W125" s="84"/>
      <c r="X125" s="84"/>
      <c r="Y125" s="84"/>
      <c r="Z125" s="84"/>
    </row>
    <row r="126" spans="1:26" ht="15.75" customHeight="1" x14ac:dyDescent="0.25">
      <c r="A126" s="85" t="s">
        <v>629</v>
      </c>
      <c r="B126" s="189" t="s">
        <v>318</v>
      </c>
      <c r="C126" s="9" t="s">
        <v>322</v>
      </c>
      <c r="D126" s="190" t="s">
        <v>304</v>
      </c>
      <c r="E126" s="191" t="s">
        <v>305</v>
      </c>
      <c r="F126" s="192" t="s">
        <v>304</v>
      </c>
      <c r="G126" s="191" t="s">
        <v>305</v>
      </c>
      <c r="H126" s="189" t="s">
        <v>630</v>
      </c>
      <c r="I126" s="193" t="s">
        <v>631</v>
      </c>
      <c r="J126" s="82" t="s">
        <v>305</v>
      </c>
      <c r="K126" s="83" t="s">
        <v>184</v>
      </c>
      <c r="O126" s="84"/>
      <c r="P126" s="84"/>
      <c r="Q126" s="84"/>
      <c r="R126" s="84"/>
      <c r="S126" s="84"/>
      <c r="T126" s="84"/>
      <c r="U126" s="84"/>
      <c r="V126" s="84"/>
      <c r="W126" s="84"/>
      <c r="X126" s="84"/>
      <c r="Y126" s="84"/>
      <c r="Z126" s="84"/>
    </row>
    <row r="127" spans="1:26" ht="15.75" customHeight="1" x14ac:dyDescent="0.25">
      <c r="A127" s="85" t="s">
        <v>632</v>
      </c>
      <c r="B127" s="189" t="s">
        <v>356</v>
      </c>
      <c r="C127" s="9" t="s">
        <v>314</v>
      </c>
      <c r="D127" s="190">
        <v>10</v>
      </c>
      <c r="E127" s="191">
        <v>100</v>
      </c>
      <c r="F127" s="192">
        <v>6</v>
      </c>
      <c r="G127" s="191">
        <v>100</v>
      </c>
      <c r="H127" s="189" t="s">
        <v>633</v>
      </c>
      <c r="I127" s="193" t="s">
        <v>634</v>
      </c>
      <c r="J127" s="82" t="s">
        <v>305</v>
      </c>
      <c r="K127" s="83" t="s">
        <v>184</v>
      </c>
      <c r="O127" s="84"/>
      <c r="P127" s="84"/>
      <c r="Q127" s="84"/>
      <c r="R127" s="84"/>
      <c r="S127" s="84"/>
      <c r="T127" s="84"/>
      <c r="U127" s="84"/>
      <c r="V127" s="84"/>
      <c r="W127" s="84"/>
      <c r="X127" s="84"/>
      <c r="Y127" s="84"/>
      <c r="Z127" s="84"/>
    </row>
    <row r="128" spans="1:26" ht="15.75" customHeight="1" x14ac:dyDescent="0.25">
      <c r="A128" s="85" t="s">
        <v>635</v>
      </c>
      <c r="B128" s="189" t="s">
        <v>356</v>
      </c>
      <c r="C128" s="9" t="s">
        <v>314</v>
      </c>
      <c r="D128" s="190">
        <v>10</v>
      </c>
      <c r="E128" s="191">
        <v>100</v>
      </c>
      <c r="F128" s="192">
        <v>6</v>
      </c>
      <c r="G128" s="191">
        <v>100</v>
      </c>
      <c r="H128" s="189"/>
      <c r="I128" s="193" t="s">
        <v>184</v>
      </c>
      <c r="J128" s="82" t="s">
        <v>305</v>
      </c>
      <c r="K128" s="83" t="s">
        <v>184</v>
      </c>
      <c r="O128" s="84"/>
      <c r="P128" s="84"/>
      <c r="Q128" s="84"/>
      <c r="R128" s="84"/>
      <c r="S128" s="84"/>
      <c r="T128" s="84"/>
      <c r="U128" s="84"/>
      <c r="V128" s="84"/>
      <c r="W128" s="84"/>
      <c r="X128" s="84"/>
      <c r="Y128" s="84"/>
      <c r="Z128" s="84"/>
    </row>
    <row r="129" spans="1:26" ht="15.75" customHeight="1" x14ac:dyDescent="0.25">
      <c r="A129" s="85" t="s">
        <v>636</v>
      </c>
      <c r="B129" s="189" t="s">
        <v>335</v>
      </c>
      <c r="C129" s="9" t="s">
        <v>314</v>
      </c>
      <c r="D129" s="190">
        <v>2</v>
      </c>
      <c r="E129" s="191">
        <v>18</v>
      </c>
      <c r="F129" s="192">
        <v>9</v>
      </c>
      <c r="G129" s="191">
        <v>85</v>
      </c>
      <c r="H129" s="189" t="s">
        <v>387</v>
      </c>
      <c r="I129" s="193" t="s">
        <v>388</v>
      </c>
      <c r="J129" s="82" t="s">
        <v>305</v>
      </c>
      <c r="K129" s="83" t="s">
        <v>184</v>
      </c>
      <c r="O129" s="84"/>
      <c r="P129" s="84"/>
      <c r="Q129" s="84"/>
      <c r="R129" s="84"/>
      <c r="S129" s="84"/>
      <c r="T129" s="84"/>
      <c r="U129" s="84"/>
      <c r="V129" s="84"/>
      <c r="W129" s="84"/>
      <c r="X129" s="84"/>
      <c r="Y129" s="84"/>
      <c r="Z129" s="84"/>
    </row>
    <row r="130" spans="1:26" ht="15.75" customHeight="1" x14ac:dyDescent="0.25">
      <c r="A130" s="85" t="s">
        <v>637</v>
      </c>
      <c r="B130" s="189" t="s">
        <v>403</v>
      </c>
      <c r="C130" s="9" t="s">
        <v>314</v>
      </c>
      <c r="D130" s="190">
        <v>0</v>
      </c>
      <c r="E130" s="191">
        <v>1</v>
      </c>
      <c r="F130" s="192">
        <v>6</v>
      </c>
      <c r="G130" s="191">
        <v>100</v>
      </c>
      <c r="H130" s="189" t="s">
        <v>638</v>
      </c>
      <c r="I130" s="193" t="s">
        <v>639</v>
      </c>
      <c r="J130" s="82" t="s">
        <v>305</v>
      </c>
      <c r="K130" s="83" t="s">
        <v>184</v>
      </c>
      <c r="O130" s="84"/>
      <c r="P130" s="84"/>
      <c r="Q130" s="84"/>
      <c r="R130" s="84"/>
      <c r="S130" s="84"/>
      <c r="T130" s="84"/>
      <c r="U130" s="84"/>
      <c r="V130" s="84"/>
      <c r="W130" s="84"/>
      <c r="X130" s="84"/>
      <c r="Y130" s="84"/>
      <c r="Z130" s="84"/>
    </row>
    <row r="131" spans="1:26" ht="15.75" customHeight="1" x14ac:dyDescent="0.25">
      <c r="A131" s="85" t="s">
        <v>640</v>
      </c>
      <c r="B131" s="189" t="s">
        <v>335</v>
      </c>
      <c r="C131" s="9" t="s">
        <v>322</v>
      </c>
      <c r="D131" s="190" t="s">
        <v>304</v>
      </c>
      <c r="E131" s="191" t="s">
        <v>305</v>
      </c>
      <c r="F131" s="192" t="s">
        <v>304</v>
      </c>
      <c r="G131" s="191" t="s">
        <v>305</v>
      </c>
      <c r="H131" s="189" t="s">
        <v>641</v>
      </c>
      <c r="I131" s="193" t="s">
        <v>642</v>
      </c>
      <c r="J131" s="82">
        <v>100</v>
      </c>
      <c r="K131" s="83">
        <v>1</v>
      </c>
      <c r="O131" s="84"/>
      <c r="P131" s="84"/>
      <c r="Q131" s="84"/>
      <c r="R131" s="84"/>
      <c r="S131" s="84"/>
      <c r="T131" s="84"/>
      <c r="U131" s="84"/>
      <c r="V131" s="84"/>
      <c r="W131" s="84"/>
      <c r="X131" s="84"/>
      <c r="Y131" s="84"/>
      <c r="Z131" s="84"/>
    </row>
    <row r="132" spans="1:26" ht="15.75" customHeight="1" x14ac:dyDescent="0.25">
      <c r="A132" s="85" t="s">
        <v>643</v>
      </c>
      <c r="B132" s="189" t="s">
        <v>407</v>
      </c>
      <c r="C132" s="9" t="s">
        <v>322</v>
      </c>
      <c r="D132" s="190" t="s">
        <v>304</v>
      </c>
      <c r="E132" s="191" t="s">
        <v>305</v>
      </c>
      <c r="F132" s="192">
        <v>6</v>
      </c>
      <c r="G132" s="191">
        <v>100</v>
      </c>
      <c r="H132" s="189" t="s">
        <v>596</v>
      </c>
      <c r="I132" s="193" t="s">
        <v>597</v>
      </c>
      <c r="J132" s="82" t="s">
        <v>305</v>
      </c>
      <c r="K132" s="83" t="s">
        <v>184</v>
      </c>
      <c r="O132" s="84"/>
      <c r="P132" s="84"/>
      <c r="Q132" s="84"/>
      <c r="R132" s="84"/>
      <c r="S132" s="84"/>
      <c r="T132" s="84"/>
      <c r="U132" s="84"/>
      <c r="V132" s="84"/>
      <c r="W132" s="84"/>
      <c r="X132" s="84"/>
      <c r="Y132" s="84"/>
      <c r="Z132" s="84"/>
    </row>
    <row r="133" spans="1:26" ht="15.75" customHeight="1" x14ac:dyDescent="0.25">
      <c r="A133" s="85" t="s">
        <v>114</v>
      </c>
      <c r="B133" s="189" t="s">
        <v>348</v>
      </c>
      <c r="C133" s="9" t="s">
        <v>303</v>
      </c>
      <c r="D133" s="190">
        <v>5</v>
      </c>
      <c r="E133" s="191">
        <v>50</v>
      </c>
      <c r="F133" s="192">
        <v>6</v>
      </c>
      <c r="G133" s="191">
        <v>100</v>
      </c>
      <c r="H133" s="189" t="s">
        <v>644</v>
      </c>
      <c r="I133" s="193" t="s">
        <v>645</v>
      </c>
      <c r="J133" s="82">
        <v>10</v>
      </c>
      <c r="K133" s="83">
        <v>19</v>
      </c>
      <c r="O133" s="84"/>
      <c r="P133" s="84"/>
      <c r="Q133" s="84"/>
      <c r="R133" s="84"/>
      <c r="S133" s="84"/>
      <c r="T133" s="84"/>
      <c r="U133" s="84"/>
      <c r="V133" s="84"/>
      <c r="W133" s="84"/>
      <c r="X133" s="84"/>
      <c r="Y133" s="84"/>
      <c r="Z133" s="84"/>
    </row>
    <row r="134" spans="1:26" ht="15.75" customHeight="1" x14ac:dyDescent="0.25">
      <c r="A134" s="85" t="s">
        <v>646</v>
      </c>
      <c r="B134" s="189" t="s">
        <v>335</v>
      </c>
      <c r="C134" s="9" t="s">
        <v>314</v>
      </c>
      <c r="D134" s="190">
        <v>1</v>
      </c>
      <c r="E134" s="191">
        <v>10</v>
      </c>
      <c r="F134" s="192">
        <v>6</v>
      </c>
      <c r="G134" s="191">
        <v>100</v>
      </c>
      <c r="H134" s="189" t="s">
        <v>647</v>
      </c>
      <c r="I134" s="193" t="s">
        <v>546</v>
      </c>
      <c r="J134" s="82">
        <v>10</v>
      </c>
      <c r="K134" s="83">
        <v>19</v>
      </c>
      <c r="O134" s="84"/>
      <c r="P134" s="84"/>
      <c r="Q134" s="84"/>
      <c r="R134" s="84"/>
      <c r="S134" s="84"/>
      <c r="T134" s="84"/>
      <c r="U134" s="84"/>
      <c r="V134" s="84"/>
      <c r="W134" s="84"/>
      <c r="X134" s="84"/>
      <c r="Y134" s="84"/>
      <c r="Z134" s="84"/>
    </row>
    <row r="135" spans="1:26" ht="15.75" customHeight="1" x14ac:dyDescent="0.25">
      <c r="A135" s="85" t="s">
        <v>648</v>
      </c>
      <c r="B135" s="189" t="s">
        <v>313</v>
      </c>
      <c r="C135" s="9" t="s">
        <v>305</v>
      </c>
      <c r="D135" s="190" t="s">
        <v>304</v>
      </c>
      <c r="E135" s="191" t="s">
        <v>305</v>
      </c>
      <c r="F135" s="192" t="s">
        <v>304</v>
      </c>
      <c r="G135" s="191" t="s">
        <v>305</v>
      </c>
      <c r="H135" s="189" t="s">
        <v>649</v>
      </c>
      <c r="I135" s="193" t="s">
        <v>649</v>
      </c>
      <c r="J135" s="82" t="s">
        <v>305</v>
      </c>
      <c r="K135" s="83" t="s">
        <v>184</v>
      </c>
      <c r="O135" s="84"/>
      <c r="P135" s="84"/>
      <c r="Q135" s="84"/>
      <c r="R135" s="84"/>
      <c r="S135" s="84"/>
      <c r="T135" s="84"/>
      <c r="U135" s="84"/>
      <c r="V135" s="84"/>
      <c r="W135" s="84"/>
      <c r="X135" s="84"/>
      <c r="Y135" s="84"/>
      <c r="Z135" s="84"/>
    </row>
    <row r="136" spans="1:26" ht="15.75" customHeight="1" x14ac:dyDescent="0.25">
      <c r="A136" s="85" t="s">
        <v>650</v>
      </c>
      <c r="B136" s="189" t="s">
        <v>335</v>
      </c>
      <c r="C136" s="9" t="s">
        <v>322</v>
      </c>
      <c r="D136" s="190" t="s">
        <v>304</v>
      </c>
      <c r="E136" s="191" t="s">
        <v>305</v>
      </c>
      <c r="F136" s="192" t="s">
        <v>304</v>
      </c>
      <c r="G136" s="191" t="s">
        <v>305</v>
      </c>
      <c r="H136" s="189" t="s">
        <v>651</v>
      </c>
      <c r="I136" s="193" t="s">
        <v>652</v>
      </c>
      <c r="J136" s="82" t="s">
        <v>305</v>
      </c>
      <c r="K136" s="83" t="s">
        <v>184</v>
      </c>
      <c r="O136" s="84"/>
      <c r="P136" s="84"/>
      <c r="Q136" s="84"/>
      <c r="R136" s="84"/>
      <c r="S136" s="84"/>
      <c r="T136" s="84"/>
      <c r="U136" s="84"/>
      <c r="V136" s="84"/>
      <c r="W136" s="84"/>
      <c r="X136" s="84"/>
      <c r="Y136" s="84"/>
      <c r="Z136" s="84"/>
    </row>
    <row r="137" spans="1:26" ht="15.75" customHeight="1" x14ac:dyDescent="0.25">
      <c r="A137" s="85" t="s">
        <v>653</v>
      </c>
      <c r="B137" s="189" t="s">
        <v>335</v>
      </c>
      <c r="C137" s="9" t="s">
        <v>322</v>
      </c>
      <c r="D137" s="190" t="s">
        <v>304</v>
      </c>
      <c r="E137" s="191" t="s">
        <v>305</v>
      </c>
      <c r="F137" s="192" t="s">
        <v>304</v>
      </c>
      <c r="G137" s="191" t="s">
        <v>305</v>
      </c>
      <c r="H137" s="189" t="s">
        <v>654</v>
      </c>
      <c r="I137" s="193" t="s">
        <v>655</v>
      </c>
      <c r="J137" s="82" t="s">
        <v>305</v>
      </c>
      <c r="K137" s="83" t="s">
        <v>184</v>
      </c>
      <c r="O137" s="84"/>
      <c r="P137" s="84"/>
      <c r="Q137" s="84"/>
      <c r="R137" s="84"/>
      <c r="S137" s="84"/>
      <c r="T137" s="84"/>
      <c r="U137" s="84"/>
      <c r="V137" s="84"/>
      <c r="W137" s="84"/>
      <c r="X137" s="84"/>
      <c r="Y137" s="84"/>
      <c r="Z137" s="84"/>
    </row>
    <row r="138" spans="1:26" ht="15.75" customHeight="1" x14ac:dyDescent="0.25">
      <c r="A138" s="85" t="s">
        <v>656</v>
      </c>
      <c r="B138" s="189" t="s">
        <v>335</v>
      </c>
      <c r="C138" s="9" t="s">
        <v>322</v>
      </c>
      <c r="D138" s="190" t="s">
        <v>304</v>
      </c>
      <c r="E138" s="191" t="s">
        <v>305</v>
      </c>
      <c r="F138" s="192" t="s">
        <v>304</v>
      </c>
      <c r="G138" s="191" t="s">
        <v>305</v>
      </c>
      <c r="H138" s="189" t="s">
        <v>657</v>
      </c>
      <c r="I138" s="193" t="s">
        <v>657</v>
      </c>
      <c r="J138" s="82" t="s">
        <v>305</v>
      </c>
      <c r="K138" s="83" t="s">
        <v>184</v>
      </c>
      <c r="O138" s="84"/>
      <c r="P138" s="84"/>
      <c r="Q138" s="84"/>
      <c r="R138" s="84"/>
      <c r="S138" s="84"/>
      <c r="T138" s="84"/>
      <c r="U138" s="84"/>
      <c r="V138" s="84"/>
      <c r="W138" s="84"/>
      <c r="X138" s="84"/>
      <c r="Y138" s="84"/>
      <c r="Z138" s="84"/>
    </row>
    <row r="139" spans="1:26" ht="15.75" customHeight="1" x14ac:dyDescent="0.25">
      <c r="A139" s="85" t="s">
        <v>658</v>
      </c>
      <c r="B139" s="189" t="s">
        <v>530</v>
      </c>
      <c r="C139" s="9" t="s">
        <v>303</v>
      </c>
      <c r="D139" s="190">
        <v>10</v>
      </c>
      <c r="E139" s="191">
        <v>100</v>
      </c>
      <c r="F139" s="192">
        <v>6</v>
      </c>
      <c r="G139" s="191">
        <v>100</v>
      </c>
      <c r="H139" s="189" t="s">
        <v>659</v>
      </c>
      <c r="I139" s="193" t="s">
        <v>660</v>
      </c>
      <c r="J139" s="82" t="s">
        <v>305</v>
      </c>
      <c r="K139" s="83" t="s">
        <v>184</v>
      </c>
      <c r="O139" s="84"/>
      <c r="P139" s="84"/>
      <c r="Q139" s="84"/>
      <c r="R139" s="84"/>
      <c r="S139" s="84"/>
      <c r="T139" s="84"/>
      <c r="U139" s="84"/>
      <c r="V139" s="84"/>
      <c r="W139" s="84"/>
      <c r="X139" s="84"/>
      <c r="Y139" s="84"/>
      <c r="Z139" s="84"/>
    </row>
    <row r="140" spans="1:26" ht="15.75" customHeight="1" x14ac:dyDescent="0.25">
      <c r="A140" s="85" t="s">
        <v>661</v>
      </c>
      <c r="B140" s="189" t="s">
        <v>367</v>
      </c>
      <c r="C140" s="9" t="s">
        <v>305</v>
      </c>
      <c r="D140" s="190" t="s">
        <v>304</v>
      </c>
      <c r="E140" s="191" t="s">
        <v>305</v>
      </c>
      <c r="F140" s="192" t="s">
        <v>304</v>
      </c>
      <c r="G140" s="191" t="s">
        <v>305</v>
      </c>
      <c r="H140" s="189" t="s">
        <v>662</v>
      </c>
      <c r="I140" s="193" t="s">
        <v>662</v>
      </c>
      <c r="J140" s="82" t="s">
        <v>305</v>
      </c>
      <c r="K140" s="83" t="s">
        <v>184</v>
      </c>
      <c r="O140" s="84"/>
      <c r="P140" s="84"/>
      <c r="Q140" s="84"/>
      <c r="R140" s="84"/>
      <c r="S140" s="84"/>
      <c r="T140" s="84"/>
      <c r="U140" s="84"/>
      <c r="V140" s="84"/>
      <c r="W140" s="84"/>
      <c r="X140" s="84"/>
      <c r="Y140" s="84"/>
      <c r="Z140" s="84"/>
    </row>
    <row r="141" spans="1:26" ht="15.75" customHeight="1" x14ac:dyDescent="0.25">
      <c r="A141" s="85" t="s">
        <v>663</v>
      </c>
      <c r="B141" s="189" t="s">
        <v>318</v>
      </c>
      <c r="C141" s="9" t="s">
        <v>322</v>
      </c>
      <c r="D141" s="190" t="s">
        <v>304</v>
      </c>
      <c r="E141" s="191" t="s">
        <v>305</v>
      </c>
      <c r="F141" s="192">
        <v>6</v>
      </c>
      <c r="G141" s="191">
        <v>100</v>
      </c>
      <c r="H141" s="189" t="s">
        <v>664</v>
      </c>
      <c r="I141" s="193" t="s">
        <v>664</v>
      </c>
      <c r="J141" s="82" t="s">
        <v>305</v>
      </c>
      <c r="K141" s="83" t="s">
        <v>184</v>
      </c>
      <c r="O141" s="84"/>
      <c r="P141" s="84"/>
      <c r="Q141" s="84"/>
      <c r="R141" s="84"/>
      <c r="S141" s="84"/>
      <c r="T141" s="84"/>
      <c r="U141" s="84"/>
      <c r="V141" s="84"/>
      <c r="W141" s="84"/>
      <c r="X141" s="84"/>
      <c r="Y141" s="84"/>
      <c r="Z141" s="84"/>
    </row>
    <row r="142" spans="1:26" ht="15.75" customHeight="1" x14ac:dyDescent="0.25">
      <c r="A142" s="85" t="s">
        <v>665</v>
      </c>
      <c r="B142" s="189" t="s">
        <v>348</v>
      </c>
      <c r="C142" s="9" t="s">
        <v>322</v>
      </c>
      <c r="D142" s="190" t="s">
        <v>304</v>
      </c>
      <c r="E142" s="191" t="s">
        <v>305</v>
      </c>
      <c r="F142" s="192" t="s">
        <v>304</v>
      </c>
      <c r="G142" s="191" t="s">
        <v>305</v>
      </c>
      <c r="H142" s="189" t="s">
        <v>666</v>
      </c>
      <c r="I142" s="193" t="s">
        <v>667</v>
      </c>
      <c r="J142" s="82" t="s">
        <v>305</v>
      </c>
      <c r="K142" s="83" t="s">
        <v>184</v>
      </c>
      <c r="O142" s="84"/>
      <c r="P142" s="84"/>
      <c r="Q142" s="84"/>
      <c r="R142" s="84"/>
      <c r="S142" s="84"/>
      <c r="T142" s="84"/>
      <c r="U142" s="84"/>
      <c r="V142" s="84"/>
      <c r="W142" s="84"/>
      <c r="X142" s="84"/>
      <c r="Y142" s="84"/>
      <c r="Z142" s="84"/>
    </row>
    <row r="143" spans="1:26" ht="15.75" customHeight="1" x14ac:dyDescent="0.25">
      <c r="A143" s="85" t="s">
        <v>668</v>
      </c>
      <c r="B143" s="189" t="s">
        <v>309</v>
      </c>
      <c r="C143" s="9" t="s">
        <v>322</v>
      </c>
      <c r="D143" s="190" t="s">
        <v>304</v>
      </c>
      <c r="E143" s="191" t="s">
        <v>305</v>
      </c>
      <c r="F143" s="192" t="s">
        <v>304</v>
      </c>
      <c r="G143" s="191" t="s">
        <v>305</v>
      </c>
      <c r="H143" s="189" t="s">
        <v>669</v>
      </c>
      <c r="I143" s="193" t="s">
        <v>447</v>
      </c>
      <c r="J143" s="82" t="s">
        <v>305</v>
      </c>
      <c r="K143" s="83" t="s">
        <v>184</v>
      </c>
      <c r="O143" s="84"/>
      <c r="P143" s="84"/>
      <c r="Q143" s="84"/>
      <c r="R143" s="84"/>
      <c r="S143" s="84"/>
      <c r="T143" s="84"/>
      <c r="U143" s="84"/>
      <c r="V143" s="84"/>
      <c r="W143" s="84"/>
      <c r="X143" s="84"/>
      <c r="Y143" s="84"/>
      <c r="Z143" s="84"/>
    </row>
    <row r="144" spans="1:26" ht="15.75" customHeight="1" x14ac:dyDescent="0.25">
      <c r="A144" s="85" t="s">
        <v>670</v>
      </c>
      <c r="B144" s="189" t="s">
        <v>309</v>
      </c>
      <c r="C144" s="9" t="s">
        <v>322</v>
      </c>
      <c r="D144" s="190" t="s">
        <v>304</v>
      </c>
      <c r="E144" s="191" t="s">
        <v>305</v>
      </c>
      <c r="F144" s="192">
        <v>6</v>
      </c>
      <c r="G144" s="191">
        <v>100</v>
      </c>
      <c r="H144" s="189" t="s">
        <v>671</v>
      </c>
      <c r="I144" s="193" t="s">
        <v>672</v>
      </c>
      <c r="J144" s="82" t="s">
        <v>305</v>
      </c>
      <c r="K144" s="83" t="s">
        <v>184</v>
      </c>
      <c r="O144" s="84"/>
      <c r="P144" s="84"/>
      <c r="Q144" s="84"/>
      <c r="R144" s="84"/>
      <c r="S144" s="84"/>
      <c r="T144" s="84"/>
      <c r="U144" s="84"/>
      <c r="V144" s="84"/>
      <c r="W144" s="84"/>
      <c r="X144" s="84"/>
      <c r="Y144" s="84"/>
      <c r="Z144" s="84"/>
    </row>
    <row r="145" spans="1:26" ht="15.75" customHeight="1" x14ac:dyDescent="0.25">
      <c r="A145" s="85" t="s">
        <v>673</v>
      </c>
      <c r="B145" s="189" t="s">
        <v>356</v>
      </c>
      <c r="C145" s="9" t="s">
        <v>314</v>
      </c>
      <c r="D145" s="190" t="s">
        <v>304</v>
      </c>
      <c r="E145" s="191" t="s">
        <v>305</v>
      </c>
      <c r="F145" s="192">
        <v>6</v>
      </c>
      <c r="G145" s="191">
        <v>100</v>
      </c>
      <c r="H145" s="189" t="s">
        <v>674</v>
      </c>
      <c r="I145" s="193" t="s">
        <v>674</v>
      </c>
      <c r="J145" s="82" t="s">
        <v>305</v>
      </c>
      <c r="K145" s="83" t="s">
        <v>184</v>
      </c>
      <c r="O145" s="84"/>
      <c r="P145" s="84"/>
      <c r="Q145" s="84"/>
      <c r="R145" s="84"/>
      <c r="S145" s="84"/>
      <c r="T145" s="84"/>
      <c r="U145" s="84"/>
      <c r="V145" s="84"/>
      <c r="W145" s="84"/>
      <c r="X145" s="84"/>
      <c r="Y145" s="84"/>
      <c r="Z145" s="84"/>
    </row>
    <row r="146" spans="1:26" ht="15.75" customHeight="1" x14ac:dyDescent="0.25">
      <c r="A146" s="85" t="s">
        <v>675</v>
      </c>
      <c r="B146" s="189" t="s">
        <v>335</v>
      </c>
      <c r="C146" s="9" t="s">
        <v>322</v>
      </c>
      <c r="D146" s="190" t="s">
        <v>304</v>
      </c>
      <c r="E146" s="191" t="s">
        <v>305</v>
      </c>
      <c r="F146" s="192">
        <v>6</v>
      </c>
      <c r="G146" s="191">
        <v>100</v>
      </c>
      <c r="H146" s="189" t="s">
        <v>676</v>
      </c>
      <c r="I146" s="193" t="s">
        <v>676</v>
      </c>
      <c r="J146" s="82" t="s">
        <v>305</v>
      </c>
      <c r="K146" s="83" t="s">
        <v>184</v>
      </c>
      <c r="O146" s="84"/>
      <c r="P146" s="84"/>
      <c r="Q146" s="84"/>
      <c r="R146" s="84"/>
      <c r="S146" s="84"/>
      <c r="T146" s="84"/>
      <c r="U146" s="84"/>
      <c r="V146" s="84"/>
      <c r="W146" s="84"/>
      <c r="X146" s="84"/>
      <c r="Y146" s="84"/>
      <c r="Z146" s="84"/>
    </row>
    <row r="147" spans="1:26" ht="15.75" customHeight="1" x14ac:dyDescent="0.25">
      <c r="A147" s="85" t="s">
        <v>677</v>
      </c>
      <c r="B147" s="189" t="s">
        <v>335</v>
      </c>
      <c r="C147" s="9" t="s">
        <v>314</v>
      </c>
      <c r="D147" s="190">
        <v>6</v>
      </c>
      <c r="E147" s="191">
        <v>60</v>
      </c>
      <c r="F147" s="192">
        <v>6</v>
      </c>
      <c r="G147" s="191">
        <v>100</v>
      </c>
      <c r="H147" s="189" t="s">
        <v>678</v>
      </c>
      <c r="I147" s="193" t="s">
        <v>679</v>
      </c>
      <c r="J147" s="82" t="s">
        <v>305</v>
      </c>
      <c r="K147" s="83" t="s">
        <v>184</v>
      </c>
      <c r="O147" s="84"/>
      <c r="P147" s="84"/>
      <c r="Q147" s="84"/>
      <c r="R147" s="84"/>
      <c r="S147" s="84"/>
      <c r="T147" s="84"/>
      <c r="U147" s="84"/>
      <c r="V147" s="84"/>
      <c r="W147" s="84"/>
      <c r="X147" s="84"/>
      <c r="Y147" s="84"/>
      <c r="Z147" s="84"/>
    </row>
    <row r="148" spans="1:26" ht="15.75" customHeight="1" x14ac:dyDescent="0.25">
      <c r="A148" s="85" t="s">
        <v>680</v>
      </c>
      <c r="B148" s="189" t="s">
        <v>377</v>
      </c>
      <c r="C148" s="9" t="s">
        <v>314</v>
      </c>
      <c r="D148" s="190">
        <v>10</v>
      </c>
      <c r="E148" s="191">
        <v>100</v>
      </c>
      <c r="F148" s="192">
        <v>8</v>
      </c>
      <c r="G148" s="191">
        <v>90</v>
      </c>
      <c r="H148" s="189" t="s">
        <v>342</v>
      </c>
      <c r="I148" s="193" t="s">
        <v>343</v>
      </c>
      <c r="J148" s="82" t="s">
        <v>305</v>
      </c>
      <c r="K148" s="83" t="s">
        <v>184</v>
      </c>
      <c r="O148" s="84"/>
      <c r="P148" s="84"/>
      <c r="Q148" s="84"/>
      <c r="R148" s="84"/>
      <c r="S148" s="84"/>
      <c r="T148" s="84"/>
      <c r="U148" s="84"/>
      <c r="V148" s="84"/>
      <c r="W148" s="84"/>
      <c r="X148" s="84"/>
      <c r="Y148" s="84"/>
      <c r="Z148" s="84"/>
    </row>
    <row r="149" spans="1:26" ht="15.75" customHeight="1" x14ac:dyDescent="0.25">
      <c r="A149" s="85" t="s">
        <v>681</v>
      </c>
      <c r="B149" s="189" t="s">
        <v>359</v>
      </c>
      <c r="C149" s="9" t="s">
        <v>322</v>
      </c>
      <c r="D149" s="190" t="s">
        <v>304</v>
      </c>
      <c r="E149" s="191" t="s">
        <v>305</v>
      </c>
      <c r="F149" s="192" t="s">
        <v>304</v>
      </c>
      <c r="G149" s="191" t="s">
        <v>305</v>
      </c>
      <c r="H149" s="189" t="s">
        <v>682</v>
      </c>
      <c r="I149" s="193" t="s">
        <v>683</v>
      </c>
      <c r="J149" s="82" t="s">
        <v>305</v>
      </c>
      <c r="K149" s="83" t="s">
        <v>184</v>
      </c>
      <c r="O149" s="84"/>
      <c r="P149" s="84"/>
      <c r="Q149" s="84"/>
      <c r="R149" s="84"/>
      <c r="S149" s="84"/>
      <c r="T149" s="84"/>
      <c r="U149" s="84"/>
      <c r="V149" s="84"/>
      <c r="W149" s="84"/>
      <c r="X149" s="84"/>
      <c r="Y149" s="84"/>
      <c r="Z149" s="84"/>
    </row>
    <row r="150" spans="1:26" ht="15.75" customHeight="1" x14ac:dyDescent="0.25">
      <c r="A150" s="85" t="s">
        <v>684</v>
      </c>
      <c r="B150" s="189" t="s">
        <v>356</v>
      </c>
      <c r="C150" s="9" t="s">
        <v>314</v>
      </c>
      <c r="D150" s="190">
        <v>10</v>
      </c>
      <c r="E150" s="191">
        <v>100</v>
      </c>
      <c r="F150" s="192">
        <v>10</v>
      </c>
      <c r="G150" s="191">
        <v>80</v>
      </c>
      <c r="H150" s="189" t="s">
        <v>342</v>
      </c>
      <c r="I150" s="193" t="s">
        <v>343</v>
      </c>
      <c r="J150" s="82" t="s">
        <v>305</v>
      </c>
      <c r="K150" s="83" t="s">
        <v>184</v>
      </c>
      <c r="O150" s="84"/>
      <c r="P150" s="84"/>
      <c r="Q150" s="84"/>
      <c r="R150" s="84"/>
      <c r="S150" s="84"/>
      <c r="T150" s="84"/>
      <c r="U150" s="84"/>
      <c r="V150" s="84"/>
      <c r="W150" s="84"/>
      <c r="X150" s="84"/>
      <c r="Y150" s="84"/>
      <c r="Z150" s="84"/>
    </row>
    <row r="151" spans="1:26" ht="15.75" customHeight="1" x14ac:dyDescent="0.25">
      <c r="A151" s="85" t="s">
        <v>685</v>
      </c>
      <c r="B151" s="189" t="s">
        <v>318</v>
      </c>
      <c r="C151" s="9" t="s">
        <v>314</v>
      </c>
      <c r="D151" s="190">
        <v>7</v>
      </c>
      <c r="E151" s="191">
        <v>70</v>
      </c>
      <c r="F151" s="192">
        <v>6</v>
      </c>
      <c r="G151" s="191">
        <v>100</v>
      </c>
      <c r="H151" s="189" t="s">
        <v>686</v>
      </c>
      <c r="I151" s="193" t="s">
        <v>687</v>
      </c>
      <c r="J151" s="82">
        <v>10</v>
      </c>
      <c r="K151" s="83">
        <v>19</v>
      </c>
      <c r="O151" s="84"/>
      <c r="P151" s="84"/>
      <c r="Q151" s="84"/>
      <c r="R151" s="84"/>
      <c r="S151" s="84"/>
      <c r="T151" s="84"/>
      <c r="U151" s="84"/>
      <c r="V151" s="84"/>
      <c r="W151" s="84"/>
      <c r="X151" s="84"/>
      <c r="Y151" s="84"/>
      <c r="Z151" s="84"/>
    </row>
    <row r="152" spans="1:26" ht="15.75" customHeight="1" x14ac:dyDescent="0.25">
      <c r="A152" s="85" t="s">
        <v>688</v>
      </c>
      <c r="B152" s="189" t="s">
        <v>403</v>
      </c>
      <c r="C152" s="9" t="s">
        <v>314</v>
      </c>
      <c r="D152" s="190">
        <v>8</v>
      </c>
      <c r="E152" s="191">
        <v>80</v>
      </c>
      <c r="F152" s="192">
        <v>6</v>
      </c>
      <c r="G152" s="191">
        <v>100</v>
      </c>
      <c r="H152" s="189" t="s">
        <v>689</v>
      </c>
      <c r="I152" s="193" t="s">
        <v>690</v>
      </c>
      <c r="J152" s="82">
        <v>20</v>
      </c>
      <c r="K152" s="83">
        <v>17</v>
      </c>
      <c r="O152" s="84"/>
      <c r="P152" s="84"/>
      <c r="Q152" s="84"/>
      <c r="R152" s="84"/>
      <c r="S152" s="84"/>
      <c r="T152" s="84"/>
      <c r="U152" s="84"/>
      <c r="V152" s="84"/>
      <c r="W152" s="84"/>
      <c r="X152" s="84"/>
      <c r="Y152" s="84"/>
      <c r="Z152" s="84"/>
    </row>
    <row r="153" spans="1:26" ht="15.75" customHeight="1" x14ac:dyDescent="0.25">
      <c r="A153" s="85" t="s">
        <v>691</v>
      </c>
      <c r="B153" s="189" t="s">
        <v>335</v>
      </c>
      <c r="C153" s="9" t="s">
        <v>314</v>
      </c>
      <c r="D153" s="190">
        <v>8</v>
      </c>
      <c r="E153" s="191">
        <v>75</v>
      </c>
      <c r="F153" s="192">
        <v>7</v>
      </c>
      <c r="G153" s="191">
        <v>95</v>
      </c>
      <c r="H153" s="189" t="s">
        <v>689</v>
      </c>
      <c r="I153" s="193" t="s">
        <v>690</v>
      </c>
      <c r="J153" s="82">
        <v>50</v>
      </c>
      <c r="K153" s="83">
        <v>11</v>
      </c>
      <c r="O153" s="84"/>
      <c r="P153" s="84"/>
      <c r="Q153" s="84"/>
      <c r="R153" s="84"/>
      <c r="S153" s="84"/>
      <c r="T153" s="84"/>
      <c r="U153" s="84"/>
      <c r="V153" s="84"/>
      <c r="W153" s="84"/>
      <c r="X153" s="84"/>
      <c r="Y153" s="84"/>
      <c r="Z153" s="84"/>
    </row>
    <row r="154" spans="1:26" ht="15.75" customHeight="1" x14ac:dyDescent="0.25">
      <c r="A154" s="85" t="s">
        <v>692</v>
      </c>
      <c r="B154" s="189" t="s">
        <v>335</v>
      </c>
      <c r="C154" s="9" t="s">
        <v>314</v>
      </c>
      <c r="D154" s="190" t="s">
        <v>304</v>
      </c>
      <c r="E154" s="191" t="s">
        <v>305</v>
      </c>
      <c r="F154" s="192">
        <v>6</v>
      </c>
      <c r="G154" s="191">
        <v>100</v>
      </c>
      <c r="H154" s="189" t="s">
        <v>693</v>
      </c>
      <c r="I154" s="193" t="s">
        <v>694</v>
      </c>
      <c r="J154" s="82" t="s">
        <v>305</v>
      </c>
      <c r="K154" s="83" t="s">
        <v>184</v>
      </c>
      <c r="O154" s="84"/>
      <c r="P154" s="84"/>
      <c r="Q154" s="84"/>
      <c r="R154" s="84"/>
      <c r="S154" s="84"/>
      <c r="T154" s="84"/>
      <c r="U154" s="84"/>
      <c r="V154" s="84"/>
      <c r="W154" s="84"/>
      <c r="X154" s="84"/>
      <c r="Y154" s="84"/>
      <c r="Z154" s="84"/>
    </row>
    <row r="155" spans="1:26" ht="15.75" customHeight="1" x14ac:dyDescent="0.25">
      <c r="A155" s="85" t="s">
        <v>117</v>
      </c>
      <c r="B155" s="189" t="s">
        <v>407</v>
      </c>
      <c r="C155" s="9" t="s">
        <v>322</v>
      </c>
      <c r="D155" s="190" t="s">
        <v>304</v>
      </c>
      <c r="E155" s="191" t="s">
        <v>305</v>
      </c>
      <c r="F155" s="192" t="s">
        <v>304</v>
      </c>
      <c r="G155" s="191" t="s">
        <v>305</v>
      </c>
      <c r="H155" s="189" t="s">
        <v>695</v>
      </c>
      <c r="I155" s="193" t="s">
        <v>696</v>
      </c>
      <c r="J155" s="82" t="s">
        <v>305</v>
      </c>
      <c r="K155" s="83" t="s">
        <v>184</v>
      </c>
      <c r="O155" s="84"/>
      <c r="P155" s="84"/>
      <c r="Q155" s="84"/>
      <c r="R155" s="84"/>
      <c r="S155" s="84"/>
      <c r="T155" s="84"/>
      <c r="U155" s="84"/>
      <c r="V155" s="84"/>
      <c r="W155" s="84"/>
      <c r="X155" s="84"/>
      <c r="Y155" s="84"/>
      <c r="Z155" s="84"/>
    </row>
    <row r="156" spans="1:26" ht="15.75" customHeight="1" x14ac:dyDescent="0.25">
      <c r="A156" s="85" t="s">
        <v>697</v>
      </c>
      <c r="B156" s="189" t="s">
        <v>335</v>
      </c>
      <c r="C156" s="9" t="s">
        <v>314</v>
      </c>
      <c r="D156" s="190">
        <v>5</v>
      </c>
      <c r="E156" s="191">
        <v>50</v>
      </c>
      <c r="F156" s="192">
        <v>7</v>
      </c>
      <c r="G156" s="191">
        <v>95</v>
      </c>
      <c r="H156" s="189"/>
      <c r="I156" s="193" t="s">
        <v>184</v>
      </c>
      <c r="J156" s="82" t="s">
        <v>305</v>
      </c>
      <c r="K156" s="83" t="s">
        <v>184</v>
      </c>
      <c r="O156" s="84"/>
      <c r="P156" s="84"/>
      <c r="Q156" s="84"/>
      <c r="R156" s="84"/>
      <c r="S156" s="84"/>
      <c r="T156" s="84"/>
      <c r="U156" s="84"/>
      <c r="V156" s="84"/>
      <c r="W156" s="84"/>
      <c r="X156" s="84"/>
      <c r="Y156" s="84"/>
      <c r="Z156" s="84"/>
    </row>
    <row r="157" spans="1:26" ht="15.75" customHeight="1" x14ac:dyDescent="0.25">
      <c r="A157" s="85" t="s">
        <v>698</v>
      </c>
      <c r="B157" s="189" t="s">
        <v>403</v>
      </c>
      <c r="C157" s="9" t="s">
        <v>303</v>
      </c>
      <c r="D157" s="190">
        <v>8</v>
      </c>
      <c r="E157" s="191">
        <v>80</v>
      </c>
      <c r="F157" s="192">
        <v>6</v>
      </c>
      <c r="G157" s="191">
        <v>100</v>
      </c>
      <c r="H157" s="189" t="s">
        <v>353</v>
      </c>
      <c r="I157" s="193" t="s">
        <v>354</v>
      </c>
      <c r="J157" s="82">
        <v>20</v>
      </c>
      <c r="K157" s="83">
        <v>17</v>
      </c>
      <c r="O157" s="84"/>
      <c r="P157" s="84"/>
      <c r="Q157" s="84"/>
      <c r="R157" s="84"/>
      <c r="S157" s="84"/>
      <c r="T157" s="84"/>
      <c r="U157" s="84"/>
      <c r="V157" s="84"/>
      <c r="W157" s="84"/>
      <c r="X157" s="84"/>
      <c r="Y157" s="84"/>
      <c r="Z157" s="84"/>
    </row>
    <row r="158" spans="1:26" ht="15.75" customHeight="1" x14ac:dyDescent="0.25">
      <c r="A158" s="85" t="s">
        <v>699</v>
      </c>
      <c r="B158" s="189" t="s">
        <v>403</v>
      </c>
      <c r="C158" s="9" t="s">
        <v>322</v>
      </c>
      <c r="D158" s="190" t="s">
        <v>304</v>
      </c>
      <c r="E158" s="191" t="s">
        <v>305</v>
      </c>
      <c r="F158" s="192">
        <v>16</v>
      </c>
      <c r="G158" s="191">
        <v>50</v>
      </c>
      <c r="H158" s="189" t="s">
        <v>700</v>
      </c>
      <c r="I158" s="193" t="s">
        <v>701</v>
      </c>
      <c r="J158" s="82" t="s">
        <v>305</v>
      </c>
      <c r="K158" s="83" t="s">
        <v>184</v>
      </c>
      <c r="O158" s="84"/>
      <c r="P158" s="84"/>
      <c r="Q158" s="84"/>
      <c r="R158" s="84"/>
      <c r="S158" s="84"/>
      <c r="T158" s="84"/>
      <c r="U158" s="84"/>
      <c r="V158" s="84"/>
      <c r="W158" s="84"/>
      <c r="X158" s="84"/>
      <c r="Y158" s="84"/>
      <c r="Z158" s="84"/>
    </row>
    <row r="159" spans="1:26" ht="15.75" customHeight="1" x14ac:dyDescent="0.25">
      <c r="A159" s="85" t="s">
        <v>702</v>
      </c>
      <c r="B159" s="189" t="s">
        <v>403</v>
      </c>
      <c r="C159" s="9" t="s">
        <v>314</v>
      </c>
      <c r="D159" s="190">
        <v>9</v>
      </c>
      <c r="E159" s="191">
        <v>85</v>
      </c>
      <c r="F159" s="192">
        <v>6</v>
      </c>
      <c r="G159" s="191">
        <v>100</v>
      </c>
      <c r="H159" s="189" t="s">
        <v>605</v>
      </c>
      <c r="I159" s="193" t="s">
        <v>606</v>
      </c>
      <c r="J159" s="82" t="s">
        <v>305</v>
      </c>
      <c r="K159" s="83" t="s">
        <v>184</v>
      </c>
      <c r="O159" s="84"/>
      <c r="P159" s="84"/>
      <c r="Q159" s="84"/>
      <c r="R159" s="84"/>
      <c r="S159" s="84"/>
      <c r="T159" s="84"/>
      <c r="U159" s="84"/>
      <c r="V159" s="84"/>
      <c r="W159" s="84"/>
      <c r="X159" s="84"/>
      <c r="Y159" s="84"/>
      <c r="Z159" s="84"/>
    </row>
    <row r="160" spans="1:26" ht="15.75" customHeight="1" x14ac:dyDescent="0.25">
      <c r="A160" s="85" t="s">
        <v>703</v>
      </c>
      <c r="B160" s="189" t="s">
        <v>359</v>
      </c>
      <c r="C160" s="9" t="s">
        <v>303</v>
      </c>
      <c r="D160" s="190">
        <v>8</v>
      </c>
      <c r="E160" s="191">
        <v>80</v>
      </c>
      <c r="F160" s="192">
        <v>6</v>
      </c>
      <c r="G160" s="191">
        <v>100</v>
      </c>
      <c r="H160" s="189" t="s">
        <v>704</v>
      </c>
      <c r="I160" s="193" t="s">
        <v>705</v>
      </c>
      <c r="J160" s="82" t="s">
        <v>305</v>
      </c>
      <c r="K160" s="83" t="s">
        <v>184</v>
      </c>
      <c r="O160" s="84"/>
      <c r="P160" s="84"/>
      <c r="Q160" s="84"/>
      <c r="R160" s="84"/>
      <c r="S160" s="84"/>
      <c r="T160" s="84"/>
      <c r="U160" s="84"/>
      <c r="V160" s="84"/>
      <c r="W160" s="84"/>
      <c r="X160" s="84"/>
      <c r="Y160" s="84"/>
      <c r="Z160" s="84"/>
    </row>
    <row r="161" spans="1:26" ht="15.75" customHeight="1" x14ac:dyDescent="0.25">
      <c r="A161" s="85" t="s">
        <v>706</v>
      </c>
      <c r="B161" s="189" t="s">
        <v>359</v>
      </c>
      <c r="C161" s="9" t="s">
        <v>322</v>
      </c>
      <c r="D161" s="190" t="s">
        <v>304</v>
      </c>
      <c r="E161" s="191" t="s">
        <v>305</v>
      </c>
      <c r="F161" s="192" t="s">
        <v>304</v>
      </c>
      <c r="G161" s="191" t="s">
        <v>305</v>
      </c>
      <c r="H161" s="189" t="s">
        <v>707</v>
      </c>
      <c r="I161" s="193" t="s">
        <v>708</v>
      </c>
      <c r="J161" s="82">
        <v>100</v>
      </c>
      <c r="K161" s="83">
        <v>1</v>
      </c>
      <c r="O161" s="84"/>
      <c r="P161" s="84"/>
      <c r="Q161" s="84"/>
      <c r="R161" s="84"/>
      <c r="S161" s="84"/>
      <c r="T161" s="84"/>
      <c r="U161" s="84"/>
      <c r="V161" s="84"/>
      <c r="W161" s="84"/>
      <c r="X161" s="84"/>
      <c r="Y161" s="84"/>
      <c r="Z161" s="84"/>
    </row>
    <row r="162" spans="1:26" ht="15.75" customHeight="1" x14ac:dyDescent="0.25">
      <c r="A162" s="85" t="s">
        <v>709</v>
      </c>
      <c r="B162" s="189" t="s">
        <v>411</v>
      </c>
      <c r="C162" s="9" t="s">
        <v>322</v>
      </c>
      <c r="D162" s="190" t="s">
        <v>304</v>
      </c>
      <c r="E162" s="191" t="s">
        <v>305</v>
      </c>
      <c r="F162" s="192" t="s">
        <v>304</v>
      </c>
      <c r="G162" s="191" t="s">
        <v>305</v>
      </c>
      <c r="H162" s="189" t="s">
        <v>666</v>
      </c>
      <c r="I162" s="193" t="s">
        <v>667</v>
      </c>
      <c r="J162" s="82" t="s">
        <v>305</v>
      </c>
      <c r="K162" s="83" t="s">
        <v>184</v>
      </c>
      <c r="O162" s="84"/>
      <c r="P162" s="84"/>
      <c r="Q162" s="84"/>
      <c r="R162" s="84"/>
      <c r="S162" s="84"/>
      <c r="T162" s="84"/>
      <c r="U162" s="84"/>
      <c r="V162" s="84"/>
      <c r="W162" s="84"/>
      <c r="X162" s="84"/>
      <c r="Y162" s="84"/>
      <c r="Z162" s="84"/>
    </row>
    <row r="163" spans="1:26" ht="15.75" customHeight="1" x14ac:dyDescent="0.25">
      <c r="A163" s="85" t="s">
        <v>710</v>
      </c>
      <c r="B163" s="189" t="s">
        <v>335</v>
      </c>
      <c r="C163" s="9" t="s">
        <v>322</v>
      </c>
      <c r="D163" s="190" t="s">
        <v>304</v>
      </c>
      <c r="E163" s="191" t="s">
        <v>305</v>
      </c>
      <c r="F163" s="192" t="s">
        <v>304</v>
      </c>
      <c r="G163" s="191" t="s">
        <v>305</v>
      </c>
      <c r="H163" s="189" t="s">
        <v>711</v>
      </c>
      <c r="I163" s="193" t="s">
        <v>712</v>
      </c>
      <c r="J163" s="82" t="s">
        <v>305</v>
      </c>
      <c r="K163" s="83" t="s">
        <v>184</v>
      </c>
      <c r="O163" s="84"/>
      <c r="P163" s="84"/>
      <c r="Q163" s="84"/>
      <c r="R163" s="84"/>
      <c r="S163" s="84"/>
      <c r="T163" s="84"/>
      <c r="U163" s="84"/>
      <c r="V163" s="84"/>
      <c r="W163" s="84"/>
      <c r="X163" s="84"/>
      <c r="Y163" s="84"/>
      <c r="Z163" s="84"/>
    </row>
    <row r="164" spans="1:26" ht="15.75" customHeight="1" x14ac:dyDescent="0.25">
      <c r="A164" s="85" t="s">
        <v>713</v>
      </c>
      <c r="B164" s="189" t="s">
        <v>331</v>
      </c>
      <c r="C164" s="9" t="s">
        <v>322</v>
      </c>
      <c r="D164" s="190" t="s">
        <v>304</v>
      </c>
      <c r="E164" s="191" t="s">
        <v>305</v>
      </c>
      <c r="F164" s="192" t="s">
        <v>304</v>
      </c>
      <c r="G164" s="191" t="s">
        <v>305</v>
      </c>
      <c r="H164" s="189" t="s">
        <v>714</v>
      </c>
      <c r="I164" s="193" t="s">
        <v>715</v>
      </c>
      <c r="J164" s="82" t="s">
        <v>305</v>
      </c>
      <c r="K164" s="83" t="s">
        <v>184</v>
      </c>
      <c r="O164" s="84"/>
      <c r="P164" s="84"/>
      <c r="Q164" s="84"/>
      <c r="R164" s="84"/>
      <c r="S164" s="84"/>
      <c r="T164" s="84"/>
      <c r="U164" s="84"/>
      <c r="V164" s="84"/>
      <c r="W164" s="84"/>
      <c r="X164" s="84"/>
      <c r="Y164" s="84"/>
      <c r="Z164" s="84"/>
    </row>
    <row r="165" spans="1:26" ht="15.75" customHeight="1" x14ac:dyDescent="0.25">
      <c r="A165" s="85" t="s">
        <v>716</v>
      </c>
      <c r="B165" s="189" t="s">
        <v>407</v>
      </c>
      <c r="C165" s="9" t="s">
        <v>322</v>
      </c>
      <c r="D165" s="190" t="s">
        <v>304</v>
      </c>
      <c r="E165" s="191" t="s">
        <v>305</v>
      </c>
      <c r="F165" s="192" t="s">
        <v>304</v>
      </c>
      <c r="G165" s="191" t="s">
        <v>305</v>
      </c>
      <c r="H165" s="189" t="s">
        <v>717</v>
      </c>
      <c r="I165" s="193" t="s">
        <v>718</v>
      </c>
      <c r="J165" s="82" t="s">
        <v>305</v>
      </c>
      <c r="K165" s="83" t="s">
        <v>184</v>
      </c>
      <c r="O165" s="84"/>
      <c r="P165" s="84"/>
      <c r="Q165" s="84"/>
      <c r="R165" s="84"/>
      <c r="S165" s="84"/>
      <c r="T165" s="84"/>
      <c r="U165" s="84"/>
      <c r="V165" s="84"/>
      <c r="W165" s="84"/>
      <c r="X165" s="84"/>
      <c r="Y165" s="84"/>
      <c r="Z165" s="84"/>
    </row>
    <row r="166" spans="1:26" ht="15.75" customHeight="1" x14ac:dyDescent="0.25">
      <c r="A166" s="85" t="s">
        <v>719</v>
      </c>
      <c r="B166" s="189" t="s">
        <v>356</v>
      </c>
      <c r="C166" s="9" t="s">
        <v>322</v>
      </c>
      <c r="D166" s="190" t="s">
        <v>304</v>
      </c>
      <c r="E166" s="191" t="s">
        <v>305</v>
      </c>
      <c r="F166" s="192" t="s">
        <v>304</v>
      </c>
      <c r="G166" s="191" t="s">
        <v>305</v>
      </c>
      <c r="H166" s="189" t="s">
        <v>720</v>
      </c>
      <c r="I166" s="193" t="s">
        <v>721</v>
      </c>
      <c r="J166" s="82" t="s">
        <v>305</v>
      </c>
      <c r="K166" s="83" t="s">
        <v>184</v>
      </c>
      <c r="O166" s="84"/>
      <c r="P166" s="84"/>
      <c r="Q166" s="84"/>
      <c r="R166" s="84"/>
      <c r="S166" s="84"/>
      <c r="T166" s="84"/>
      <c r="U166" s="84"/>
      <c r="V166" s="84"/>
      <c r="W166" s="84"/>
      <c r="X166" s="84"/>
      <c r="Y166" s="84"/>
      <c r="Z166" s="84"/>
    </row>
    <row r="167" spans="1:26" ht="15.75" customHeight="1" x14ac:dyDescent="0.25">
      <c r="A167" s="85" t="s">
        <v>722</v>
      </c>
      <c r="B167" s="189" t="s">
        <v>530</v>
      </c>
      <c r="C167" s="9" t="s">
        <v>305</v>
      </c>
      <c r="D167" s="190" t="s">
        <v>304</v>
      </c>
      <c r="E167" s="191" t="s">
        <v>305</v>
      </c>
      <c r="F167" s="192" t="s">
        <v>304</v>
      </c>
      <c r="G167" s="191" t="s">
        <v>305</v>
      </c>
      <c r="H167" s="189" t="s">
        <v>723</v>
      </c>
      <c r="I167" s="193" t="s">
        <v>723</v>
      </c>
      <c r="J167" s="82" t="s">
        <v>305</v>
      </c>
      <c r="K167" s="83" t="s">
        <v>184</v>
      </c>
      <c r="O167" s="84"/>
      <c r="P167" s="84"/>
      <c r="Q167" s="84"/>
      <c r="R167" s="84"/>
      <c r="S167" s="84"/>
      <c r="T167" s="84"/>
      <c r="U167" s="84"/>
      <c r="V167" s="84"/>
      <c r="W167" s="84"/>
      <c r="X167" s="84"/>
      <c r="Y167" s="84"/>
      <c r="Z167" s="84"/>
    </row>
    <row r="168" spans="1:26" ht="15.75" customHeight="1" x14ac:dyDescent="0.25">
      <c r="A168" s="85" t="s">
        <v>724</v>
      </c>
      <c r="B168" s="189" t="s">
        <v>313</v>
      </c>
      <c r="C168" s="9" t="s">
        <v>314</v>
      </c>
      <c r="D168" s="190">
        <v>10</v>
      </c>
      <c r="E168" s="191">
        <v>100</v>
      </c>
      <c r="F168" s="192">
        <v>7</v>
      </c>
      <c r="G168" s="191">
        <v>95</v>
      </c>
      <c r="H168" s="189" t="s">
        <v>725</v>
      </c>
      <c r="I168" s="193" t="s">
        <v>726</v>
      </c>
      <c r="J168" s="82">
        <v>50</v>
      </c>
      <c r="K168" s="83">
        <v>11</v>
      </c>
      <c r="O168" s="84"/>
      <c r="P168" s="84"/>
      <c r="Q168" s="84"/>
      <c r="R168" s="84"/>
      <c r="S168" s="84"/>
      <c r="T168" s="84"/>
      <c r="U168" s="84"/>
      <c r="V168" s="84"/>
      <c r="W168" s="84"/>
      <c r="X168" s="84"/>
      <c r="Y168" s="84"/>
      <c r="Z168" s="84"/>
    </row>
    <row r="169" spans="1:26" ht="15.75" customHeight="1" x14ac:dyDescent="0.25">
      <c r="A169" s="85" t="s">
        <v>727</v>
      </c>
      <c r="B169" s="189" t="s">
        <v>515</v>
      </c>
      <c r="C169" s="9" t="s">
        <v>314</v>
      </c>
      <c r="D169" s="190">
        <v>8</v>
      </c>
      <c r="E169" s="191">
        <v>80</v>
      </c>
      <c r="F169" s="192">
        <v>6</v>
      </c>
      <c r="G169" s="191">
        <v>100</v>
      </c>
      <c r="H169" s="189" t="s">
        <v>728</v>
      </c>
      <c r="I169" s="193" t="s">
        <v>728</v>
      </c>
      <c r="J169" s="82" t="s">
        <v>305</v>
      </c>
      <c r="K169" s="83" t="s">
        <v>184</v>
      </c>
      <c r="O169" s="84"/>
      <c r="P169" s="84"/>
      <c r="Q169" s="84"/>
      <c r="R169" s="84"/>
      <c r="S169" s="84"/>
      <c r="T169" s="84"/>
      <c r="U169" s="84"/>
      <c r="V169" s="84"/>
      <c r="W169" s="84"/>
      <c r="X169" s="84"/>
      <c r="Y169" s="84"/>
      <c r="Z169" s="84"/>
    </row>
    <row r="170" spans="1:26" ht="15.75" customHeight="1" x14ac:dyDescent="0.25">
      <c r="A170" s="85" t="s">
        <v>729</v>
      </c>
      <c r="B170" s="189" t="s">
        <v>318</v>
      </c>
      <c r="C170" s="9" t="s">
        <v>314</v>
      </c>
      <c r="D170" s="190">
        <v>8</v>
      </c>
      <c r="E170" s="191">
        <v>80</v>
      </c>
      <c r="F170" s="192">
        <v>6</v>
      </c>
      <c r="G170" s="191">
        <v>100</v>
      </c>
      <c r="H170" s="189" t="s">
        <v>730</v>
      </c>
      <c r="I170" s="193" t="s">
        <v>731</v>
      </c>
      <c r="J170" s="82" t="s">
        <v>305</v>
      </c>
      <c r="K170" s="83" t="s">
        <v>184</v>
      </c>
      <c r="O170" s="84"/>
      <c r="P170" s="84"/>
      <c r="Q170" s="84"/>
      <c r="R170" s="84"/>
      <c r="S170" s="84"/>
      <c r="T170" s="84"/>
      <c r="U170" s="84"/>
      <c r="V170" s="84"/>
      <c r="W170" s="84"/>
      <c r="X170" s="84"/>
      <c r="Y170" s="84"/>
      <c r="Z170" s="84"/>
    </row>
    <row r="171" spans="1:26" ht="15.75" customHeight="1" x14ac:dyDescent="0.25">
      <c r="A171" s="85" t="s">
        <v>732</v>
      </c>
      <c r="B171" s="189" t="s">
        <v>335</v>
      </c>
      <c r="C171" s="9" t="s">
        <v>322</v>
      </c>
      <c r="D171" s="190" t="s">
        <v>304</v>
      </c>
      <c r="E171" s="191" t="s">
        <v>305</v>
      </c>
      <c r="F171" s="192">
        <v>6</v>
      </c>
      <c r="G171" s="191">
        <v>100</v>
      </c>
      <c r="H171" s="189" t="s">
        <v>733</v>
      </c>
      <c r="I171" s="193" t="s">
        <v>734</v>
      </c>
      <c r="J171" s="82" t="s">
        <v>305</v>
      </c>
      <c r="K171" s="83" t="s">
        <v>184</v>
      </c>
      <c r="O171" s="84"/>
      <c r="P171" s="84"/>
      <c r="Q171" s="84"/>
      <c r="R171" s="84"/>
      <c r="S171" s="84"/>
      <c r="T171" s="84"/>
      <c r="U171" s="84"/>
      <c r="V171" s="84"/>
      <c r="W171" s="84"/>
      <c r="X171" s="84"/>
      <c r="Y171" s="84"/>
      <c r="Z171" s="84"/>
    </row>
    <row r="172" spans="1:26" ht="15.75" customHeight="1" x14ac:dyDescent="0.25">
      <c r="A172" s="85" t="s">
        <v>735</v>
      </c>
      <c r="B172" s="189" t="s">
        <v>359</v>
      </c>
      <c r="C172" s="9" t="s">
        <v>303</v>
      </c>
      <c r="D172" s="190">
        <v>4</v>
      </c>
      <c r="E172" s="191">
        <v>40</v>
      </c>
      <c r="F172" s="192">
        <v>24.4</v>
      </c>
      <c r="G172" s="191">
        <v>8</v>
      </c>
      <c r="H172" s="189" t="s">
        <v>339</v>
      </c>
      <c r="I172" s="193" t="s">
        <v>340</v>
      </c>
      <c r="J172" s="82" t="s">
        <v>305</v>
      </c>
      <c r="K172" s="83" t="s">
        <v>184</v>
      </c>
      <c r="O172" s="84"/>
      <c r="P172" s="84"/>
      <c r="Q172" s="84"/>
      <c r="R172" s="84"/>
      <c r="S172" s="84"/>
      <c r="T172" s="84"/>
      <c r="U172" s="84"/>
      <c r="V172" s="84"/>
      <c r="W172" s="84"/>
      <c r="X172" s="84"/>
      <c r="Y172" s="84"/>
      <c r="Z172" s="84"/>
    </row>
    <row r="173" spans="1:26" ht="15.75" customHeight="1" x14ac:dyDescent="0.25">
      <c r="A173" s="85" t="s">
        <v>736</v>
      </c>
      <c r="B173" s="189" t="s">
        <v>302</v>
      </c>
      <c r="C173" s="9" t="s">
        <v>303</v>
      </c>
      <c r="D173" s="190">
        <v>8</v>
      </c>
      <c r="E173" s="191">
        <v>80</v>
      </c>
      <c r="F173" s="192">
        <v>6</v>
      </c>
      <c r="G173" s="191">
        <v>100</v>
      </c>
      <c r="H173" s="189" t="s">
        <v>508</v>
      </c>
      <c r="I173" s="193" t="s">
        <v>509</v>
      </c>
      <c r="J173" s="82">
        <v>30</v>
      </c>
      <c r="K173" s="83">
        <v>15</v>
      </c>
      <c r="O173" s="84"/>
      <c r="P173" s="84"/>
      <c r="Q173" s="84"/>
      <c r="R173" s="84"/>
      <c r="S173" s="84"/>
      <c r="T173" s="84"/>
      <c r="U173" s="84"/>
      <c r="V173" s="84"/>
      <c r="W173" s="84"/>
      <c r="X173" s="84"/>
      <c r="Y173" s="84"/>
      <c r="Z173" s="84"/>
    </row>
    <row r="174" spans="1:26" ht="15.75" customHeight="1" x14ac:dyDescent="0.25">
      <c r="A174" s="85" t="s">
        <v>737</v>
      </c>
      <c r="B174" s="189" t="s">
        <v>377</v>
      </c>
      <c r="C174" s="9" t="s">
        <v>314</v>
      </c>
      <c r="D174" s="190">
        <v>8</v>
      </c>
      <c r="E174" s="191">
        <v>80</v>
      </c>
      <c r="F174" s="192">
        <v>6</v>
      </c>
      <c r="G174" s="191">
        <v>100</v>
      </c>
      <c r="H174" s="189" t="s">
        <v>738</v>
      </c>
      <c r="I174" s="193" t="s">
        <v>738</v>
      </c>
      <c r="J174" s="82" t="s">
        <v>305</v>
      </c>
      <c r="K174" s="83" t="s">
        <v>184</v>
      </c>
      <c r="O174" s="84"/>
      <c r="P174" s="84"/>
      <c r="Q174" s="84"/>
      <c r="R174" s="84"/>
      <c r="S174" s="84"/>
      <c r="T174" s="84"/>
      <c r="U174" s="84"/>
      <c r="V174" s="84"/>
      <c r="W174" s="84"/>
      <c r="X174" s="84"/>
      <c r="Y174" s="84"/>
      <c r="Z174" s="84"/>
    </row>
    <row r="175" spans="1:26" ht="15.75" customHeight="1" x14ac:dyDescent="0.25">
      <c r="A175" s="85" t="s">
        <v>739</v>
      </c>
      <c r="B175" s="189" t="s">
        <v>335</v>
      </c>
      <c r="C175" s="9" t="s">
        <v>314</v>
      </c>
      <c r="D175" s="190">
        <v>7</v>
      </c>
      <c r="E175" s="191">
        <v>70</v>
      </c>
      <c r="F175" s="192">
        <v>6</v>
      </c>
      <c r="G175" s="191">
        <v>100</v>
      </c>
      <c r="H175" s="189" t="s">
        <v>644</v>
      </c>
      <c r="I175" s="193" t="s">
        <v>645</v>
      </c>
      <c r="J175" s="82">
        <v>20</v>
      </c>
      <c r="K175" s="83">
        <v>17</v>
      </c>
      <c r="O175" s="84"/>
      <c r="P175" s="84"/>
      <c r="Q175" s="84"/>
      <c r="R175" s="84"/>
      <c r="S175" s="84"/>
      <c r="T175" s="84"/>
      <c r="U175" s="84"/>
      <c r="V175" s="84"/>
      <c r="W175" s="84"/>
      <c r="X175" s="84"/>
      <c r="Y175" s="84"/>
      <c r="Z175" s="84"/>
    </row>
    <row r="176" spans="1:26" ht="15.75" customHeight="1" x14ac:dyDescent="0.25">
      <c r="A176" s="85" t="s">
        <v>740</v>
      </c>
      <c r="B176" s="189" t="s">
        <v>335</v>
      </c>
      <c r="C176" s="9" t="s">
        <v>322</v>
      </c>
      <c r="D176" s="190" t="s">
        <v>304</v>
      </c>
      <c r="E176" s="191" t="s">
        <v>305</v>
      </c>
      <c r="F176" s="192">
        <v>6</v>
      </c>
      <c r="G176" s="191">
        <v>100</v>
      </c>
      <c r="H176" s="189" t="s">
        <v>741</v>
      </c>
      <c r="I176" s="193" t="s">
        <v>742</v>
      </c>
      <c r="J176" s="82" t="s">
        <v>305</v>
      </c>
      <c r="K176" s="83" t="s">
        <v>184</v>
      </c>
      <c r="O176" s="84"/>
      <c r="P176" s="84"/>
      <c r="Q176" s="84"/>
      <c r="R176" s="84"/>
      <c r="S176" s="84"/>
      <c r="T176" s="84"/>
      <c r="U176" s="84"/>
      <c r="V176" s="84"/>
      <c r="W176" s="84"/>
      <c r="X176" s="84"/>
      <c r="Y176" s="84"/>
      <c r="Z176" s="84"/>
    </row>
    <row r="177" spans="1:26" ht="15.75" customHeight="1" x14ac:dyDescent="0.25">
      <c r="A177" s="85" t="s">
        <v>743</v>
      </c>
      <c r="B177" s="189" t="s">
        <v>367</v>
      </c>
      <c r="C177" s="9" t="s">
        <v>303</v>
      </c>
      <c r="D177" s="190">
        <v>14</v>
      </c>
      <c r="E177" s="191">
        <v>140</v>
      </c>
      <c r="F177" s="192">
        <v>6</v>
      </c>
      <c r="G177" s="191">
        <v>100</v>
      </c>
      <c r="H177" s="189" t="s">
        <v>744</v>
      </c>
      <c r="I177" s="193" t="s">
        <v>744</v>
      </c>
      <c r="J177" s="82" t="s">
        <v>305</v>
      </c>
      <c r="K177" s="83" t="s">
        <v>184</v>
      </c>
      <c r="O177" s="84"/>
      <c r="P177" s="84"/>
      <c r="Q177" s="84"/>
      <c r="R177" s="84"/>
      <c r="S177" s="84"/>
      <c r="T177" s="84"/>
      <c r="U177" s="84"/>
      <c r="V177" s="84"/>
      <c r="W177" s="84"/>
      <c r="X177" s="84"/>
      <c r="Y177" s="84"/>
      <c r="Z177" s="84"/>
    </row>
    <row r="178" spans="1:26" ht="15.75" customHeight="1" x14ac:dyDescent="0.25">
      <c r="A178" s="85" t="s">
        <v>745</v>
      </c>
      <c r="B178" s="189" t="s">
        <v>335</v>
      </c>
      <c r="C178" s="9" t="s">
        <v>314</v>
      </c>
      <c r="D178" s="190">
        <v>4</v>
      </c>
      <c r="E178" s="191">
        <v>35</v>
      </c>
      <c r="F178" s="192">
        <v>8</v>
      </c>
      <c r="G178" s="191">
        <v>90</v>
      </c>
      <c r="H178" s="189" t="s">
        <v>518</v>
      </c>
      <c r="I178" s="193" t="s">
        <v>518</v>
      </c>
      <c r="J178" s="82" t="s">
        <v>305</v>
      </c>
      <c r="K178" s="83" t="s">
        <v>184</v>
      </c>
      <c r="O178" s="84"/>
      <c r="P178" s="84"/>
      <c r="Q178" s="84"/>
      <c r="R178" s="84"/>
      <c r="S178" s="84"/>
      <c r="T178" s="84"/>
      <c r="U178" s="84"/>
      <c r="V178" s="84"/>
      <c r="W178" s="84"/>
      <c r="X178" s="84"/>
      <c r="Y178" s="84"/>
      <c r="Z178" s="84"/>
    </row>
    <row r="179" spans="1:26" ht="15.75" customHeight="1" x14ac:dyDescent="0.25">
      <c r="A179" s="85" t="s">
        <v>746</v>
      </c>
      <c r="B179" s="189" t="s">
        <v>367</v>
      </c>
      <c r="C179" s="9" t="s">
        <v>314</v>
      </c>
      <c r="D179" s="190">
        <v>6</v>
      </c>
      <c r="E179" s="191">
        <v>60</v>
      </c>
      <c r="F179" s="192">
        <v>6</v>
      </c>
      <c r="G179" s="191">
        <v>100</v>
      </c>
      <c r="H179" s="189" t="s">
        <v>747</v>
      </c>
      <c r="I179" s="193" t="s">
        <v>748</v>
      </c>
      <c r="J179" s="82">
        <v>30</v>
      </c>
      <c r="K179" s="83">
        <v>15</v>
      </c>
      <c r="O179" s="84"/>
      <c r="P179" s="84"/>
      <c r="Q179" s="84"/>
      <c r="R179" s="84"/>
      <c r="S179" s="84"/>
      <c r="T179" s="84"/>
      <c r="U179" s="84"/>
      <c r="V179" s="84"/>
      <c r="W179" s="84"/>
      <c r="X179" s="84"/>
      <c r="Y179" s="84"/>
      <c r="Z179" s="84"/>
    </row>
    <row r="180" spans="1:26" ht="15.75" customHeight="1" x14ac:dyDescent="0.25">
      <c r="A180" s="85" t="s">
        <v>749</v>
      </c>
      <c r="B180" s="189" t="s">
        <v>356</v>
      </c>
      <c r="C180" s="9" t="s">
        <v>314</v>
      </c>
      <c r="D180" s="190">
        <v>3</v>
      </c>
      <c r="E180" s="191">
        <v>30</v>
      </c>
      <c r="F180" s="192">
        <v>6</v>
      </c>
      <c r="G180" s="191">
        <v>100</v>
      </c>
      <c r="H180" s="189" t="s">
        <v>518</v>
      </c>
      <c r="I180" s="193" t="s">
        <v>518</v>
      </c>
      <c r="J180" s="82" t="s">
        <v>305</v>
      </c>
      <c r="K180" s="83" t="s">
        <v>184</v>
      </c>
      <c r="O180" s="84"/>
      <c r="P180" s="84"/>
      <c r="Q180" s="84"/>
      <c r="R180" s="84"/>
      <c r="S180" s="84"/>
      <c r="T180" s="84"/>
      <c r="U180" s="84"/>
      <c r="V180" s="84"/>
      <c r="W180" s="84"/>
      <c r="X180" s="84"/>
      <c r="Y180" s="84"/>
      <c r="Z180" s="84"/>
    </row>
    <row r="181" spans="1:26" ht="15.75" customHeight="1" x14ac:dyDescent="0.25">
      <c r="A181" s="85" t="s">
        <v>750</v>
      </c>
      <c r="B181" s="189" t="s">
        <v>302</v>
      </c>
      <c r="C181" s="9" t="s">
        <v>314</v>
      </c>
      <c r="D181" s="190">
        <v>12</v>
      </c>
      <c r="E181" s="191">
        <v>120</v>
      </c>
      <c r="F181" s="192">
        <v>6</v>
      </c>
      <c r="G181" s="191">
        <v>100</v>
      </c>
      <c r="H181" s="189" t="s">
        <v>751</v>
      </c>
      <c r="I181" s="193" t="s">
        <v>752</v>
      </c>
      <c r="J181" s="82" t="s">
        <v>305</v>
      </c>
      <c r="K181" s="83" t="s">
        <v>184</v>
      </c>
      <c r="O181" s="84"/>
      <c r="P181" s="84"/>
      <c r="Q181" s="84"/>
      <c r="R181" s="84"/>
      <c r="S181" s="84"/>
      <c r="T181" s="84"/>
      <c r="U181" s="84"/>
      <c r="V181" s="84"/>
      <c r="W181" s="84"/>
      <c r="X181" s="84"/>
      <c r="Y181" s="84"/>
      <c r="Z181" s="84"/>
    </row>
    <row r="182" spans="1:26" ht="15.75" customHeight="1" x14ac:dyDescent="0.25">
      <c r="A182" s="85" t="s">
        <v>753</v>
      </c>
      <c r="B182" s="189" t="s">
        <v>335</v>
      </c>
      <c r="C182" s="9" t="s">
        <v>314</v>
      </c>
      <c r="D182" s="190">
        <v>2</v>
      </c>
      <c r="E182" s="191">
        <v>15</v>
      </c>
      <c r="F182" s="192">
        <v>9</v>
      </c>
      <c r="G182" s="191">
        <v>85</v>
      </c>
      <c r="H182" s="189" t="s">
        <v>387</v>
      </c>
      <c r="I182" s="193" t="s">
        <v>388</v>
      </c>
      <c r="J182" s="82" t="s">
        <v>305</v>
      </c>
      <c r="K182" s="83" t="s">
        <v>184</v>
      </c>
      <c r="O182" s="84"/>
      <c r="P182" s="84"/>
      <c r="Q182" s="84"/>
      <c r="R182" s="84"/>
      <c r="S182" s="84"/>
      <c r="T182" s="84"/>
      <c r="U182" s="84"/>
      <c r="V182" s="84"/>
      <c r="W182" s="84"/>
      <c r="X182" s="84"/>
      <c r="Y182" s="84"/>
      <c r="Z182" s="84"/>
    </row>
    <row r="183" spans="1:26" ht="15.75" customHeight="1" x14ac:dyDescent="0.25">
      <c r="A183" s="85" t="s">
        <v>754</v>
      </c>
      <c r="B183" s="189" t="s">
        <v>335</v>
      </c>
      <c r="C183" s="9" t="s">
        <v>322</v>
      </c>
      <c r="D183" s="190" t="s">
        <v>304</v>
      </c>
      <c r="E183" s="191" t="s">
        <v>305</v>
      </c>
      <c r="F183" s="192" t="s">
        <v>304</v>
      </c>
      <c r="G183" s="191" t="s">
        <v>305</v>
      </c>
      <c r="H183" s="189" t="s">
        <v>755</v>
      </c>
      <c r="I183" s="193" t="s">
        <v>756</v>
      </c>
      <c r="J183" s="82" t="s">
        <v>305</v>
      </c>
      <c r="K183" s="83" t="s">
        <v>184</v>
      </c>
      <c r="O183" s="84"/>
      <c r="P183" s="84"/>
      <c r="Q183" s="84"/>
      <c r="R183" s="84"/>
      <c r="S183" s="84"/>
      <c r="T183" s="84"/>
      <c r="U183" s="84"/>
      <c r="V183" s="84"/>
      <c r="W183" s="84"/>
      <c r="X183" s="84"/>
      <c r="Y183" s="84"/>
      <c r="Z183" s="84"/>
    </row>
    <row r="184" spans="1:26" ht="15.75" customHeight="1" x14ac:dyDescent="0.25">
      <c r="A184" s="85" t="s">
        <v>757</v>
      </c>
      <c r="B184" s="189" t="s">
        <v>335</v>
      </c>
      <c r="C184" s="9" t="s">
        <v>314</v>
      </c>
      <c r="D184" s="190">
        <v>12</v>
      </c>
      <c r="E184" s="191">
        <v>120</v>
      </c>
      <c r="F184" s="192">
        <v>6</v>
      </c>
      <c r="G184" s="191">
        <v>100</v>
      </c>
      <c r="H184" s="189" t="s">
        <v>527</v>
      </c>
      <c r="I184" s="193" t="s">
        <v>528</v>
      </c>
      <c r="J184" s="82" t="s">
        <v>305</v>
      </c>
      <c r="K184" s="83" t="s">
        <v>184</v>
      </c>
      <c r="O184" s="84"/>
      <c r="P184" s="84"/>
      <c r="Q184" s="84"/>
      <c r="R184" s="84"/>
      <c r="S184" s="84"/>
      <c r="T184" s="84"/>
      <c r="U184" s="84"/>
      <c r="V184" s="84"/>
      <c r="W184" s="84"/>
      <c r="X184" s="84"/>
      <c r="Y184" s="84"/>
      <c r="Z184" s="84"/>
    </row>
    <row r="185" spans="1:26" ht="15.75" customHeight="1" x14ac:dyDescent="0.25">
      <c r="A185" s="85" t="s">
        <v>758</v>
      </c>
      <c r="B185" s="189" t="s">
        <v>530</v>
      </c>
      <c r="C185" s="9" t="s">
        <v>303</v>
      </c>
      <c r="D185" s="190">
        <v>13</v>
      </c>
      <c r="E185" s="191">
        <v>130</v>
      </c>
      <c r="F185" s="192">
        <v>8</v>
      </c>
      <c r="G185" s="191">
        <v>90</v>
      </c>
      <c r="H185" s="189" t="s">
        <v>759</v>
      </c>
      <c r="I185" s="193" t="s">
        <v>760</v>
      </c>
      <c r="J185" s="82">
        <v>100</v>
      </c>
      <c r="K185" s="83">
        <v>1</v>
      </c>
      <c r="O185" s="84"/>
      <c r="P185" s="84"/>
      <c r="Q185" s="84"/>
      <c r="R185" s="84"/>
      <c r="S185" s="84"/>
      <c r="T185" s="84"/>
      <c r="U185" s="84"/>
      <c r="V185" s="84"/>
      <c r="W185" s="84"/>
      <c r="X185" s="84"/>
      <c r="Y185" s="84"/>
      <c r="Z185" s="84"/>
    </row>
    <row r="186" spans="1:26" ht="15.75" customHeight="1" x14ac:dyDescent="0.25">
      <c r="A186" s="85" t="s">
        <v>761</v>
      </c>
      <c r="B186" s="189" t="s">
        <v>331</v>
      </c>
      <c r="C186" s="9" t="s">
        <v>314</v>
      </c>
      <c r="D186" s="190">
        <v>12</v>
      </c>
      <c r="E186" s="191">
        <v>120</v>
      </c>
      <c r="F186" s="192">
        <v>6</v>
      </c>
      <c r="G186" s="191">
        <v>100</v>
      </c>
      <c r="H186" s="189" t="s">
        <v>391</v>
      </c>
      <c r="I186" s="193" t="s">
        <v>625</v>
      </c>
      <c r="J186" s="82">
        <v>100</v>
      </c>
      <c r="K186" s="83">
        <v>1</v>
      </c>
      <c r="O186" s="84"/>
      <c r="P186" s="84"/>
      <c r="Q186" s="84"/>
      <c r="R186" s="84"/>
      <c r="S186" s="84"/>
      <c r="T186" s="84"/>
      <c r="U186" s="84"/>
      <c r="V186" s="84"/>
      <c r="W186" s="84"/>
      <c r="X186" s="84"/>
      <c r="Y186" s="84"/>
      <c r="Z186" s="84"/>
    </row>
    <row r="187" spans="1:26" ht="15.75" customHeight="1" x14ac:dyDescent="0.25">
      <c r="A187" s="85" t="s">
        <v>762</v>
      </c>
      <c r="B187" s="189" t="s">
        <v>530</v>
      </c>
      <c r="C187" s="9" t="s">
        <v>303</v>
      </c>
      <c r="D187" s="190">
        <v>6</v>
      </c>
      <c r="E187" s="191">
        <v>60</v>
      </c>
      <c r="F187" s="192">
        <v>6</v>
      </c>
      <c r="G187" s="191">
        <v>100</v>
      </c>
      <c r="H187" s="189" t="s">
        <v>508</v>
      </c>
      <c r="I187" s="193" t="s">
        <v>763</v>
      </c>
      <c r="J187" s="82">
        <v>30</v>
      </c>
      <c r="K187" s="83">
        <v>15</v>
      </c>
      <c r="O187" s="84"/>
      <c r="P187" s="84"/>
      <c r="Q187" s="84"/>
      <c r="R187" s="84"/>
      <c r="S187" s="84"/>
      <c r="T187" s="84"/>
      <c r="U187" s="84"/>
      <c r="V187" s="84"/>
      <c r="W187" s="84"/>
      <c r="X187" s="84"/>
      <c r="Y187" s="84"/>
      <c r="Z187" s="84"/>
    </row>
    <row r="188" spans="1:26" ht="15.75" customHeight="1" x14ac:dyDescent="0.25">
      <c r="A188" s="85" t="s">
        <v>764</v>
      </c>
      <c r="B188" s="189" t="s">
        <v>530</v>
      </c>
      <c r="C188" s="9" t="s">
        <v>322</v>
      </c>
      <c r="D188" s="190" t="s">
        <v>304</v>
      </c>
      <c r="E188" s="191" t="s">
        <v>305</v>
      </c>
      <c r="F188" s="192">
        <v>24.4</v>
      </c>
      <c r="G188" s="191">
        <v>8</v>
      </c>
      <c r="H188" s="189"/>
      <c r="I188" s="193" t="s">
        <v>184</v>
      </c>
      <c r="J188" s="82" t="s">
        <v>305</v>
      </c>
      <c r="K188" s="83" t="s">
        <v>184</v>
      </c>
      <c r="O188" s="84"/>
      <c r="P188" s="84"/>
      <c r="Q188" s="84"/>
      <c r="R188" s="84"/>
      <c r="S188" s="84"/>
      <c r="T188" s="84"/>
      <c r="U188" s="84"/>
      <c r="V188" s="84"/>
      <c r="W188" s="84"/>
      <c r="X188" s="84"/>
      <c r="Y188" s="84"/>
      <c r="Z188" s="84"/>
    </row>
    <row r="189" spans="1:26" ht="15.75" customHeight="1" x14ac:dyDescent="0.25">
      <c r="A189" s="85" t="s">
        <v>765</v>
      </c>
      <c r="B189" s="189" t="s">
        <v>530</v>
      </c>
      <c r="C189" s="9" t="s">
        <v>314</v>
      </c>
      <c r="D189" s="190">
        <v>8</v>
      </c>
      <c r="E189" s="191">
        <v>80</v>
      </c>
      <c r="F189" s="192">
        <v>6</v>
      </c>
      <c r="G189" s="191">
        <v>100</v>
      </c>
      <c r="H189" s="189"/>
      <c r="I189" s="193" t="s">
        <v>184</v>
      </c>
      <c r="J189" s="82" t="s">
        <v>305</v>
      </c>
      <c r="K189" s="83" t="s">
        <v>184</v>
      </c>
      <c r="O189" s="84"/>
      <c r="P189" s="84"/>
      <c r="Q189" s="84"/>
      <c r="R189" s="84"/>
      <c r="S189" s="84"/>
      <c r="T189" s="84"/>
      <c r="U189" s="84"/>
      <c r="V189" s="84"/>
      <c r="W189" s="84"/>
      <c r="X189" s="84"/>
      <c r="Y189" s="84"/>
      <c r="Z189" s="84"/>
    </row>
    <row r="190" spans="1:26" ht="15.75" customHeight="1" x14ac:dyDescent="0.25">
      <c r="A190" s="85" t="s">
        <v>766</v>
      </c>
      <c r="B190" s="189" t="s">
        <v>530</v>
      </c>
      <c r="C190" s="9" t="s">
        <v>322</v>
      </c>
      <c r="D190" s="190" t="s">
        <v>304</v>
      </c>
      <c r="E190" s="191" t="s">
        <v>305</v>
      </c>
      <c r="F190" s="192" t="s">
        <v>304</v>
      </c>
      <c r="G190" s="191" t="s">
        <v>305</v>
      </c>
      <c r="H190" s="189" t="s">
        <v>767</v>
      </c>
      <c r="I190" s="193" t="s">
        <v>768</v>
      </c>
      <c r="J190" s="82" t="s">
        <v>305</v>
      </c>
      <c r="K190" s="83" t="s">
        <v>184</v>
      </c>
      <c r="O190" s="84"/>
      <c r="P190" s="84"/>
      <c r="Q190" s="84"/>
      <c r="R190" s="84"/>
      <c r="S190" s="84"/>
      <c r="T190" s="84"/>
      <c r="U190" s="84"/>
      <c r="V190" s="84"/>
      <c r="W190" s="84"/>
      <c r="X190" s="84"/>
      <c r="Y190" s="84"/>
      <c r="Z190" s="84"/>
    </row>
    <row r="191" spans="1:26" ht="15.75" customHeight="1" x14ac:dyDescent="0.25">
      <c r="A191" s="85" t="s">
        <v>769</v>
      </c>
      <c r="B191" s="189" t="s">
        <v>530</v>
      </c>
      <c r="C191" s="9" t="s">
        <v>314</v>
      </c>
      <c r="D191" s="190">
        <v>5</v>
      </c>
      <c r="E191" s="191">
        <v>50</v>
      </c>
      <c r="F191" s="192">
        <v>6</v>
      </c>
      <c r="G191" s="191">
        <v>100</v>
      </c>
      <c r="H191" s="189" t="s">
        <v>770</v>
      </c>
      <c r="I191" s="193" t="s">
        <v>771</v>
      </c>
      <c r="J191" s="82" t="s">
        <v>305</v>
      </c>
      <c r="K191" s="83" t="s">
        <v>184</v>
      </c>
      <c r="O191" s="84"/>
      <c r="P191" s="84"/>
      <c r="Q191" s="84"/>
      <c r="R191" s="84"/>
      <c r="S191" s="84"/>
      <c r="T191" s="84"/>
      <c r="U191" s="84"/>
      <c r="V191" s="84"/>
      <c r="W191" s="84"/>
      <c r="X191" s="84"/>
      <c r="Y191" s="84"/>
      <c r="Z191" s="84"/>
    </row>
    <row r="192" spans="1:26" ht="15.75" customHeight="1" x14ac:dyDescent="0.25">
      <c r="A192" s="85" t="s">
        <v>772</v>
      </c>
      <c r="B192" s="189" t="s">
        <v>530</v>
      </c>
      <c r="C192" s="9" t="s">
        <v>303</v>
      </c>
      <c r="D192" s="190">
        <v>15</v>
      </c>
      <c r="E192" s="191">
        <v>150</v>
      </c>
      <c r="F192" s="192">
        <v>6</v>
      </c>
      <c r="G192" s="191">
        <v>100</v>
      </c>
      <c r="H192" s="189" t="s">
        <v>773</v>
      </c>
      <c r="I192" s="193" t="s">
        <v>774</v>
      </c>
      <c r="J192" s="82" t="s">
        <v>305</v>
      </c>
      <c r="K192" s="83" t="s">
        <v>184</v>
      </c>
      <c r="O192" s="84"/>
      <c r="P192" s="84"/>
      <c r="Q192" s="84"/>
      <c r="R192" s="84"/>
      <c r="S192" s="84"/>
      <c r="T192" s="84"/>
      <c r="U192" s="84"/>
      <c r="V192" s="84"/>
      <c r="W192" s="84"/>
      <c r="X192" s="84"/>
      <c r="Y192" s="84"/>
      <c r="Z192" s="84"/>
    </row>
    <row r="193" spans="1:26" ht="15.75" customHeight="1" x14ac:dyDescent="0.25">
      <c r="A193" s="85" t="s">
        <v>775</v>
      </c>
      <c r="B193" s="189" t="s">
        <v>530</v>
      </c>
      <c r="C193" s="9" t="s">
        <v>314</v>
      </c>
      <c r="D193" s="190">
        <v>9</v>
      </c>
      <c r="E193" s="191">
        <v>90</v>
      </c>
      <c r="F193" s="192">
        <v>6</v>
      </c>
      <c r="G193" s="191">
        <v>100</v>
      </c>
      <c r="H193" s="189" t="s">
        <v>776</v>
      </c>
      <c r="I193" s="193" t="s">
        <v>776</v>
      </c>
      <c r="J193" s="82" t="s">
        <v>305</v>
      </c>
      <c r="K193" s="83" t="s">
        <v>184</v>
      </c>
      <c r="O193" s="84"/>
      <c r="P193" s="84"/>
      <c r="Q193" s="84"/>
      <c r="R193" s="84"/>
      <c r="S193" s="84"/>
      <c r="T193" s="84"/>
      <c r="U193" s="84"/>
      <c r="V193" s="84"/>
      <c r="W193" s="84"/>
      <c r="X193" s="84"/>
      <c r="Y193" s="84"/>
      <c r="Z193" s="84"/>
    </row>
    <row r="194" spans="1:26" ht="15.75" customHeight="1" x14ac:dyDescent="0.25">
      <c r="A194" s="85" t="s">
        <v>777</v>
      </c>
      <c r="B194" s="189" t="s">
        <v>530</v>
      </c>
      <c r="C194" s="9" t="s">
        <v>303</v>
      </c>
      <c r="D194" s="190">
        <v>9</v>
      </c>
      <c r="E194" s="191">
        <v>85</v>
      </c>
      <c r="F194" s="192">
        <v>6</v>
      </c>
      <c r="G194" s="191">
        <v>100</v>
      </c>
      <c r="H194" s="189"/>
      <c r="I194" s="193" t="s">
        <v>184</v>
      </c>
      <c r="J194" s="82" t="s">
        <v>305</v>
      </c>
      <c r="K194" s="83" t="s">
        <v>184</v>
      </c>
      <c r="O194" s="84"/>
      <c r="P194" s="84"/>
      <c r="Q194" s="84"/>
      <c r="R194" s="84"/>
      <c r="S194" s="84"/>
      <c r="T194" s="84"/>
      <c r="U194" s="84"/>
      <c r="V194" s="84"/>
      <c r="W194" s="84"/>
      <c r="X194" s="84"/>
      <c r="Y194" s="84"/>
      <c r="Z194" s="84"/>
    </row>
    <row r="195" spans="1:26" ht="15.75" customHeight="1" x14ac:dyDescent="0.25">
      <c r="A195" s="85" t="s">
        <v>778</v>
      </c>
      <c r="B195" s="189" t="s">
        <v>530</v>
      </c>
      <c r="C195" s="9" t="s">
        <v>303</v>
      </c>
      <c r="D195" s="190" t="s">
        <v>304</v>
      </c>
      <c r="E195" s="191" t="s">
        <v>305</v>
      </c>
      <c r="F195" s="192">
        <v>6</v>
      </c>
      <c r="G195" s="191">
        <v>100</v>
      </c>
      <c r="H195" s="189" t="s">
        <v>779</v>
      </c>
      <c r="I195" s="193" t="s">
        <v>779</v>
      </c>
      <c r="J195" s="82" t="s">
        <v>305</v>
      </c>
      <c r="K195" s="83" t="s">
        <v>184</v>
      </c>
      <c r="O195" s="84"/>
      <c r="P195" s="84"/>
      <c r="Q195" s="84"/>
      <c r="R195" s="84"/>
      <c r="S195" s="84"/>
      <c r="T195" s="84"/>
      <c r="U195" s="84"/>
      <c r="V195" s="84"/>
      <c r="W195" s="84"/>
      <c r="X195" s="84"/>
      <c r="Y195" s="84"/>
      <c r="Z195" s="84"/>
    </row>
    <row r="196" spans="1:26" ht="15.75" customHeight="1" x14ac:dyDescent="0.25">
      <c r="A196" s="85" t="s">
        <v>780</v>
      </c>
      <c r="B196" s="189" t="s">
        <v>530</v>
      </c>
      <c r="C196" s="9" t="s">
        <v>314</v>
      </c>
      <c r="D196" s="190">
        <v>10</v>
      </c>
      <c r="E196" s="191">
        <v>100</v>
      </c>
      <c r="F196" s="192">
        <v>11</v>
      </c>
      <c r="G196" s="191">
        <v>75</v>
      </c>
      <c r="H196" s="189" t="s">
        <v>353</v>
      </c>
      <c r="I196" s="193" t="s">
        <v>354</v>
      </c>
      <c r="J196" s="82">
        <v>20</v>
      </c>
      <c r="K196" s="83">
        <v>17</v>
      </c>
      <c r="O196" s="84"/>
      <c r="P196" s="84"/>
      <c r="Q196" s="84"/>
      <c r="R196" s="84"/>
      <c r="S196" s="84"/>
      <c r="T196" s="84"/>
      <c r="U196" s="84"/>
      <c r="V196" s="84"/>
      <c r="W196" s="84"/>
      <c r="X196" s="84"/>
      <c r="Y196" s="84"/>
      <c r="Z196" s="84"/>
    </row>
    <row r="197" spans="1:26" ht="15.75" customHeight="1" x14ac:dyDescent="0.25">
      <c r="A197" s="85" t="s">
        <v>781</v>
      </c>
      <c r="B197" s="189" t="s">
        <v>530</v>
      </c>
      <c r="C197" s="9" t="s">
        <v>314</v>
      </c>
      <c r="D197" s="190">
        <v>6</v>
      </c>
      <c r="E197" s="191">
        <v>60</v>
      </c>
      <c r="F197" s="192">
        <v>8</v>
      </c>
      <c r="G197" s="191">
        <v>90</v>
      </c>
      <c r="H197" s="189" t="s">
        <v>610</v>
      </c>
      <c r="I197" s="193" t="s">
        <v>611</v>
      </c>
      <c r="J197" s="82" t="s">
        <v>305</v>
      </c>
      <c r="K197" s="83" t="s">
        <v>184</v>
      </c>
      <c r="O197" s="84"/>
      <c r="P197" s="84"/>
      <c r="Q197" s="84"/>
      <c r="R197" s="84"/>
      <c r="S197" s="84"/>
      <c r="T197" s="84"/>
      <c r="U197" s="84"/>
      <c r="V197" s="84"/>
      <c r="W197" s="84"/>
      <c r="X197" s="84"/>
      <c r="Y197" s="84"/>
      <c r="Z197" s="84"/>
    </row>
    <row r="198" spans="1:26" ht="15.75" customHeight="1" x14ac:dyDescent="0.25">
      <c r="A198" s="85" t="s">
        <v>782</v>
      </c>
      <c r="B198" s="189" t="s">
        <v>356</v>
      </c>
      <c r="C198" s="9" t="s">
        <v>314</v>
      </c>
      <c r="D198" s="190">
        <v>8</v>
      </c>
      <c r="E198" s="191">
        <v>75</v>
      </c>
      <c r="F198" s="192">
        <v>6</v>
      </c>
      <c r="G198" s="191">
        <v>100</v>
      </c>
      <c r="H198" s="189" t="s">
        <v>310</v>
      </c>
      <c r="I198" s="193" t="s">
        <v>311</v>
      </c>
      <c r="J198" s="82" t="s">
        <v>305</v>
      </c>
      <c r="K198" s="83" t="s">
        <v>184</v>
      </c>
      <c r="O198" s="84"/>
      <c r="P198" s="84"/>
      <c r="Q198" s="84"/>
      <c r="R198" s="84"/>
      <c r="S198" s="84"/>
      <c r="T198" s="84"/>
      <c r="U198" s="84"/>
      <c r="V198" s="84"/>
      <c r="W198" s="84"/>
      <c r="X198" s="84"/>
      <c r="Y198" s="84"/>
      <c r="Z198" s="84"/>
    </row>
    <row r="199" spans="1:26" ht="15.75" customHeight="1" x14ac:dyDescent="0.25">
      <c r="A199" s="85" t="s">
        <v>783</v>
      </c>
      <c r="B199" s="189" t="s">
        <v>359</v>
      </c>
      <c r="C199" s="9" t="s">
        <v>303</v>
      </c>
      <c r="D199" s="190">
        <v>5</v>
      </c>
      <c r="E199" s="191">
        <v>50</v>
      </c>
      <c r="F199" s="192">
        <v>6</v>
      </c>
      <c r="G199" s="191">
        <v>100</v>
      </c>
      <c r="H199" s="189" t="s">
        <v>784</v>
      </c>
      <c r="I199" s="193" t="s">
        <v>785</v>
      </c>
      <c r="J199" s="82" t="s">
        <v>305</v>
      </c>
      <c r="K199" s="83" t="s">
        <v>184</v>
      </c>
      <c r="O199" s="84"/>
      <c r="P199" s="84"/>
      <c r="Q199" s="84"/>
      <c r="R199" s="84"/>
      <c r="S199" s="84"/>
      <c r="T199" s="84"/>
      <c r="U199" s="84"/>
      <c r="V199" s="84"/>
      <c r="W199" s="84"/>
      <c r="X199" s="84"/>
      <c r="Y199" s="84"/>
      <c r="Z199" s="84"/>
    </row>
    <row r="200" spans="1:26" ht="15.75" customHeight="1" x14ac:dyDescent="0.25">
      <c r="A200" s="85" t="s">
        <v>786</v>
      </c>
      <c r="B200" s="189" t="s">
        <v>348</v>
      </c>
      <c r="C200" s="9" t="s">
        <v>303</v>
      </c>
      <c r="D200" s="190">
        <v>10</v>
      </c>
      <c r="E200" s="191">
        <v>100</v>
      </c>
      <c r="F200" s="192">
        <v>6</v>
      </c>
      <c r="G200" s="191">
        <v>100</v>
      </c>
      <c r="H200" s="189" t="s">
        <v>787</v>
      </c>
      <c r="I200" s="193" t="s">
        <v>788</v>
      </c>
      <c r="J200" s="82" t="s">
        <v>305</v>
      </c>
      <c r="K200" s="83" t="s">
        <v>184</v>
      </c>
      <c r="O200" s="84"/>
      <c r="P200" s="84"/>
      <c r="Q200" s="84"/>
      <c r="R200" s="84"/>
      <c r="S200" s="84"/>
      <c r="T200" s="84"/>
      <c r="U200" s="84"/>
      <c r="V200" s="84"/>
      <c r="W200" s="84"/>
      <c r="X200" s="84"/>
      <c r="Y200" s="84"/>
      <c r="Z200" s="84"/>
    </row>
    <row r="201" spans="1:26" ht="15.75" customHeight="1" x14ac:dyDescent="0.25">
      <c r="A201" s="85" t="s">
        <v>789</v>
      </c>
      <c r="B201" s="189" t="s">
        <v>331</v>
      </c>
      <c r="C201" s="9" t="s">
        <v>314</v>
      </c>
      <c r="D201" s="190">
        <v>8</v>
      </c>
      <c r="E201" s="191">
        <v>80</v>
      </c>
      <c r="F201" s="192">
        <v>6</v>
      </c>
      <c r="G201" s="191">
        <v>100</v>
      </c>
      <c r="H201" s="189"/>
      <c r="I201" s="193" t="s">
        <v>184</v>
      </c>
      <c r="J201" s="82" t="s">
        <v>305</v>
      </c>
      <c r="K201" s="83" t="s">
        <v>184</v>
      </c>
      <c r="O201" s="84"/>
      <c r="P201" s="84"/>
      <c r="Q201" s="84"/>
      <c r="R201" s="84"/>
      <c r="S201" s="84"/>
      <c r="T201" s="84"/>
      <c r="U201" s="84"/>
      <c r="V201" s="84"/>
      <c r="W201" s="84"/>
      <c r="X201" s="84"/>
      <c r="Y201" s="84"/>
      <c r="Z201" s="84"/>
    </row>
    <row r="202" spans="1:26" ht="15.75" customHeight="1" x14ac:dyDescent="0.25">
      <c r="A202" s="85" t="s">
        <v>790</v>
      </c>
      <c r="B202" s="189" t="s">
        <v>515</v>
      </c>
      <c r="C202" s="9" t="s">
        <v>314</v>
      </c>
      <c r="D202" s="190">
        <v>8</v>
      </c>
      <c r="E202" s="191">
        <v>80</v>
      </c>
      <c r="F202" s="192">
        <v>7</v>
      </c>
      <c r="G202" s="191">
        <v>95</v>
      </c>
      <c r="H202" s="189" t="s">
        <v>342</v>
      </c>
      <c r="I202" s="193" t="s">
        <v>343</v>
      </c>
      <c r="J202" s="82" t="s">
        <v>305</v>
      </c>
      <c r="K202" s="83" t="s">
        <v>184</v>
      </c>
      <c r="O202" s="84"/>
      <c r="P202" s="84"/>
      <c r="Q202" s="84"/>
      <c r="R202" s="84"/>
      <c r="S202" s="84"/>
      <c r="T202" s="84"/>
      <c r="U202" s="84"/>
      <c r="V202" s="84"/>
      <c r="W202" s="84"/>
      <c r="X202" s="84"/>
      <c r="Y202" s="84"/>
      <c r="Z202" s="84"/>
    </row>
    <row r="203" spans="1:26" ht="15.75" customHeight="1" x14ac:dyDescent="0.25">
      <c r="A203" s="85" t="s">
        <v>791</v>
      </c>
      <c r="B203" s="189" t="s">
        <v>309</v>
      </c>
      <c r="C203" s="9" t="s">
        <v>314</v>
      </c>
      <c r="D203" s="190">
        <v>8</v>
      </c>
      <c r="E203" s="191">
        <v>80</v>
      </c>
      <c r="F203" s="192">
        <v>6</v>
      </c>
      <c r="G203" s="191">
        <v>100</v>
      </c>
      <c r="H203" s="189" t="s">
        <v>556</v>
      </c>
      <c r="I203" s="193" t="s">
        <v>557</v>
      </c>
      <c r="J203" s="82">
        <v>100</v>
      </c>
      <c r="K203" s="83">
        <v>1</v>
      </c>
      <c r="O203" s="84"/>
      <c r="P203" s="84"/>
      <c r="Q203" s="84"/>
      <c r="R203" s="84"/>
      <c r="S203" s="84"/>
      <c r="T203" s="84"/>
      <c r="U203" s="84"/>
      <c r="V203" s="84"/>
      <c r="W203" s="84"/>
      <c r="X203" s="84"/>
      <c r="Y203" s="84"/>
      <c r="Z203" s="84"/>
    </row>
    <row r="204" spans="1:26" ht="15.75" customHeight="1" x14ac:dyDescent="0.25">
      <c r="A204" s="85" t="s">
        <v>792</v>
      </c>
      <c r="B204" s="189" t="s">
        <v>530</v>
      </c>
      <c r="C204" s="9" t="s">
        <v>314</v>
      </c>
      <c r="D204" s="190">
        <v>4</v>
      </c>
      <c r="E204" s="191">
        <v>40</v>
      </c>
      <c r="F204" s="192">
        <v>8</v>
      </c>
      <c r="G204" s="191">
        <v>90</v>
      </c>
      <c r="H204" s="189" t="s">
        <v>518</v>
      </c>
      <c r="I204" s="193" t="s">
        <v>518</v>
      </c>
      <c r="J204" s="82" t="s">
        <v>305</v>
      </c>
      <c r="K204" s="83" t="s">
        <v>184</v>
      </c>
      <c r="O204" s="84"/>
      <c r="P204" s="84"/>
      <c r="Q204" s="84"/>
      <c r="R204" s="84"/>
      <c r="S204" s="84"/>
      <c r="T204" s="84"/>
      <c r="U204" s="84"/>
      <c r="V204" s="84"/>
      <c r="W204" s="84"/>
      <c r="X204" s="84"/>
      <c r="Y204" s="84"/>
      <c r="Z204" s="84"/>
    </row>
    <row r="205" spans="1:26" ht="15.75" customHeight="1" x14ac:dyDescent="0.25">
      <c r="A205" s="85" t="s">
        <v>793</v>
      </c>
      <c r="B205" s="189" t="s">
        <v>331</v>
      </c>
      <c r="C205" s="9" t="s">
        <v>314</v>
      </c>
      <c r="D205" s="190">
        <v>4</v>
      </c>
      <c r="E205" s="191">
        <v>40</v>
      </c>
      <c r="F205" s="192">
        <v>8</v>
      </c>
      <c r="G205" s="191">
        <v>90</v>
      </c>
      <c r="H205" s="189" t="s">
        <v>794</v>
      </c>
      <c r="I205" s="193" t="s">
        <v>795</v>
      </c>
      <c r="J205" s="82" t="s">
        <v>305</v>
      </c>
      <c r="K205" s="83" t="s">
        <v>184</v>
      </c>
      <c r="O205" s="84"/>
      <c r="P205" s="84"/>
      <c r="Q205" s="84"/>
      <c r="R205" s="84"/>
      <c r="S205" s="84"/>
      <c r="T205" s="84"/>
      <c r="U205" s="84"/>
      <c r="V205" s="84"/>
      <c r="W205" s="84"/>
      <c r="X205" s="84"/>
      <c r="Y205" s="84"/>
      <c r="Z205" s="84"/>
    </row>
    <row r="206" spans="1:26" ht="15.75" customHeight="1" x14ac:dyDescent="0.25">
      <c r="A206" s="85" t="s">
        <v>796</v>
      </c>
      <c r="B206" s="189" t="s">
        <v>530</v>
      </c>
      <c r="C206" s="9" t="s">
        <v>303</v>
      </c>
      <c r="D206" s="190">
        <v>10</v>
      </c>
      <c r="E206" s="191">
        <v>100</v>
      </c>
      <c r="F206" s="192">
        <v>6</v>
      </c>
      <c r="G206" s="191">
        <v>100</v>
      </c>
      <c r="H206" s="189" t="s">
        <v>797</v>
      </c>
      <c r="I206" s="193" t="s">
        <v>459</v>
      </c>
      <c r="J206" s="82" t="s">
        <v>305</v>
      </c>
      <c r="K206" s="83" t="s">
        <v>184</v>
      </c>
      <c r="O206" s="84"/>
      <c r="P206" s="84"/>
      <c r="Q206" s="84"/>
      <c r="R206" s="84"/>
      <c r="S206" s="84"/>
      <c r="T206" s="84"/>
      <c r="U206" s="84"/>
      <c r="V206" s="84"/>
      <c r="W206" s="84"/>
      <c r="X206" s="84"/>
      <c r="Y206" s="84"/>
      <c r="Z206" s="84"/>
    </row>
    <row r="207" spans="1:26" ht="15.75" customHeight="1" x14ac:dyDescent="0.25">
      <c r="A207" s="85" t="s">
        <v>798</v>
      </c>
      <c r="B207" s="189" t="s">
        <v>356</v>
      </c>
      <c r="C207" s="9" t="s">
        <v>314</v>
      </c>
      <c r="D207" s="190">
        <v>10</v>
      </c>
      <c r="E207" s="191">
        <v>100</v>
      </c>
      <c r="F207" s="192">
        <v>16</v>
      </c>
      <c r="G207" s="191">
        <v>50</v>
      </c>
      <c r="H207" s="189" t="s">
        <v>596</v>
      </c>
      <c r="I207" s="193" t="s">
        <v>597</v>
      </c>
      <c r="J207" s="82">
        <v>100</v>
      </c>
      <c r="K207" s="83">
        <v>1</v>
      </c>
      <c r="O207" s="84"/>
      <c r="P207" s="84"/>
      <c r="Q207" s="84"/>
      <c r="R207" s="84"/>
      <c r="S207" s="84"/>
      <c r="T207" s="84"/>
      <c r="U207" s="84"/>
      <c r="V207" s="84"/>
      <c r="W207" s="84"/>
      <c r="X207" s="84"/>
      <c r="Y207" s="84"/>
      <c r="Z207" s="84"/>
    </row>
    <row r="208" spans="1:26" ht="15.75" customHeight="1" x14ac:dyDescent="0.25">
      <c r="A208" s="85" t="s">
        <v>799</v>
      </c>
      <c r="B208" s="189" t="s">
        <v>515</v>
      </c>
      <c r="C208" s="9" t="s">
        <v>303</v>
      </c>
      <c r="D208" s="190">
        <v>9</v>
      </c>
      <c r="E208" s="191">
        <v>90</v>
      </c>
      <c r="F208" s="192">
        <v>6</v>
      </c>
      <c r="G208" s="191">
        <v>100</v>
      </c>
      <c r="H208" s="189" t="s">
        <v>319</v>
      </c>
      <c r="I208" s="193" t="s">
        <v>320</v>
      </c>
      <c r="J208" s="82">
        <v>10</v>
      </c>
      <c r="K208" s="83">
        <v>19</v>
      </c>
      <c r="O208" s="84"/>
      <c r="P208" s="84"/>
      <c r="Q208" s="84"/>
      <c r="R208" s="84"/>
      <c r="S208" s="84"/>
      <c r="T208" s="84"/>
      <c r="U208" s="84"/>
      <c r="V208" s="84"/>
      <c r="W208" s="84"/>
      <c r="X208" s="84"/>
      <c r="Y208" s="84"/>
      <c r="Z208" s="84"/>
    </row>
    <row r="209" spans="1:26" ht="15.75" customHeight="1" x14ac:dyDescent="0.25">
      <c r="A209" s="85" t="s">
        <v>800</v>
      </c>
      <c r="B209" s="189" t="s">
        <v>515</v>
      </c>
      <c r="C209" s="9" t="s">
        <v>314</v>
      </c>
      <c r="D209" s="190">
        <v>10</v>
      </c>
      <c r="E209" s="191">
        <v>100</v>
      </c>
      <c r="F209" s="192">
        <v>6</v>
      </c>
      <c r="G209" s="191">
        <v>100</v>
      </c>
      <c r="H209" s="189" t="s">
        <v>801</v>
      </c>
      <c r="I209" s="193" t="s">
        <v>802</v>
      </c>
      <c r="J209" s="82" t="s">
        <v>305</v>
      </c>
      <c r="K209" s="83" t="s">
        <v>184</v>
      </c>
      <c r="O209" s="84"/>
      <c r="P209" s="84"/>
      <c r="Q209" s="84"/>
      <c r="R209" s="84"/>
      <c r="S209" s="84"/>
      <c r="T209" s="84"/>
      <c r="U209" s="84"/>
      <c r="V209" s="84"/>
      <c r="W209" s="84"/>
      <c r="X209" s="84"/>
      <c r="Y209" s="84"/>
      <c r="Z209" s="84"/>
    </row>
    <row r="210" spans="1:26" ht="15.75" customHeight="1" x14ac:dyDescent="0.25">
      <c r="A210" s="85" t="s">
        <v>803</v>
      </c>
      <c r="B210" s="189" t="s">
        <v>335</v>
      </c>
      <c r="C210" s="9" t="s">
        <v>303</v>
      </c>
      <c r="D210" s="190">
        <v>4</v>
      </c>
      <c r="E210" s="191">
        <v>40</v>
      </c>
      <c r="F210" s="192">
        <v>6</v>
      </c>
      <c r="G210" s="191">
        <v>100</v>
      </c>
      <c r="H210" s="189" t="s">
        <v>804</v>
      </c>
      <c r="I210" s="193" t="s">
        <v>805</v>
      </c>
      <c r="J210" s="82" t="s">
        <v>305</v>
      </c>
      <c r="K210" s="83" t="s">
        <v>184</v>
      </c>
      <c r="O210" s="84"/>
      <c r="P210" s="84"/>
      <c r="Q210" s="84"/>
      <c r="R210" s="84"/>
      <c r="S210" s="84"/>
      <c r="T210" s="84"/>
      <c r="U210" s="84"/>
      <c r="V210" s="84"/>
      <c r="W210" s="84"/>
      <c r="X210" s="84"/>
      <c r="Y210" s="84"/>
      <c r="Z210" s="84"/>
    </row>
    <row r="211" spans="1:26" ht="15.75" customHeight="1" x14ac:dyDescent="0.25">
      <c r="A211" s="85" t="s">
        <v>806</v>
      </c>
      <c r="B211" s="189" t="s">
        <v>302</v>
      </c>
      <c r="C211" s="9" t="s">
        <v>322</v>
      </c>
      <c r="D211" s="190" t="s">
        <v>304</v>
      </c>
      <c r="E211" s="191" t="s">
        <v>305</v>
      </c>
      <c r="F211" s="192">
        <v>6</v>
      </c>
      <c r="G211" s="191">
        <v>100</v>
      </c>
      <c r="H211" s="189" t="s">
        <v>807</v>
      </c>
      <c r="I211" s="193" t="s">
        <v>808</v>
      </c>
      <c r="J211" s="82" t="s">
        <v>305</v>
      </c>
      <c r="K211" s="83" t="s">
        <v>184</v>
      </c>
      <c r="O211" s="84"/>
      <c r="P211" s="84"/>
      <c r="Q211" s="84"/>
      <c r="R211" s="84"/>
      <c r="S211" s="84"/>
      <c r="T211" s="84"/>
      <c r="U211" s="84"/>
      <c r="V211" s="84"/>
      <c r="W211" s="84"/>
      <c r="X211" s="84"/>
      <c r="Y211" s="84"/>
      <c r="Z211" s="84"/>
    </row>
    <row r="212" spans="1:26" ht="15.75" customHeight="1" x14ac:dyDescent="0.25">
      <c r="A212" s="85" t="s">
        <v>809</v>
      </c>
      <c r="B212" s="189" t="s">
        <v>348</v>
      </c>
      <c r="C212" s="9" t="s">
        <v>303</v>
      </c>
      <c r="D212" s="190">
        <v>8</v>
      </c>
      <c r="E212" s="191">
        <v>80</v>
      </c>
      <c r="F212" s="192">
        <v>6</v>
      </c>
      <c r="G212" s="191">
        <v>100</v>
      </c>
      <c r="H212" s="189" t="s">
        <v>810</v>
      </c>
      <c r="I212" s="193" t="s">
        <v>810</v>
      </c>
      <c r="J212" s="82" t="s">
        <v>305</v>
      </c>
      <c r="K212" s="83" t="s">
        <v>184</v>
      </c>
      <c r="O212" s="84"/>
      <c r="P212" s="84"/>
      <c r="Q212" s="84"/>
      <c r="R212" s="84"/>
      <c r="S212" s="84"/>
      <c r="T212" s="84"/>
      <c r="U212" s="84"/>
      <c r="V212" s="84"/>
      <c r="W212" s="84"/>
      <c r="X212" s="84"/>
      <c r="Y212" s="84"/>
      <c r="Z212" s="84"/>
    </row>
    <row r="213" spans="1:26" ht="15.75" customHeight="1" x14ac:dyDescent="0.25">
      <c r="A213" s="85" t="s">
        <v>811</v>
      </c>
      <c r="B213" s="189" t="s">
        <v>335</v>
      </c>
      <c r="C213" s="9" t="s">
        <v>314</v>
      </c>
      <c r="D213" s="190">
        <v>10</v>
      </c>
      <c r="E213" s="191">
        <v>100</v>
      </c>
      <c r="F213" s="192">
        <v>11</v>
      </c>
      <c r="G213" s="191">
        <v>75</v>
      </c>
      <c r="H213" s="189"/>
      <c r="I213" s="193" t="s">
        <v>184</v>
      </c>
      <c r="J213" s="82" t="s">
        <v>305</v>
      </c>
      <c r="K213" s="83" t="s">
        <v>184</v>
      </c>
      <c r="O213" s="84"/>
      <c r="P213" s="84"/>
      <c r="Q213" s="84"/>
      <c r="R213" s="84"/>
      <c r="S213" s="84"/>
      <c r="T213" s="84"/>
      <c r="U213" s="84"/>
      <c r="V213" s="84"/>
      <c r="W213" s="84"/>
      <c r="X213" s="84"/>
      <c r="Y213" s="84"/>
      <c r="Z213" s="84"/>
    </row>
    <row r="214" spans="1:26" ht="15.75" customHeight="1" x14ac:dyDescent="0.25">
      <c r="A214" s="85" t="s">
        <v>812</v>
      </c>
      <c r="B214" s="189" t="s">
        <v>302</v>
      </c>
      <c r="C214" s="9" t="s">
        <v>322</v>
      </c>
      <c r="D214" s="190" t="s">
        <v>304</v>
      </c>
      <c r="E214" s="191" t="s">
        <v>305</v>
      </c>
      <c r="F214" s="192" t="s">
        <v>304</v>
      </c>
      <c r="G214" s="191" t="s">
        <v>305</v>
      </c>
      <c r="H214" s="189" t="s">
        <v>813</v>
      </c>
      <c r="I214" s="193" t="s">
        <v>814</v>
      </c>
      <c r="J214" s="82" t="s">
        <v>305</v>
      </c>
      <c r="K214" s="83" t="s">
        <v>184</v>
      </c>
      <c r="O214" s="84"/>
      <c r="P214" s="84"/>
      <c r="Q214" s="84"/>
      <c r="R214" s="84"/>
      <c r="S214" s="84"/>
      <c r="T214" s="84"/>
      <c r="U214" s="84"/>
      <c r="V214" s="84"/>
      <c r="W214" s="84"/>
      <c r="X214" s="84"/>
      <c r="Y214" s="84"/>
      <c r="Z214" s="84"/>
    </row>
    <row r="215" spans="1:26" ht="15.75" customHeight="1" x14ac:dyDescent="0.25">
      <c r="A215" s="85" t="s">
        <v>815</v>
      </c>
      <c r="B215" s="189" t="s">
        <v>302</v>
      </c>
      <c r="C215" s="9" t="s">
        <v>322</v>
      </c>
      <c r="D215" s="190" t="s">
        <v>304</v>
      </c>
      <c r="E215" s="191" t="s">
        <v>305</v>
      </c>
      <c r="F215" s="192" t="s">
        <v>304</v>
      </c>
      <c r="G215" s="191" t="s">
        <v>305</v>
      </c>
      <c r="H215" s="189" t="s">
        <v>816</v>
      </c>
      <c r="I215" s="193" t="s">
        <v>817</v>
      </c>
      <c r="J215" s="82" t="s">
        <v>305</v>
      </c>
      <c r="K215" s="83" t="s">
        <v>184</v>
      </c>
      <c r="O215" s="84"/>
      <c r="P215" s="84"/>
      <c r="Q215" s="84"/>
      <c r="R215" s="84"/>
      <c r="S215" s="84"/>
      <c r="T215" s="84"/>
      <c r="U215" s="84"/>
      <c r="V215" s="84"/>
      <c r="W215" s="84"/>
      <c r="X215" s="84"/>
      <c r="Y215" s="84"/>
      <c r="Z215" s="84"/>
    </row>
    <row r="216" spans="1:26" ht="15.75" customHeight="1" x14ac:dyDescent="0.25">
      <c r="A216" s="85" t="s">
        <v>818</v>
      </c>
      <c r="B216" s="189" t="s">
        <v>302</v>
      </c>
      <c r="C216" s="9" t="s">
        <v>303</v>
      </c>
      <c r="D216" s="190" t="s">
        <v>304</v>
      </c>
      <c r="E216" s="191" t="s">
        <v>305</v>
      </c>
      <c r="F216" s="192">
        <v>6</v>
      </c>
      <c r="G216" s="191">
        <v>100</v>
      </c>
      <c r="H216" s="189" t="s">
        <v>819</v>
      </c>
      <c r="I216" s="193" t="s">
        <v>820</v>
      </c>
      <c r="J216" s="82" t="s">
        <v>305</v>
      </c>
      <c r="K216" s="83" t="s">
        <v>184</v>
      </c>
      <c r="O216" s="84"/>
      <c r="P216" s="84"/>
      <c r="Q216" s="84"/>
      <c r="R216" s="84"/>
      <c r="S216" s="84"/>
      <c r="T216" s="84"/>
      <c r="U216" s="84"/>
      <c r="V216" s="84"/>
      <c r="W216" s="84"/>
      <c r="X216" s="84"/>
      <c r="Y216" s="84"/>
      <c r="Z216" s="84"/>
    </row>
    <row r="217" spans="1:26" ht="15.75" customHeight="1" x14ac:dyDescent="0.25">
      <c r="A217" s="85" t="s">
        <v>821</v>
      </c>
      <c r="B217" s="189" t="s">
        <v>302</v>
      </c>
      <c r="C217" s="9" t="s">
        <v>303</v>
      </c>
      <c r="D217" s="190">
        <v>10</v>
      </c>
      <c r="E217" s="191">
        <v>100</v>
      </c>
      <c r="F217" s="192">
        <v>6</v>
      </c>
      <c r="G217" s="191">
        <v>100</v>
      </c>
      <c r="H217" s="189" t="s">
        <v>633</v>
      </c>
      <c r="I217" s="193" t="s">
        <v>634</v>
      </c>
      <c r="J217" s="82" t="s">
        <v>305</v>
      </c>
      <c r="K217" s="83" t="s">
        <v>184</v>
      </c>
      <c r="O217" s="84"/>
      <c r="P217" s="84"/>
      <c r="Q217" s="84"/>
      <c r="R217" s="84"/>
      <c r="S217" s="84"/>
      <c r="T217" s="84"/>
      <c r="U217" s="84"/>
      <c r="V217" s="84"/>
      <c r="W217" s="84"/>
      <c r="X217" s="84"/>
      <c r="Y217" s="84"/>
      <c r="Z217" s="84"/>
    </row>
    <row r="218" spans="1:26" ht="15.75" customHeight="1" x14ac:dyDescent="0.25">
      <c r="A218" s="85" t="s">
        <v>822</v>
      </c>
      <c r="B218" s="189" t="s">
        <v>302</v>
      </c>
      <c r="C218" s="9" t="s">
        <v>303</v>
      </c>
      <c r="D218" s="190">
        <v>13</v>
      </c>
      <c r="E218" s="191">
        <v>130</v>
      </c>
      <c r="F218" s="192">
        <v>6</v>
      </c>
      <c r="G218" s="191">
        <v>100</v>
      </c>
      <c r="H218" s="189" t="s">
        <v>823</v>
      </c>
      <c r="I218" s="193" t="s">
        <v>824</v>
      </c>
      <c r="J218" s="82" t="s">
        <v>305</v>
      </c>
      <c r="K218" s="83" t="s">
        <v>184</v>
      </c>
      <c r="O218" s="84"/>
      <c r="P218" s="84"/>
      <c r="Q218" s="84"/>
      <c r="R218" s="84"/>
      <c r="S218" s="84"/>
      <c r="T218" s="84"/>
      <c r="U218" s="84"/>
      <c r="V218" s="84"/>
      <c r="W218" s="84"/>
      <c r="X218" s="84"/>
      <c r="Y218" s="84"/>
      <c r="Z218" s="84"/>
    </row>
    <row r="219" spans="1:26" ht="15.75" customHeight="1" x14ac:dyDescent="0.25">
      <c r="A219" s="85" t="s">
        <v>825</v>
      </c>
      <c r="B219" s="189" t="s">
        <v>302</v>
      </c>
      <c r="C219" s="9" t="s">
        <v>303</v>
      </c>
      <c r="D219" s="190">
        <v>6</v>
      </c>
      <c r="E219" s="191">
        <v>55</v>
      </c>
      <c r="F219" s="192">
        <v>7</v>
      </c>
      <c r="G219" s="191">
        <v>95</v>
      </c>
      <c r="H219" s="189" t="s">
        <v>556</v>
      </c>
      <c r="I219" s="193" t="s">
        <v>557</v>
      </c>
      <c r="J219" s="82">
        <v>100</v>
      </c>
      <c r="K219" s="83">
        <v>1</v>
      </c>
      <c r="O219" s="84"/>
      <c r="P219" s="84"/>
      <c r="Q219" s="84"/>
      <c r="R219" s="84"/>
      <c r="S219" s="84"/>
      <c r="T219" s="84"/>
      <c r="U219" s="84"/>
      <c r="V219" s="84"/>
      <c r="W219" s="84"/>
      <c r="X219" s="84"/>
      <c r="Y219" s="84"/>
      <c r="Z219" s="84"/>
    </row>
    <row r="220" spans="1:26" ht="15.75" customHeight="1" x14ac:dyDescent="0.25">
      <c r="A220" s="85" t="s">
        <v>120</v>
      </c>
      <c r="B220" s="189" t="s">
        <v>403</v>
      </c>
      <c r="C220" s="9" t="s">
        <v>322</v>
      </c>
      <c r="D220" s="190" t="s">
        <v>304</v>
      </c>
      <c r="E220" s="191" t="s">
        <v>305</v>
      </c>
      <c r="F220" s="192">
        <v>6</v>
      </c>
      <c r="G220" s="191">
        <v>100</v>
      </c>
      <c r="H220" s="189" t="s">
        <v>826</v>
      </c>
      <c r="I220" s="193" t="s">
        <v>827</v>
      </c>
      <c r="J220" s="82" t="s">
        <v>305</v>
      </c>
      <c r="K220" s="83" t="s">
        <v>184</v>
      </c>
      <c r="O220" s="84"/>
      <c r="P220" s="84"/>
      <c r="Q220" s="84"/>
      <c r="R220" s="84"/>
      <c r="S220" s="84"/>
      <c r="T220" s="84"/>
      <c r="U220" s="84"/>
      <c r="V220" s="84"/>
      <c r="W220" s="84"/>
      <c r="X220" s="84"/>
      <c r="Y220" s="84"/>
      <c r="Z220" s="84"/>
    </row>
    <row r="221" spans="1:26" ht="15.75" customHeight="1" x14ac:dyDescent="0.25">
      <c r="A221" s="85" t="s">
        <v>828</v>
      </c>
      <c r="B221" s="189" t="s">
        <v>390</v>
      </c>
      <c r="C221" s="9" t="s">
        <v>303</v>
      </c>
      <c r="D221" s="190">
        <v>4</v>
      </c>
      <c r="E221" s="191">
        <v>40</v>
      </c>
      <c r="F221" s="192">
        <v>6</v>
      </c>
      <c r="G221" s="191">
        <v>100</v>
      </c>
      <c r="H221" s="189" t="s">
        <v>502</v>
      </c>
      <c r="I221" s="193" t="s">
        <v>503</v>
      </c>
      <c r="J221" s="82">
        <v>10</v>
      </c>
      <c r="K221" s="83">
        <v>19</v>
      </c>
      <c r="O221" s="84"/>
      <c r="P221" s="84"/>
      <c r="Q221" s="84"/>
      <c r="R221" s="84"/>
      <c r="S221" s="84"/>
      <c r="T221" s="84"/>
      <c r="U221" s="84"/>
      <c r="V221" s="84"/>
      <c r="W221" s="84"/>
      <c r="X221" s="84"/>
      <c r="Y221" s="84"/>
      <c r="Z221" s="84"/>
    </row>
    <row r="222" spans="1:26" ht="15.75" customHeight="1" x14ac:dyDescent="0.25">
      <c r="A222" s="85" t="s">
        <v>124</v>
      </c>
      <c r="B222" s="189" t="s">
        <v>335</v>
      </c>
      <c r="C222" s="9" t="s">
        <v>322</v>
      </c>
      <c r="D222" s="190" t="s">
        <v>304</v>
      </c>
      <c r="E222" s="191" t="s">
        <v>305</v>
      </c>
      <c r="F222" s="192">
        <v>6</v>
      </c>
      <c r="G222" s="191">
        <v>100</v>
      </c>
      <c r="H222" s="189" t="s">
        <v>829</v>
      </c>
      <c r="I222" s="193" t="s">
        <v>830</v>
      </c>
      <c r="J222" s="82" t="s">
        <v>305</v>
      </c>
      <c r="K222" s="83" t="s">
        <v>184</v>
      </c>
      <c r="O222" s="84"/>
      <c r="P222" s="84"/>
      <c r="Q222" s="84"/>
      <c r="R222" s="84"/>
      <c r="S222" s="84"/>
      <c r="T222" s="84"/>
      <c r="U222" s="84"/>
      <c r="V222" s="84"/>
      <c r="W222" s="84"/>
      <c r="X222" s="84"/>
      <c r="Y222" s="84"/>
      <c r="Z222" s="84"/>
    </row>
    <row r="223" spans="1:26" ht="15.75" customHeight="1" x14ac:dyDescent="0.25">
      <c r="A223" s="85" t="s">
        <v>831</v>
      </c>
      <c r="B223" s="189" t="s">
        <v>335</v>
      </c>
      <c r="C223" s="9" t="s">
        <v>314</v>
      </c>
      <c r="D223" s="190" t="s">
        <v>304</v>
      </c>
      <c r="E223" s="191" t="s">
        <v>305</v>
      </c>
      <c r="F223" s="192">
        <v>6</v>
      </c>
      <c r="G223" s="191">
        <v>100</v>
      </c>
      <c r="H223" s="189" t="s">
        <v>832</v>
      </c>
      <c r="I223" s="193" t="s">
        <v>833</v>
      </c>
      <c r="J223" s="82" t="s">
        <v>305</v>
      </c>
      <c r="K223" s="83" t="s">
        <v>184</v>
      </c>
      <c r="O223" s="84"/>
      <c r="P223" s="84"/>
      <c r="Q223" s="84"/>
      <c r="R223" s="84"/>
      <c r="S223" s="84"/>
      <c r="T223" s="84"/>
      <c r="U223" s="84"/>
      <c r="V223" s="84"/>
      <c r="W223" s="84"/>
      <c r="X223" s="84"/>
      <c r="Y223" s="84"/>
      <c r="Z223" s="84"/>
    </row>
    <row r="224" spans="1:26" ht="15.75" customHeight="1" x14ac:dyDescent="0.25">
      <c r="A224" s="85" t="s">
        <v>834</v>
      </c>
      <c r="B224" s="189" t="s">
        <v>335</v>
      </c>
      <c r="C224" s="9" t="s">
        <v>322</v>
      </c>
      <c r="D224" s="190" t="s">
        <v>304</v>
      </c>
      <c r="E224" s="191" t="s">
        <v>305</v>
      </c>
      <c r="F224" s="192" t="s">
        <v>304</v>
      </c>
      <c r="G224" s="191" t="s">
        <v>305</v>
      </c>
      <c r="H224" s="189" t="s">
        <v>835</v>
      </c>
      <c r="I224" s="193" t="s">
        <v>836</v>
      </c>
      <c r="J224" s="82" t="s">
        <v>305</v>
      </c>
      <c r="K224" s="83" t="s">
        <v>184</v>
      </c>
      <c r="O224" s="84"/>
      <c r="P224" s="84"/>
      <c r="Q224" s="84"/>
      <c r="R224" s="84"/>
      <c r="S224" s="84"/>
      <c r="T224" s="84"/>
      <c r="U224" s="84"/>
      <c r="V224" s="84"/>
      <c r="W224" s="84"/>
      <c r="X224" s="84"/>
      <c r="Y224" s="84"/>
      <c r="Z224" s="84"/>
    </row>
    <row r="225" spans="1:26" ht="15.75" customHeight="1" x14ac:dyDescent="0.25">
      <c r="A225" s="85" t="s">
        <v>837</v>
      </c>
      <c r="B225" s="189" t="s">
        <v>309</v>
      </c>
      <c r="C225" s="9" t="s">
        <v>303</v>
      </c>
      <c r="D225" s="190">
        <v>9</v>
      </c>
      <c r="E225" s="191">
        <v>90</v>
      </c>
      <c r="F225" s="192">
        <v>6</v>
      </c>
      <c r="G225" s="191">
        <v>100</v>
      </c>
      <c r="H225" s="189" t="s">
        <v>319</v>
      </c>
      <c r="I225" s="193" t="s">
        <v>320</v>
      </c>
      <c r="J225" s="82">
        <v>10</v>
      </c>
      <c r="K225" s="83">
        <v>19</v>
      </c>
      <c r="O225" s="84"/>
      <c r="P225" s="84"/>
      <c r="Q225" s="84"/>
      <c r="R225" s="84"/>
      <c r="S225" s="84"/>
      <c r="T225" s="84"/>
      <c r="U225" s="84"/>
      <c r="V225" s="84"/>
      <c r="W225" s="84"/>
      <c r="X225" s="84"/>
      <c r="Y225" s="84"/>
      <c r="Z225" s="84"/>
    </row>
    <row r="226" spans="1:26" ht="15.75" customHeight="1" x14ac:dyDescent="0.25">
      <c r="A226" s="85" t="s">
        <v>838</v>
      </c>
      <c r="B226" s="189" t="s">
        <v>335</v>
      </c>
      <c r="C226" s="9" t="s">
        <v>322</v>
      </c>
      <c r="D226" s="190" t="s">
        <v>304</v>
      </c>
      <c r="E226" s="191" t="s">
        <v>305</v>
      </c>
      <c r="F226" s="192">
        <v>6</v>
      </c>
      <c r="G226" s="191">
        <v>100</v>
      </c>
      <c r="H226" s="189" t="s">
        <v>839</v>
      </c>
      <c r="I226" s="193" t="s">
        <v>840</v>
      </c>
      <c r="J226" s="82" t="s">
        <v>305</v>
      </c>
      <c r="K226" s="83" t="s">
        <v>184</v>
      </c>
      <c r="O226" s="84"/>
      <c r="P226" s="84"/>
      <c r="Q226" s="84"/>
      <c r="R226" s="84"/>
      <c r="S226" s="84"/>
      <c r="T226" s="84"/>
      <c r="U226" s="84"/>
      <c r="V226" s="84"/>
      <c r="W226" s="84"/>
      <c r="X226" s="84"/>
      <c r="Y226" s="84"/>
      <c r="Z226" s="84"/>
    </row>
    <row r="227" spans="1:26" ht="15.75" customHeight="1" x14ac:dyDescent="0.25">
      <c r="A227" s="85" t="s">
        <v>841</v>
      </c>
      <c r="B227" s="189" t="s">
        <v>390</v>
      </c>
      <c r="C227" s="9" t="s">
        <v>303</v>
      </c>
      <c r="D227" s="190">
        <v>15</v>
      </c>
      <c r="E227" s="191">
        <v>150</v>
      </c>
      <c r="F227" s="192">
        <v>6</v>
      </c>
      <c r="G227" s="191">
        <v>100</v>
      </c>
      <c r="H227" s="189" t="s">
        <v>842</v>
      </c>
      <c r="I227" s="193" t="s">
        <v>842</v>
      </c>
      <c r="J227" s="82" t="s">
        <v>305</v>
      </c>
      <c r="K227" s="83" t="s">
        <v>184</v>
      </c>
      <c r="O227" s="84"/>
      <c r="P227" s="84"/>
      <c r="Q227" s="84"/>
      <c r="R227" s="84"/>
      <c r="S227" s="84"/>
      <c r="T227" s="84"/>
      <c r="U227" s="84"/>
      <c r="V227" s="84"/>
      <c r="W227" s="84"/>
      <c r="X227" s="84"/>
      <c r="Y227" s="84"/>
      <c r="Z227" s="84"/>
    </row>
    <row r="228" spans="1:26" ht="15.75" customHeight="1" x14ac:dyDescent="0.25">
      <c r="A228" s="85" t="s">
        <v>843</v>
      </c>
      <c r="B228" s="189" t="s">
        <v>348</v>
      </c>
      <c r="C228" s="9" t="s">
        <v>303</v>
      </c>
      <c r="D228" s="190">
        <v>8</v>
      </c>
      <c r="E228" s="191">
        <v>80</v>
      </c>
      <c r="F228" s="192">
        <v>6</v>
      </c>
      <c r="G228" s="191">
        <v>100</v>
      </c>
      <c r="H228" s="189" t="s">
        <v>844</v>
      </c>
      <c r="I228" s="193" t="s">
        <v>845</v>
      </c>
      <c r="J228" s="82" t="s">
        <v>305</v>
      </c>
      <c r="K228" s="83" t="s">
        <v>184</v>
      </c>
      <c r="O228" s="84"/>
      <c r="P228" s="84"/>
      <c r="Q228" s="84"/>
      <c r="R228" s="84"/>
      <c r="S228" s="84"/>
      <c r="T228" s="84"/>
      <c r="U228" s="84"/>
      <c r="V228" s="84"/>
      <c r="W228" s="84"/>
      <c r="X228" s="84"/>
      <c r="Y228" s="84"/>
      <c r="Z228" s="84"/>
    </row>
    <row r="229" spans="1:26" ht="15.75" customHeight="1" x14ac:dyDescent="0.25">
      <c r="A229" s="85" t="s">
        <v>846</v>
      </c>
      <c r="B229" s="189" t="s">
        <v>530</v>
      </c>
      <c r="C229" s="9" t="s">
        <v>303</v>
      </c>
      <c r="D229" s="190">
        <v>16</v>
      </c>
      <c r="E229" s="191">
        <v>160</v>
      </c>
      <c r="F229" s="192">
        <v>8</v>
      </c>
      <c r="G229" s="191">
        <v>90</v>
      </c>
      <c r="H229" s="189" t="s">
        <v>847</v>
      </c>
      <c r="I229" s="193" t="s">
        <v>848</v>
      </c>
      <c r="J229" s="82" t="s">
        <v>305</v>
      </c>
      <c r="K229" s="83" t="s">
        <v>184</v>
      </c>
      <c r="O229" s="84"/>
      <c r="P229" s="84"/>
      <c r="Q229" s="84"/>
      <c r="R229" s="84"/>
      <c r="S229" s="84"/>
      <c r="T229" s="84"/>
      <c r="U229" s="84"/>
      <c r="V229" s="84"/>
      <c r="W229" s="84"/>
      <c r="X229" s="84"/>
      <c r="Y229" s="84"/>
      <c r="Z229" s="84"/>
    </row>
    <row r="230" spans="1:26" ht="15.75" customHeight="1" x14ac:dyDescent="0.25">
      <c r="A230" s="85" t="s">
        <v>849</v>
      </c>
      <c r="B230" s="189" t="s">
        <v>348</v>
      </c>
      <c r="C230" s="9" t="s">
        <v>303</v>
      </c>
      <c r="D230" s="190">
        <v>8</v>
      </c>
      <c r="E230" s="191">
        <v>80</v>
      </c>
      <c r="F230" s="192">
        <v>6</v>
      </c>
      <c r="G230" s="191">
        <v>100</v>
      </c>
      <c r="H230" s="189" t="s">
        <v>850</v>
      </c>
      <c r="I230" s="193" t="s">
        <v>851</v>
      </c>
      <c r="J230" s="82" t="s">
        <v>305</v>
      </c>
      <c r="K230" s="83" t="s">
        <v>184</v>
      </c>
      <c r="O230" s="84"/>
      <c r="P230" s="84"/>
      <c r="Q230" s="84"/>
      <c r="R230" s="84"/>
      <c r="S230" s="84"/>
      <c r="T230" s="84"/>
      <c r="U230" s="84"/>
      <c r="V230" s="84"/>
      <c r="W230" s="84"/>
      <c r="X230" s="84"/>
      <c r="Y230" s="84"/>
      <c r="Z230" s="84"/>
    </row>
    <row r="231" spans="1:26" ht="15.75" customHeight="1" x14ac:dyDescent="0.25">
      <c r="A231" s="85" t="s">
        <v>852</v>
      </c>
      <c r="B231" s="189" t="s">
        <v>335</v>
      </c>
      <c r="C231" s="9" t="s">
        <v>314</v>
      </c>
      <c r="D231" s="190">
        <v>25</v>
      </c>
      <c r="E231" s="191">
        <v>250</v>
      </c>
      <c r="F231" s="192">
        <v>6</v>
      </c>
      <c r="G231" s="191">
        <v>100</v>
      </c>
      <c r="H231" s="189" t="s">
        <v>853</v>
      </c>
      <c r="I231" s="193" t="s">
        <v>853</v>
      </c>
      <c r="J231" s="82" t="s">
        <v>305</v>
      </c>
      <c r="K231" s="83" t="s">
        <v>184</v>
      </c>
      <c r="O231" s="84"/>
      <c r="P231" s="84"/>
      <c r="Q231" s="84"/>
      <c r="R231" s="84"/>
      <c r="S231" s="84"/>
      <c r="T231" s="84"/>
      <c r="U231" s="84"/>
      <c r="V231" s="84"/>
      <c r="W231" s="84"/>
      <c r="X231" s="84"/>
      <c r="Y231" s="84"/>
      <c r="Z231" s="84"/>
    </row>
    <row r="232" spans="1:26" ht="15.75" customHeight="1" x14ac:dyDescent="0.25">
      <c r="A232" s="85" t="s">
        <v>854</v>
      </c>
      <c r="B232" s="189" t="s">
        <v>348</v>
      </c>
      <c r="C232" s="9" t="s">
        <v>303</v>
      </c>
      <c r="D232" s="190">
        <v>8</v>
      </c>
      <c r="E232" s="191">
        <v>80</v>
      </c>
      <c r="F232" s="192">
        <v>6</v>
      </c>
      <c r="G232" s="191">
        <v>100</v>
      </c>
      <c r="H232" s="189" t="s">
        <v>353</v>
      </c>
      <c r="I232" s="193" t="s">
        <v>354</v>
      </c>
      <c r="J232" s="82">
        <v>10</v>
      </c>
      <c r="K232" s="83">
        <v>19</v>
      </c>
      <c r="O232" s="84"/>
      <c r="P232" s="84"/>
      <c r="Q232" s="84"/>
      <c r="R232" s="84"/>
      <c r="S232" s="84"/>
      <c r="T232" s="84"/>
      <c r="U232" s="84"/>
      <c r="V232" s="84"/>
      <c r="W232" s="84"/>
      <c r="X232" s="84"/>
      <c r="Y232" s="84"/>
      <c r="Z232" s="84"/>
    </row>
    <row r="233" spans="1:26" ht="15.75" customHeight="1" x14ac:dyDescent="0.25">
      <c r="A233" s="85" t="s">
        <v>855</v>
      </c>
      <c r="B233" s="189" t="s">
        <v>335</v>
      </c>
      <c r="C233" s="9" t="s">
        <v>322</v>
      </c>
      <c r="D233" s="190" t="s">
        <v>304</v>
      </c>
      <c r="E233" s="191" t="s">
        <v>305</v>
      </c>
      <c r="F233" s="192" t="s">
        <v>304</v>
      </c>
      <c r="G233" s="191" t="s">
        <v>305</v>
      </c>
      <c r="H233" s="189" t="s">
        <v>856</v>
      </c>
      <c r="I233" s="193" t="s">
        <v>857</v>
      </c>
      <c r="J233" s="82">
        <v>100</v>
      </c>
      <c r="K233" s="83">
        <v>1</v>
      </c>
      <c r="O233" s="84"/>
      <c r="P233" s="84"/>
      <c r="Q233" s="84"/>
      <c r="R233" s="84"/>
      <c r="S233" s="84"/>
      <c r="T233" s="84"/>
      <c r="U233" s="84"/>
      <c r="V233" s="84"/>
      <c r="W233" s="84"/>
      <c r="X233" s="84"/>
      <c r="Y233" s="84"/>
      <c r="Z233" s="84"/>
    </row>
    <row r="234" spans="1:26" ht="15.75" customHeight="1" x14ac:dyDescent="0.25">
      <c r="A234" s="85" t="s">
        <v>858</v>
      </c>
      <c r="B234" s="189" t="s">
        <v>335</v>
      </c>
      <c r="C234" s="9" t="s">
        <v>314</v>
      </c>
      <c r="D234" s="190">
        <v>8</v>
      </c>
      <c r="E234" s="191">
        <v>80</v>
      </c>
      <c r="F234" s="192">
        <v>6</v>
      </c>
      <c r="G234" s="191">
        <v>100</v>
      </c>
      <c r="H234" s="189" t="s">
        <v>315</v>
      </c>
      <c r="I234" s="193" t="s">
        <v>316</v>
      </c>
      <c r="J234" s="82" t="s">
        <v>305</v>
      </c>
      <c r="K234" s="83" t="s">
        <v>184</v>
      </c>
      <c r="O234" s="84"/>
      <c r="P234" s="84"/>
      <c r="Q234" s="84"/>
      <c r="R234" s="84"/>
      <c r="S234" s="84"/>
      <c r="T234" s="84"/>
      <c r="U234" s="84"/>
      <c r="V234" s="84"/>
      <c r="W234" s="84"/>
      <c r="X234" s="84"/>
      <c r="Y234" s="84"/>
      <c r="Z234" s="84"/>
    </row>
    <row r="235" spans="1:26" ht="15.75" customHeight="1" x14ac:dyDescent="0.25">
      <c r="A235" s="85" t="s">
        <v>859</v>
      </c>
      <c r="B235" s="189" t="s">
        <v>335</v>
      </c>
      <c r="C235" s="9" t="s">
        <v>314</v>
      </c>
      <c r="D235" s="190">
        <v>7</v>
      </c>
      <c r="E235" s="191">
        <v>70</v>
      </c>
      <c r="F235" s="192">
        <v>6</v>
      </c>
      <c r="G235" s="191">
        <v>100</v>
      </c>
      <c r="H235" s="189" t="s">
        <v>860</v>
      </c>
      <c r="I235" s="193" t="s">
        <v>861</v>
      </c>
      <c r="J235" s="82" t="s">
        <v>305</v>
      </c>
      <c r="K235" s="83" t="s">
        <v>184</v>
      </c>
      <c r="O235" s="84"/>
      <c r="P235" s="84"/>
      <c r="Q235" s="84"/>
      <c r="R235" s="84"/>
      <c r="S235" s="84"/>
      <c r="T235" s="84"/>
      <c r="U235" s="84"/>
      <c r="V235" s="84"/>
      <c r="W235" s="84"/>
      <c r="X235" s="84"/>
      <c r="Y235" s="84"/>
      <c r="Z235" s="84"/>
    </row>
    <row r="236" spans="1:26" ht="15.75" customHeight="1" x14ac:dyDescent="0.25">
      <c r="A236" s="85" t="s">
        <v>862</v>
      </c>
      <c r="B236" s="189" t="s">
        <v>359</v>
      </c>
      <c r="C236" s="9" t="s">
        <v>322</v>
      </c>
      <c r="D236" s="190" t="s">
        <v>304</v>
      </c>
      <c r="E236" s="191" t="s">
        <v>305</v>
      </c>
      <c r="F236" s="192" t="s">
        <v>304</v>
      </c>
      <c r="G236" s="191" t="s">
        <v>305</v>
      </c>
      <c r="H236" s="189" t="s">
        <v>863</v>
      </c>
      <c r="I236" s="193" t="s">
        <v>864</v>
      </c>
      <c r="J236" s="82" t="s">
        <v>305</v>
      </c>
      <c r="K236" s="83" t="s">
        <v>184</v>
      </c>
      <c r="O236" s="84"/>
      <c r="P236" s="84"/>
      <c r="Q236" s="84"/>
      <c r="R236" s="84"/>
      <c r="S236" s="84"/>
      <c r="T236" s="84"/>
      <c r="U236" s="84"/>
      <c r="V236" s="84"/>
      <c r="W236" s="84"/>
      <c r="X236" s="84"/>
      <c r="Y236" s="84"/>
      <c r="Z236" s="84"/>
    </row>
    <row r="237" spans="1:26" ht="15.75" customHeight="1" x14ac:dyDescent="0.25">
      <c r="A237" s="85" t="s">
        <v>865</v>
      </c>
      <c r="B237" s="189" t="s">
        <v>359</v>
      </c>
      <c r="C237" s="9" t="s">
        <v>303</v>
      </c>
      <c r="D237" s="190">
        <v>4</v>
      </c>
      <c r="E237" s="191">
        <v>40</v>
      </c>
      <c r="F237" s="192">
        <v>6</v>
      </c>
      <c r="G237" s="191">
        <v>100</v>
      </c>
      <c r="H237" s="189"/>
      <c r="I237" s="193" t="s">
        <v>184</v>
      </c>
      <c r="J237" s="82" t="s">
        <v>305</v>
      </c>
      <c r="K237" s="83" t="s">
        <v>184</v>
      </c>
      <c r="O237" s="84"/>
      <c r="P237" s="84"/>
      <c r="Q237" s="84"/>
      <c r="R237" s="84"/>
      <c r="S237" s="84"/>
      <c r="T237" s="84"/>
      <c r="U237" s="84"/>
      <c r="V237" s="84"/>
      <c r="W237" s="84"/>
      <c r="X237" s="84"/>
      <c r="Y237" s="84"/>
      <c r="Z237" s="84"/>
    </row>
    <row r="238" spans="1:26" ht="15.75" customHeight="1" x14ac:dyDescent="0.25">
      <c r="A238" s="85" t="s">
        <v>866</v>
      </c>
      <c r="B238" s="189" t="s">
        <v>335</v>
      </c>
      <c r="C238" s="9" t="s">
        <v>314</v>
      </c>
      <c r="D238" s="190">
        <v>4</v>
      </c>
      <c r="E238" s="191">
        <v>40</v>
      </c>
      <c r="F238" s="192">
        <v>6</v>
      </c>
      <c r="G238" s="191">
        <v>100</v>
      </c>
      <c r="H238" s="189" t="s">
        <v>867</v>
      </c>
      <c r="I238" s="193" t="s">
        <v>868</v>
      </c>
      <c r="J238" s="82">
        <v>100</v>
      </c>
      <c r="K238" s="83">
        <v>1</v>
      </c>
      <c r="O238" s="84"/>
      <c r="P238" s="84"/>
      <c r="Q238" s="84"/>
      <c r="R238" s="84"/>
      <c r="S238" s="84"/>
      <c r="T238" s="84"/>
      <c r="U238" s="84"/>
      <c r="V238" s="84"/>
      <c r="W238" s="84"/>
      <c r="X238" s="84"/>
      <c r="Y238" s="84"/>
      <c r="Z238" s="84"/>
    </row>
    <row r="239" spans="1:26" ht="15.75" customHeight="1" x14ac:dyDescent="0.25">
      <c r="A239" s="85" t="s">
        <v>869</v>
      </c>
      <c r="B239" s="189" t="s">
        <v>403</v>
      </c>
      <c r="C239" s="9" t="s">
        <v>322</v>
      </c>
      <c r="D239" s="190" t="s">
        <v>304</v>
      </c>
      <c r="E239" s="191" t="s">
        <v>305</v>
      </c>
      <c r="F239" s="192">
        <v>6</v>
      </c>
      <c r="G239" s="191">
        <v>100</v>
      </c>
      <c r="H239" s="189" t="s">
        <v>328</v>
      </c>
      <c r="I239" s="193" t="s">
        <v>329</v>
      </c>
      <c r="J239" s="82" t="s">
        <v>305</v>
      </c>
      <c r="K239" s="83" t="s">
        <v>184</v>
      </c>
      <c r="O239" s="84"/>
      <c r="P239" s="84"/>
      <c r="Q239" s="84"/>
      <c r="R239" s="84"/>
      <c r="S239" s="84"/>
      <c r="T239" s="84"/>
      <c r="U239" s="84"/>
      <c r="V239" s="84"/>
      <c r="W239" s="84"/>
      <c r="X239" s="84"/>
      <c r="Y239" s="84"/>
      <c r="Z239" s="84"/>
    </row>
    <row r="240" spans="1:26" ht="15.75" customHeight="1" x14ac:dyDescent="0.25">
      <c r="A240" s="85" t="s">
        <v>870</v>
      </c>
      <c r="B240" s="189" t="s">
        <v>403</v>
      </c>
      <c r="C240" s="9" t="s">
        <v>314</v>
      </c>
      <c r="D240" s="190">
        <v>8</v>
      </c>
      <c r="E240" s="191">
        <v>80</v>
      </c>
      <c r="F240" s="192">
        <v>24.4</v>
      </c>
      <c r="G240" s="191">
        <v>8</v>
      </c>
      <c r="H240" s="189" t="s">
        <v>339</v>
      </c>
      <c r="I240" s="193" t="s">
        <v>340</v>
      </c>
      <c r="J240" s="82" t="s">
        <v>305</v>
      </c>
      <c r="K240" s="83" t="s">
        <v>184</v>
      </c>
      <c r="O240" s="84"/>
      <c r="P240" s="84"/>
      <c r="Q240" s="84"/>
      <c r="R240" s="84"/>
      <c r="S240" s="84"/>
      <c r="T240" s="84"/>
      <c r="U240" s="84"/>
      <c r="V240" s="84"/>
      <c r="W240" s="84"/>
      <c r="X240" s="84"/>
      <c r="Y240" s="84"/>
      <c r="Z240" s="84"/>
    </row>
    <row r="241" spans="1:26" ht="15.75" customHeight="1" x14ac:dyDescent="0.25">
      <c r="A241" s="85" t="s">
        <v>871</v>
      </c>
      <c r="B241" s="189" t="s">
        <v>335</v>
      </c>
      <c r="C241" s="9" t="s">
        <v>314</v>
      </c>
      <c r="D241" s="190">
        <v>4</v>
      </c>
      <c r="E241" s="191">
        <v>40</v>
      </c>
      <c r="F241" s="192">
        <v>6</v>
      </c>
      <c r="G241" s="191">
        <v>100</v>
      </c>
      <c r="H241" s="189" t="s">
        <v>872</v>
      </c>
      <c r="I241" s="193" t="s">
        <v>873</v>
      </c>
      <c r="J241" s="82" t="s">
        <v>305</v>
      </c>
      <c r="K241" s="83" t="s">
        <v>184</v>
      </c>
      <c r="O241" s="84"/>
      <c r="P241" s="84"/>
      <c r="Q241" s="84"/>
      <c r="R241" s="84"/>
      <c r="S241" s="84"/>
      <c r="T241" s="84"/>
      <c r="U241" s="84"/>
      <c r="V241" s="84"/>
      <c r="W241" s="84"/>
      <c r="X241" s="84"/>
      <c r="Y241" s="84"/>
      <c r="Z241" s="84"/>
    </row>
    <row r="242" spans="1:26" ht="15.75" customHeight="1" x14ac:dyDescent="0.25">
      <c r="A242" s="85" t="s">
        <v>874</v>
      </c>
      <c r="B242" s="189" t="s">
        <v>331</v>
      </c>
      <c r="C242" s="9" t="s">
        <v>322</v>
      </c>
      <c r="D242" s="190" t="s">
        <v>304</v>
      </c>
      <c r="E242" s="191" t="s">
        <v>305</v>
      </c>
      <c r="F242" s="192">
        <v>6</v>
      </c>
      <c r="G242" s="191">
        <v>100</v>
      </c>
      <c r="H242" s="189" t="s">
        <v>593</v>
      </c>
      <c r="I242" s="193" t="s">
        <v>594</v>
      </c>
      <c r="J242" s="82" t="s">
        <v>305</v>
      </c>
      <c r="K242" s="83" t="s">
        <v>184</v>
      </c>
      <c r="O242" s="84"/>
      <c r="P242" s="84"/>
      <c r="Q242" s="84"/>
      <c r="R242" s="84"/>
      <c r="S242" s="84"/>
      <c r="T242" s="84"/>
      <c r="U242" s="84"/>
      <c r="V242" s="84"/>
      <c r="W242" s="84"/>
      <c r="X242" s="84"/>
      <c r="Y242" s="84"/>
      <c r="Z242" s="84"/>
    </row>
    <row r="243" spans="1:26" ht="15.75" customHeight="1" x14ac:dyDescent="0.25">
      <c r="A243" s="85" t="s">
        <v>875</v>
      </c>
      <c r="B243" s="189" t="s">
        <v>335</v>
      </c>
      <c r="C243" s="9" t="s">
        <v>314</v>
      </c>
      <c r="D243" s="190">
        <v>3</v>
      </c>
      <c r="E243" s="191">
        <v>30</v>
      </c>
      <c r="F243" s="192">
        <v>6</v>
      </c>
      <c r="G243" s="191">
        <v>100</v>
      </c>
      <c r="H243" s="189" t="s">
        <v>876</v>
      </c>
      <c r="I243" s="193" t="s">
        <v>877</v>
      </c>
      <c r="J243" s="82" t="s">
        <v>305</v>
      </c>
      <c r="K243" s="83" t="s">
        <v>184</v>
      </c>
      <c r="O243" s="84"/>
      <c r="P243" s="84"/>
      <c r="Q243" s="84"/>
      <c r="R243" s="84"/>
      <c r="S243" s="84"/>
      <c r="T243" s="84"/>
      <c r="U243" s="84"/>
      <c r="V243" s="84"/>
      <c r="W243" s="84"/>
      <c r="X243" s="84"/>
      <c r="Y243" s="84"/>
      <c r="Z243" s="84"/>
    </row>
    <row r="244" spans="1:26" ht="15.75" customHeight="1" x14ac:dyDescent="0.25">
      <c r="A244" s="85" t="s">
        <v>878</v>
      </c>
      <c r="B244" s="189" t="s">
        <v>403</v>
      </c>
      <c r="C244" s="9" t="s">
        <v>314</v>
      </c>
      <c r="D244" s="190">
        <v>6</v>
      </c>
      <c r="E244" s="191">
        <v>60</v>
      </c>
      <c r="F244" s="192">
        <v>24.4</v>
      </c>
      <c r="G244" s="191">
        <v>8</v>
      </c>
      <c r="H244" s="189" t="s">
        <v>339</v>
      </c>
      <c r="I244" s="193" t="s">
        <v>340</v>
      </c>
      <c r="J244" s="82" t="s">
        <v>305</v>
      </c>
      <c r="K244" s="83" t="s">
        <v>184</v>
      </c>
      <c r="O244" s="84"/>
      <c r="P244" s="84"/>
      <c r="Q244" s="84"/>
      <c r="R244" s="84"/>
      <c r="S244" s="84"/>
      <c r="T244" s="84"/>
      <c r="U244" s="84"/>
      <c r="V244" s="84"/>
      <c r="W244" s="84"/>
      <c r="X244" s="84"/>
      <c r="Y244" s="84"/>
      <c r="Z244" s="84"/>
    </row>
    <row r="245" spans="1:26" ht="15.75" customHeight="1" x14ac:dyDescent="0.25">
      <c r="A245" s="85" t="s">
        <v>879</v>
      </c>
      <c r="B245" s="189" t="s">
        <v>411</v>
      </c>
      <c r="C245" s="9" t="s">
        <v>314</v>
      </c>
      <c r="D245" s="190">
        <v>5</v>
      </c>
      <c r="E245" s="191">
        <v>50</v>
      </c>
      <c r="F245" s="192">
        <v>6</v>
      </c>
      <c r="G245" s="191">
        <v>100</v>
      </c>
      <c r="H245" s="189" t="s">
        <v>880</v>
      </c>
      <c r="I245" s="193" t="s">
        <v>881</v>
      </c>
      <c r="J245" s="82" t="s">
        <v>305</v>
      </c>
      <c r="K245" s="83" t="s">
        <v>184</v>
      </c>
      <c r="O245" s="84"/>
      <c r="P245" s="84"/>
      <c r="Q245" s="84"/>
      <c r="R245" s="84"/>
      <c r="S245" s="84"/>
      <c r="T245" s="84"/>
      <c r="U245" s="84"/>
      <c r="V245" s="84"/>
      <c r="W245" s="84"/>
      <c r="X245" s="84"/>
      <c r="Y245" s="84"/>
      <c r="Z245" s="84"/>
    </row>
    <row r="246" spans="1:26" ht="15.75" customHeight="1" x14ac:dyDescent="0.25">
      <c r="A246" s="85" t="s">
        <v>882</v>
      </c>
      <c r="B246" s="189" t="s">
        <v>530</v>
      </c>
      <c r="C246" s="9" t="s">
        <v>303</v>
      </c>
      <c r="D246" s="190">
        <v>8</v>
      </c>
      <c r="E246" s="191">
        <v>80</v>
      </c>
      <c r="F246" s="192">
        <v>6</v>
      </c>
      <c r="G246" s="191">
        <v>100</v>
      </c>
      <c r="H246" s="189"/>
      <c r="I246" s="193" t="s">
        <v>184</v>
      </c>
      <c r="J246" s="82" t="s">
        <v>305</v>
      </c>
      <c r="K246" s="83" t="s">
        <v>184</v>
      </c>
      <c r="O246" s="84"/>
      <c r="P246" s="84"/>
      <c r="Q246" s="84"/>
      <c r="R246" s="84"/>
      <c r="S246" s="84"/>
      <c r="T246" s="84"/>
      <c r="U246" s="84"/>
      <c r="V246" s="84"/>
      <c r="W246" s="84"/>
      <c r="X246" s="84"/>
      <c r="Y246" s="84"/>
      <c r="Z246" s="84"/>
    </row>
    <row r="247" spans="1:26" ht="15.75" customHeight="1" x14ac:dyDescent="0.25">
      <c r="A247" s="85" t="s">
        <v>883</v>
      </c>
      <c r="B247" s="189" t="s">
        <v>390</v>
      </c>
      <c r="C247" s="9" t="s">
        <v>303</v>
      </c>
      <c r="D247" s="190">
        <v>8</v>
      </c>
      <c r="E247" s="191">
        <v>80</v>
      </c>
      <c r="F247" s="192">
        <v>6</v>
      </c>
      <c r="G247" s="191">
        <v>100</v>
      </c>
      <c r="H247" s="189" t="s">
        <v>590</v>
      </c>
      <c r="I247" s="193" t="s">
        <v>591</v>
      </c>
      <c r="J247" s="82">
        <v>50</v>
      </c>
      <c r="K247" s="83">
        <v>11</v>
      </c>
      <c r="O247" s="84"/>
      <c r="P247" s="84"/>
      <c r="Q247" s="84"/>
      <c r="R247" s="84"/>
      <c r="S247" s="84"/>
      <c r="T247" s="84"/>
      <c r="U247" s="84"/>
      <c r="V247" s="84"/>
      <c r="W247" s="84"/>
      <c r="X247" s="84"/>
      <c r="Y247" s="84"/>
      <c r="Z247" s="84"/>
    </row>
    <row r="248" spans="1:26" ht="15.75" customHeight="1" x14ac:dyDescent="0.25">
      <c r="A248" s="85" t="s">
        <v>884</v>
      </c>
      <c r="B248" s="189" t="s">
        <v>403</v>
      </c>
      <c r="C248" s="9" t="s">
        <v>303</v>
      </c>
      <c r="D248" s="190">
        <v>9</v>
      </c>
      <c r="E248" s="191">
        <v>90</v>
      </c>
      <c r="F248" s="192">
        <v>6</v>
      </c>
      <c r="G248" s="191">
        <v>100</v>
      </c>
      <c r="H248" s="189" t="s">
        <v>353</v>
      </c>
      <c r="I248" s="193" t="s">
        <v>353</v>
      </c>
      <c r="J248" s="82">
        <v>20</v>
      </c>
      <c r="K248" s="83">
        <v>17</v>
      </c>
      <c r="O248" s="84"/>
      <c r="P248" s="84"/>
      <c r="Q248" s="84"/>
      <c r="R248" s="84"/>
      <c r="S248" s="84"/>
      <c r="T248" s="84"/>
      <c r="U248" s="84"/>
      <c r="V248" s="84"/>
      <c r="W248" s="84"/>
      <c r="X248" s="84"/>
      <c r="Y248" s="84"/>
      <c r="Z248" s="84"/>
    </row>
    <row r="249" spans="1:26" ht="15.75" customHeight="1" x14ac:dyDescent="0.25">
      <c r="A249" s="85" t="s">
        <v>885</v>
      </c>
      <c r="B249" s="189" t="s">
        <v>335</v>
      </c>
      <c r="C249" s="9" t="s">
        <v>322</v>
      </c>
      <c r="D249" s="190" t="s">
        <v>304</v>
      </c>
      <c r="E249" s="191" t="s">
        <v>305</v>
      </c>
      <c r="F249" s="192" t="s">
        <v>304</v>
      </c>
      <c r="G249" s="191" t="s">
        <v>305</v>
      </c>
      <c r="H249" s="189" t="s">
        <v>886</v>
      </c>
      <c r="I249" s="193" t="s">
        <v>887</v>
      </c>
      <c r="J249" s="82" t="s">
        <v>305</v>
      </c>
      <c r="K249" s="83" t="s">
        <v>184</v>
      </c>
      <c r="O249" s="84"/>
      <c r="P249" s="84"/>
      <c r="Q249" s="84"/>
      <c r="R249" s="84"/>
      <c r="S249" s="84"/>
      <c r="T249" s="84"/>
      <c r="U249" s="84"/>
      <c r="V249" s="84"/>
      <c r="W249" s="84"/>
      <c r="X249" s="84"/>
      <c r="Y249" s="84"/>
      <c r="Z249" s="84"/>
    </row>
    <row r="250" spans="1:26" ht="15.75" customHeight="1" x14ac:dyDescent="0.25">
      <c r="A250" s="85" t="s">
        <v>888</v>
      </c>
      <c r="B250" s="189" t="s">
        <v>356</v>
      </c>
      <c r="C250" s="9" t="s">
        <v>303</v>
      </c>
      <c r="D250" s="190" t="s">
        <v>304</v>
      </c>
      <c r="E250" s="191" t="s">
        <v>305</v>
      </c>
      <c r="F250" s="192">
        <v>6</v>
      </c>
      <c r="G250" s="191">
        <v>100</v>
      </c>
      <c r="H250" s="189" t="s">
        <v>889</v>
      </c>
      <c r="I250" s="193" t="s">
        <v>889</v>
      </c>
      <c r="J250" s="82" t="s">
        <v>305</v>
      </c>
      <c r="K250" s="83" t="s">
        <v>184</v>
      </c>
      <c r="O250" s="84"/>
      <c r="P250" s="84"/>
      <c r="Q250" s="84"/>
      <c r="R250" s="84"/>
      <c r="S250" s="84"/>
      <c r="T250" s="84"/>
      <c r="U250" s="84"/>
      <c r="V250" s="84"/>
      <c r="W250" s="84"/>
      <c r="X250" s="84"/>
      <c r="Y250" s="84"/>
      <c r="Z250" s="84"/>
    </row>
    <row r="251" spans="1:26" ht="15.75" customHeight="1" x14ac:dyDescent="0.25">
      <c r="A251" s="85" t="s">
        <v>890</v>
      </c>
      <c r="B251" s="189" t="s">
        <v>390</v>
      </c>
      <c r="C251" s="9" t="s">
        <v>303</v>
      </c>
      <c r="D251" s="190">
        <v>11</v>
      </c>
      <c r="E251" s="191">
        <v>110</v>
      </c>
      <c r="F251" s="192">
        <v>9</v>
      </c>
      <c r="G251" s="191">
        <v>85</v>
      </c>
      <c r="H251" s="189" t="s">
        <v>502</v>
      </c>
      <c r="I251" s="193" t="s">
        <v>503</v>
      </c>
      <c r="J251" s="82">
        <v>10</v>
      </c>
      <c r="K251" s="83">
        <v>19</v>
      </c>
      <c r="O251" s="84"/>
      <c r="P251" s="84"/>
      <c r="Q251" s="84"/>
      <c r="R251" s="84"/>
      <c r="S251" s="84"/>
      <c r="T251" s="84"/>
      <c r="U251" s="84"/>
      <c r="V251" s="84"/>
      <c r="W251" s="84"/>
      <c r="X251" s="84"/>
      <c r="Y251" s="84"/>
      <c r="Z251" s="84"/>
    </row>
    <row r="252" spans="1:26" ht="15.75" customHeight="1" x14ac:dyDescent="0.25">
      <c r="A252" s="85" t="s">
        <v>891</v>
      </c>
      <c r="B252" s="189" t="s">
        <v>390</v>
      </c>
      <c r="C252" s="9" t="s">
        <v>314</v>
      </c>
      <c r="D252" s="190">
        <v>7</v>
      </c>
      <c r="E252" s="191">
        <v>65</v>
      </c>
      <c r="F252" s="192">
        <v>7</v>
      </c>
      <c r="G252" s="191">
        <v>95</v>
      </c>
      <c r="H252" s="189" t="s">
        <v>892</v>
      </c>
      <c r="I252" s="193" t="s">
        <v>893</v>
      </c>
      <c r="J252" s="82">
        <v>10</v>
      </c>
      <c r="K252" s="83">
        <v>19</v>
      </c>
      <c r="O252" s="84"/>
      <c r="P252" s="84"/>
      <c r="Q252" s="84"/>
      <c r="R252" s="84"/>
      <c r="S252" s="84"/>
      <c r="T252" s="84"/>
      <c r="U252" s="84"/>
      <c r="V252" s="84"/>
      <c r="W252" s="84"/>
      <c r="X252" s="84"/>
      <c r="Y252" s="84"/>
      <c r="Z252" s="84"/>
    </row>
    <row r="253" spans="1:26" ht="15.75" customHeight="1" x14ac:dyDescent="0.25">
      <c r="A253" s="85" t="s">
        <v>894</v>
      </c>
      <c r="B253" s="189" t="s">
        <v>390</v>
      </c>
      <c r="C253" s="9" t="s">
        <v>314</v>
      </c>
      <c r="D253" s="190">
        <v>8</v>
      </c>
      <c r="E253" s="191">
        <v>80</v>
      </c>
      <c r="F253" s="192">
        <v>6</v>
      </c>
      <c r="G253" s="191">
        <v>100</v>
      </c>
      <c r="H253" s="189" t="s">
        <v>895</v>
      </c>
      <c r="I253" s="193" t="s">
        <v>896</v>
      </c>
      <c r="J253" s="82">
        <v>100</v>
      </c>
      <c r="K253" s="83">
        <v>1</v>
      </c>
      <c r="O253" s="84"/>
      <c r="P253" s="84"/>
      <c r="Q253" s="84"/>
      <c r="R253" s="84"/>
      <c r="S253" s="84"/>
      <c r="T253" s="84"/>
      <c r="U253" s="84"/>
      <c r="V253" s="84"/>
      <c r="W253" s="84"/>
      <c r="X253" s="84"/>
      <c r="Y253" s="84"/>
      <c r="Z253" s="84"/>
    </row>
    <row r="254" spans="1:26" ht="15.75" customHeight="1" x14ac:dyDescent="0.25">
      <c r="A254" s="85" t="s">
        <v>897</v>
      </c>
      <c r="B254" s="189" t="s">
        <v>390</v>
      </c>
      <c r="C254" s="9" t="s">
        <v>303</v>
      </c>
      <c r="D254" s="190">
        <v>8</v>
      </c>
      <c r="E254" s="191">
        <v>80</v>
      </c>
      <c r="F254" s="192">
        <v>6</v>
      </c>
      <c r="G254" s="191">
        <v>100</v>
      </c>
      <c r="H254" s="189" t="s">
        <v>898</v>
      </c>
      <c r="I254" s="193" t="s">
        <v>898</v>
      </c>
      <c r="J254" s="82" t="s">
        <v>305</v>
      </c>
      <c r="K254" s="83" t="s">
        <v>184</v>
      </c>
      <c r="O254" s="84"/>
      <c r="P254" s="84"/>
      <c r="Q254" s="84"/>
      <c r="R254" s="84"/>
      <c r="S254" s="84"/>
      <c r="T254" s="84"/>
      <c r="U254" s="84"/>
      <c r="V254" s="84"/>
      <c r="W254" s="84"/>
      <c r="X254" s="84"/>
      <c r="Y254" s="84"/>
      <c r="Z254" s="84"/>
    </row>
    <row r="255" spans="1:26" ht="15.75" customHeight="1" x14ac:dyDescent="0.25">
      <c r="A255" s="85" t="s">
        <v>899</v>
      </c>
      <c r="B255" s="189" t="s">
        <v>390</v>
      </c>
      <c r="C255" s="9" t="s">
        <v>314</v>
      </c>
      <c r="D255" s="190">
        <v>8</v>
      </c>
      <c r="E255" s="191">
        <v>75</v>
      </c>
      <c r="F255" s="192">
        <v>6</v>
      </c>
      <c r="G255" s="191">
        <v>100</v>
      </c>
      <c r="H255" s="189" t="s">
        <v>502</v>
      </c>
      <c r="I255" s="193" t="s">
        <v>503</v>
      </c>
      <c r="J255" s="82">
        <v>10</v>
      </c>
      <c r="K255" s="83">
        <v>19</v>
      </c>
      <c r="O255" s="84"/>
      <c r="P255" s="84"/>
      <c r="Q255" s="84"/>
      <c r="R255" s="84"/>
      <c r="S255" s="84"/>
      <c r="T255" s="84"/>
      <c r="U255" s="84"/>
      <c r="V255" s="84"/>
      <c r="W255" s="84"/>
      <c r="X255" s="84"/>
      <c r="Y255" s="84"/>
      <c r="Z255" s="84"/>
    </row>
    <row r="256" spans="1:26" ht="15.75" customHeight="1" x14ac:dyDescent="0.25">
      <c r="A256" s="85" t="s">
        <v>900</v>
      </c>
      <c r="B256" s="189" t="s">
        <v>390</v>
      </c>
      <c r="C256" s="9" t="s">
        <v>303</v>
      </c>
      <c r="D256" s="190">
        <v>4</v>
      </c>
      <c r="E256" s="191">
        <v>35</v>
      </c>
      <c r="F256" s="192">
        <v>9</v>
      </c>
      <c r="G256" s="191">
        <v>85</v>
      </c>
      <c r="H256" s="189" t="s">
        <v>474</v>
      </c>
      <c r="I256" s="193" t="s">
        <v>475</v>
      </c>
      <c r="J256" s="82">
        <v>100</v>
      </c>
      <c r="K256" s="83">
        <v>1</v>
      </c>
      <c r="O256" s="84"/>
      <c r="P256" s="84"/>
      <c r="Q256" s="84"/>
      <c r="R256" s="84"/>
      <c r="S256" s="84"/>
      <c r="T256" s="84"/>
      <c r="U256" s="84"/>
      <c r="V256" s="84"/>
      <c r="W256" s="84"/>
      <c r="X256" s="84"/>
      <c r="Y256" s="84"/>
      <c r="Z256" s="84"/>
    </row>
    <row r="257" spans="1:26" ht="15.75" customHeight="1" x14ac:dyDescent="0.25">
      <c r="A257" s="85" t="s">
        <v>901</v>
      </c>
      <c r="B257" s="189" t="s">
        <v>411</v>
      </c>
      <c r="C257" s="9" t="s">
        <v>314</v>
      </c>
      <c r="D257" s="190">
        <v>9</v>
      </c>
      <c r="E257" s="191">
        <v>90</v>
      </c>
      <c r="F257" s="192">
        <v>6</v>
      </c>
      <c r="G257" s="191">
        <v>100</v>
      </c>
      <c r="H257" s="189" t="s">
        <v>902</v>
      </c>
      <c r="I257" s="193" t="s">
        <v>903</v>
      </c>
      <c r="J257" s="82" t="s">
        <v>305</v>
      </c>
      <c r="K257" s="83" t="s">
        <v>184</v>
      </c>
      <c r="O257" s="84"/>
      <c r="P257" s="84"/>
      <c r="Q257" s="84"/>
      <c r="R257" s="84"/>
      <c r="S257" s="84"/>
      <c r="T257" s="84"/>
      <c r="U257" s="84"/>
      <c r="V257" s="84"/>
      <c r="W257" s="84"/>
      <c r="X257" s="84"/>
      <c r="Y257" s="84"/>
      <c r="Z257" s="84"/>
    </row>
    <row r="258" spans="1:26" ht="15.75" customHeight="1" x14ac:dyDescent="0.25">
      <c r="A258" s="85" t="s">
        <v>904</v>
      </c>
      <c r="B258" s="189" t="s">
        <v>377</v>
      </c>
      <c r="C258" s="9" t="s">
        <v>314</v>
      </c>
      <c r="D258" s="190">
        <v>9</v>
      </c>
      <c r="E258" s="191">
        <v>85</v>
      </c>
      <c r="F258" s="192">
        <v>6</v>
      </c>
      <c r="G258" s="191">
        <v>100</v>
      </c>
      <c r="H258" s="189" t="s">
        <v>511</v>
      </c>
      <c r="I258" s="193" t="s">
        <v>512</v>
      </c>
      <c r="J258" s="82" t="s">
        <v>305</v>
      </c>
      <c r="K258" s="83" t="s">
        <v>184</v>
      </c>
      <c r="O258" s="84"/>
      <c r="P258" s="84"/>
      <c r="Q258" s="84"/>
      <c r="R258" s="84"/>
      <c r="S258" s="84"/>
      <c r="T258" s="84"/>
      <c r="U258" s="84"/>
      <c r="V258" s="84"/>
      <c r="W258" s="84"/>
      <c r="X258" s="84"/>
      <c r="Y258" s="84"/>
      <c r="Z258" s="84"/>
    </row>
    <row r="259" spans="1:26" ht="15.75" customHeight="1" x14ac:dyDescent="0.25">
      <c r="A259" s="85" t="s">
        <v>905</v>
      </c>
      <c r="B259" s="189" t="s">
        <v>515</v>
      </c>
      <c r="C259" s="9" t="s">
        <v>314</v>
      </c>
      <c r="D259" s="190" t="s">
        <v>304</v>
      </c>
      <c r="E259" s="191" t="s">
        <v>305</v>
      </c>
      <c r="F259" s="192">
        <v>20</v>
      </c>
      <c r="G259" s="191">
        <v>30</v>
      </c>
      <c r="H259" s="189" t="s">
        <v>906</v>
      </c>
      <c r="I259" s="193" t="s">
        <v>907</v>
      </c>
      <c r="J259" s="82" t="s">
        <v>305</v>
      </c>
      <c r="K259" s="83" t="s">
        <v>184</v>
      </c>
      <c r="O259" s="84"/>
      <c r="P259" s="84"/>
      <c r="Q259" s="84"/>
      <c r="R259" s="84"/>
      <c r="S259" s="84"/>
      <c r="T259" s="84"/>
      <c r="U259" s="84"/>
      <c r="V259" s="84"/>
      <c r="W259" s="84"/>
      <c r="X259" s="84"/>
      <c r="Y259" s="84"/>
      <c r="Z259" s="84"/>
    </row>
    <row r="260" spans="1:26" ht="15.75" customHeight="1" x14ac:dyDescent="0.25">
      <c r="A260" s="85" t="s">
        <v>908</v>
      </c>
      <c r="B260" s="189" t="s">
        <v>335</v>
      </c>
      <c r="C260" s="9" t="s">
        <v>314</v>
      </c>
      <c r="D260" s="190" t="s">
        <v>304</v>
      </c>
      <c r="E260" s="191" t="s">
        <v>305</v>
      </c>
      <c r="F260" s="192">
        <v>6</v>
      </c>
      <c r="G260" s="191">
        <v>100</v>
      </c>
      <c r="H260" s="189" t="s">
        <v>909</v>
      </c>
      <c r="I260" s="193" t="s">
        <v>910</v>
      </c>
      <c r="J260" s="82" t="s">
        <v>305</v>
      </c>
      <c r="K260" s="83" t="s">
        <v>184</v>
      </c>
      <c r="O260" s="84"/>
      <c r="P260" s="84"/>
      <c r="Q260" s="84"/>
      <c r="R260" s="84"/>
      <c r="S260" s="84"/>
      <c r="T260" s="84"/>
      <c r="U260" s="84"/>
      <c r="V260" s="84"/>
      <c r="W260" s="84"/>
      <c r="X260" s="84"/>
      <c r="Y260" s="84"/>
      <c r="Z260" s="84"/>
    </row>
    <row r="261" spans="1:26" ht="15.75" customHeight="1" x14ac:dyDescent="0.25">
      <c r="A261" s="85" t="s">
        <v>911</v>
      </c>
      <c r="B261" s="189" t="s">
        <v>390</v>
      </c>
      <c r="C261" s="9" t="s">
        <v>303</v>
      </c>
      <c r="D261" s="190">
        <v>7</v>
      </c>
      <c r="E261" s="191">
        <v>70</v>
      </c>
      <c r="F261" s="192">
        <v>6</v>
      </c>
      <c r="G261" s="191">
        <v>100</v>
      </c>
      <c r="H261" s="189" t="s">
        <v>912</v>
      </c>
      <c r="I261" s="193" t="s">
        <v>913</v>
      </c>
      <c r="J261" s="82" t="s">
        <v>305</v>
      </c>
      <c r="K261" s="83" t="s">
        <v>184</v>
      </c>
      <c r="O261" s="84"/>
      <c r="P261" s="84"/>
      <c r="Q261" s="84"/>
      <c r="R261" s="84"/>
      <c r="S261" s="84"/>
      <c r="T261" s="84"/>
      <c r="U261" s="84"/>
      <c r="V261" s="84"/>
      <c r="W261" s="84"/>
      <c r="X261" s="84"/>
      <c r="Y261" s="84"/>
      <c r="Z261" s="84"/>
    </row>
    <row r="262" spans="1:26" ht="15.75" customHeight="1" x14ac:dyDescent="0.25">
      <c r="A262" s="85" t="s">
        <v>914</v>
      </c>
      <c r="B262" s="189" t="s">
        <v>390</v>
      </c>
      <c r="C262" s="9" t="s">
        <v>314</v>
      </c>
      <c r="D262" s="190">
        <v>5</v>
      </c>
      <c r="E262" s="191">
        <v>50</v>
      </c>
      <c r="F262" s="192">
        <v>6</v>
      </c>
      <c r="G262" s="191">
        <v>100</v>
      </c>
      <c r="H262" s="189" t="s">
        <v>383</v>
      </c>
      <c r="I262" s="193" t="s">
        <v>384</v>
      </c>
      <c r="J262" s="82">
        <v>100</v>
      </c>
      <c r="K262" s="83">
        <v>1</v>
      </c>
      <c r="O262" s="84"/>
      <c r="P262" s="84"/>
      <c r="Q262" s="84"/>
      <c r="R262" s="84"/>
      <c r="S262" s="84"/>
      <c r="T262" s="84"/>
      <c r="U262" s="84"/>
      <c r="V262" s="84"/>
      <c r="W262" s="84"/>
      <c r="X262" s="84"/>
      <c r="Y262" s="84"/>
      <c r="Z262" s="84"/>
    </row>
    <row r="263" spans="1:26" ht="15.75" customHeight="1" x14ac:dyDescent="0.25">
      <c r="A263" s="85" t="s">
        <v>915</v>
      </c>
      <c r="B263" s="189" t="s">
        <v>390</v>
      </c>
      <c r="C263" s="9" t="s">
        <v>314</v>
      </c>
      <c r="D263" s="190">
        <v>6</v>
      </c>
      <c r="E263" s="191">
        <v>60</v>
      </c>
      <c r="F263" s="192">
        <v>6</v>
      </c>
      <c r="G263" s="191">
        <v>100</v>
      </c>
      <c r="H263" s="189" t="s">
        <v>502</v>
      </c>
      <c r="I263" s="193" t="s">
        <v>503</v>
      </c>
      <c r="J263" s="82">
        <v>10</v>
      </c>
      <c r="K263" s="83">
        <v>19</v>
      </c>
      <c r="O263" s="84"/>
      <c r="P263" s="84"/>
      <c r="Q263" s="84"/>
      <c r="R263" s="84"/>
      <c r="S263" s="84"/>
      <c r="T263" s="84"/>
      <c r="U263" s="84"/>
      <c r="V263" s="84"/>
      <c r="W263" s="84"/>
      <c r="X263" s="84"/>
      <c r="Y263" s="84"/>
      <c r="Z263" s="84"/>
    </row>
    <row r="264" spans="1:26" ht="15.75" customHeight="1" x14ac:dyDescent="0.25">
      <c r="A264" s="85" t="s">
        <v>916</v>
      </c>
      <c r="B264" s="189" t="s">
        <v>390</v>
      </c>
      <c r="C264" s="9" t="s">
        <v>303</v>
      </c>
      <c r="D264" s="190">
        <v>9</v>
      </c>
      <c r="E264" s="191">
        <v>90</v>
      </c>
      <c r="F264" s="192">
        <v>6</v>
      </c>
      <c r="G264" s="191">
        <v>100</v>
      </c>
      <c r="H264" s="189" t="s">
        <v>502</v>
      </c>
      <c r="I264" s="193" t="s">
        <v>503</v>
      </c>
      <c r="J264" s="82">
        <v>10</v>
      </c>
      <c r="K264" s="83">
        <v>19</v>
      </c>
      <c r="O264" s="84"/>
      <c r="P264" s="84"/>
      <c r="Q264" s="84"/>
      <c r="R264" s="84"/>
      <c r="S264" s="84"/>
      <c r="T264" s="84"/>
      <c r="U264" s="84"/>
      <c r="V264" s="84"/>
      <c r="W264" s="84"/>
      <c r="X264" s="84"/>
      <c r="Y264" s="84"/>
      <c r="Z264" s="84"/>
    </row>
    <row r="265" spans="1:26" ht="15.75" customHeight="1" x14ac:dyDescent="0.25">
      <c r="A265" s="85" t="s">
        <v>917</v>
      </c>
      <c r="B265" s="189" t="s">
        <v>390</v>
      </c>
      <c r="C265" s="9" t="s">
        <v>314</v>
      </c>
      <c r="D265" s="190">
        <v>12</v>
      </c>
      <c r="E265" s="191">
        <v>120</v>
      </c>
      <c r="F265" s="192">
        <v>6</v>
      </c>
      <c r="G265" s="191">
        <v>100</v>
      </c>
      <c r="H265" s="189" t="s">
        <v>918</v>
      </c>
      <c r="I265" s="193" t="s">
        <v>919</v>
      </c>
      <c r="J265" s="82">
        <v>10</v>
      </c>
      <c r="K265" s="83">
        <v>19</v>
      </c>
      <c r="O265" s="84"/>
      <c r="P265" s="84"/>
      <c r="Q265" s="84"/>
      <c r="R265" s="84"/>
      <c r="S265" s="84"/>
      <c r="T265" s="84"/>
      <c r="U265" s="84"/>
      <c r="V265" s="84"/>
      <c r="W265" s="84"/>
      <c r="X265" s="84"/>
      <c r="Y265" s="84"/>
      <c r="Z265" s="84"/>
    </row>
    <row r="266" spans="1:26" ht="15.75" customHeight="1" x14ac:dyDescent="0.25">
      <c r="A266" s="85" t="s">
        <v>920</v>
      </c>
      <c r="B266" s="189" t="s">
        <v>335</v>
      </c>
      <c r="C266" s="9" t="s">
        <v>322</v>
      </c>
      <c r="D266" s="190" t="s">
        <v>304</v>
      </c>
      <c r="E266" s="191" t="s">
        <v>305</v>
      </c>
      <c r="F266" s="192">
        <v>6</v>
      </c>
      <c r="G266" s="191">
        <v>100</v>
      </c>
      <c r="H266" s="189" t="s">
        <v>921</v>
      </c>
      <c r="I266" s="193" t="s">
        <v>922</v>
      </c>
      <c r="J266" s="82" t="s">
        <v>305</v>
      </c>
      <c r="K266" s="83" t="s">
        <v>184</v>
      </c>
      <c r="O266" s="84"/>
      <c r="P266" s="84"/>
      <c r="Q266" s="84"/>
      <c r="R266" s="84"/>
      <c r="S266" s="84"/>
      <c r="T266" s="84"/>
      <c r="U266" s="84"/>
      <c r="V266" s="84"/>
      <c r="W266" s="84"/>
      <c r="X266" s="84"/>
      <c r="Y266" s="84"/>
      <c r="Z266" s="84"/>
    </row>
    <row r="267" spans="1:26" ht="15.75" customHeight="1" x14ac:dyDescent="0.25">
      <c r="A267" s="85" t="s">
        <v>923</v>
      </c>
      <c r="B267" s="189" t="s">
        <v>367</v>
      </c>
      <c r="C267" s="9" t="s">
        <v>303</v>
      </c>
      <c r="D267" s="190">
        <v>8</v>
      </c>
      <c r="E267" s="191">
        <v>80</v>
      </c>
      <c r="F267" s="192">
        <v>6</v>
      </c>
      <c r="G267" s="191">
        <v>100</v>
      </c>
      <c r="H267" s="189" t="s">
        <v>319</v>
      </c>
      <c r="I267" s="193" t="s">
        <v>320</v>
      </c>
      <c r="J267" s="82">
        <v>10</v>
      </c>
      <c r="K267" s="83">
        <v>19</v>
      </c>
      <c r="O267" s="84"/>
      <c r="P267" s="84"/>
      <c r="Q267" s="84"/>
      <c r="R267" s="84"/>
      <c r="S267" s="84"/>
      <c r="T267" s="84"/>
      <c r="U267" s="84"/>
      <c r="V267" s="84"/>
      <c r="W267" s="84"/>
      <c r="X267" s="84"/>
      <c r="Y267" s="84"/>
      <c r="Z267" s="84"/>
    </row>
    <row r="268" spans="1:26" ht="15.75" customHeight="1" x14ac:dyDescent="0.25">
      <c r="A268" s="85" t="s">
        <v>924</v>
      </c>
      <c r="B268" s="189" t="s">
        <v>403</v>
      </c>
      <c r="C268" s="9" t="s">
        <v>322</v>
      </c>
      <c r="D268" s="190" t="s">
        <v>304</v>
      </c>
      <c r="E268" s="191" t="s">
        <v>305</v>
      </c>
      <c r="F268" s="192">
        <v>6</v>
      </c>
      <c r="G268" s="191">
        <v>100</v>
      </c>
      <c r="H268" s="189" t="s">
        <v>925</v>
      </c>
      <c r="I268" s="193" t="s">
        <v>926</v>
      </c>
      <c r="J268" s="82" t="s">
        <v>305</v>
      </c>
      <c r="K268" s="83" t="s">
        <v>184</v>
      </c>
      <c r="O268" s="84"/>
      <c r="P268" s="84"/>
      <c r="Q268" s="84"/>
      <c r="R268" s="84"/>
      <c r="S268" s="84"/>
      <c r="T268" s="84"/>
      <c r="U268" s="84"/>
      <c r="V268" s="84"/>
      <c r="W268" s="84"/>
      <c r="X268" s="84"/>
      <c r="Y268" s="84"/>
      <c r="Z268" s="84"/>
    </row>
    <row r="269" spans="1:26" ht="15.75" customHeight="1" x14ac:dyDescent="0.25">
      <c r="A269" s="85" t="s">
        <v>927</v>
      </c>
      <c r="B269" s="189" t="s">
        <v>359</v>
      </c>
      <c r="C269" s="9" t="s">
        <v>303</v>
      </c>
      <c r="D269" s="190">
        <v>13</v>
      </c>
      <c r="E269" s="191">
        <v>130</v>
      </c>
      <c r="F269" s="192">
        <v>8</v>
      </c>
      <c r="G269" s="191">
        <v>90</v>
      </c>
      <c r="H269" s="189" t="s">
        <v>759</v>
      </c>
      <c r="I269" s="193" t="s">
        <v>760</v>
      </c>
      <c r="J269" s="82">
        <v>100</v>
      </c>
      <c r="K269" s="83">
        <v>1</v>
      </c>
      <c r="O269" s="84"/>
      <c r="P269" s="84"/>
      <c r="Q269" s="84"/>
      <c r="R269" s="84"/>
      <c r="S269" s="84"/>
      <c r="T269" s="84"/>
      <c r="U269" s="84"/>
      <c r="V269" s="84"/>
      <c r="W269" s="84"/>
      <c r="X269" s="84"/>
      <c r="Y269" s="84"/>
      <c r="Z269" s="84"/>
    </row>
    <row r="270" spans="1:26" ht="15.75" customHeight="1" x14ac:dyDescent="0.25">
      <c r="A270" s="85" t="s">
        <v>928</v>
      </c>
      <c r="B270" s="189" t="s">
        <v>403</v>
      </c>
      <c r="C270" s="9" t="s">
        <v>314</v>
      </c>
      <c r="D270" s="190" t="s">
        <v>304</v>
      </c>
      <c r="E270" s="191" t="s">
        <v>305</v>
      </c>
      <c r="F270" s="192">
        <v>6</v>
      </c>
      <c r="G270" s="191">
        <v>100</v>
      </c>
      <c r="H270" s="189" t="s">
        <v>929</v>
      </c>
      <c r="I270" s="193" t="s">
        <v>930</v>
      </c>
      <c r="J270" s="82" t="s">
        <v>305</v>
      </c>
      <c r="K270" s="83" t="s">
        <v>184</v>
      </c>
      <c r="O270" s="84"/>
      <c r="P270" s="84"/>
      <c r="Q270" s="84"/>
      <c r="R270" s="84"/>
      <c r="S270" s="84"/>
      <c r="T270" s="84"/>
      <c r="U270" s="84"/>
      <c r="V270" s="84"/>
      <c r="W270" s="84"/>
      <c r="X270" s="84"/>
      <c r="Y270" s="84"/>
      <c r="Z270" s="84"/>
    </row>
    <row r="271" spans="1:26" ht="15.75" customHeight="1" x14ac:dyDescent="0.25">
      <c r="A271" s="85" t="s">
        <v>931</v>
      </c>
      <c r="B271" s="189" t="s">
        <v>377</v>
      </c>
      <c r="C271" s="9" t="s">
        <v>314</v>
      </c>
      <c r="D271" s="190">
        <v>6</v>
      </c>
      <c r="E271" s="191">
        <v>60</v>
      </c>
      <c r="F271" s="192">
        <v>6</v>
      </c>
      <c r="G271" s="191">
        <v>100</v>
      </c>
      <c r="H271" s="189" t="s">
        <v>932</v>
      </c>
      <c r="I271" s="193" t="s">
        <v>933</v>
      </c>
      <c r="J271" s="82" t="s">
        <v>305</v>
      </c>
      <c r="K271" s="83" t="s">
        <v>184</v>
      </c>
      <c r="O271" s="84"/>
      <c r="P271" s="84"/>
      <c r="Q271" s="84"/>
      <c r="R271" s="84"/>
      <c r="S271" s="84"/>
      <c r="T271" s="84"/>
      <c r="U271" s="84"/>
      <c r="V271" s="84"/>
      <c r="W271" s="84"/>
      <c r="X271" s="84"/>
      <c r="Y271" s="84"/>
      <c r="Z271" s="84"/>
    </row>
    <row r="272" spans="1:26" ht="15.75" customHeight="1" x14ac:dyDescent="0.25">
      <c r="A272" s="85" t="s">
        <v>934</v>
      </c>
      <c r="B272" s="189" t="s">
        <v>331</v>
      </c>
      <c r="C272" s="9" t="s">
        <v>314</v>
      </c>
      <c r="D272" s="190">
        <v>9</v>
      </c>
      <c r="E272" s="191">
        <v>90</v>
      </c>
      <c r="F272" s="192">
        <v>7</v>
      </c>
      <c r="G272" s="191">
        <v>95</v>
      </c>
      <c r="H272" s="189" t="s">
        <v>353</v>
      </c>
      <c r="I272" s="193" t="s">
        <v>354</v>
      </c>
      <c r="J272" s="82">
        <v>30</v>
      </c>
      <c r="K272" s="83">
        <v>15</v>
      </c>
      <c r="O272" s="84"/>
      <c r="P272" s="84"/>
      <c r="Q272" s="84"/>
      <c r="R272" s="84"/>
      <c r="S272" s="84"/>
      <c r="T272" s="84"/>
      <c r="U272" s="84"/>
      <c r="V272" s="84"/>
      <c r="W272" s="84"/>
      <c r="X272" s="84"/>
      <c r="Y272" s="84"/>
      <c r="Z272" s="84"/>
    </row>
    <row r="273" spans="1:26" ht="15.75" customHeight="1" x14ac:dyDescent="0.25">
      <c r="A273" s="85" t="s">
        <v>935</v>
      </c>
      <c r="B273" s="189" t="s">
        <v>359</v>
      </c>
      <c r="C273" s="9" t="s">
        <v>322</v>
      </c>
      <c r="D273" s="190" t="s">
        <v>304</v>
      </c>
      <c r="E273" s="191" t="s">
        <v>305</v>
      </c>
      <c r="F273" s="192" t="s">
        <v>304</v>
      </c>
      <c r="G273" s="191" t="s">
        <v>305</v>
      </c>
      <c r="H273" s="189" t="s">
        <v>936</v>
      </c>
      <c r="I273" s="193" t="s">
        <v>937</v>
      </c>
      <c r="J273" s="82" t="s">
        <v>305</v>
      </c>
      <c r="K273" s="83" t="s">
        <v>184</v>
      </c>
      <c r="O273" s="84"/>
      <c r="P273" s="84"/>
      <c r="Q273" s="84"/>
      <c r="R273" s="84"/>
      <c r="S273" s="84"/>
      <c r="T273" s="84"/>
      <c r="U273" s="84"/>
      <c r="V273" s="84"/>
      <c r="W273" s="84"/>
      <c r="X273" s="84"/>
      <c r="Y273" s="84"/>
      <c r="Z273" s="84"/>
    </row>
    <row r="274" spans="1:26" ht="15.75" customHeight="1" x14ac:dyDescent="0.25">
      <c r="A274" s="85" t="s">
        <v>938</v>
      </c>
      <c r="B274" s="189" t="s">
        <v>359</v>
      </c>
      <c r="C274" s="9" t="s">
        <v>322</v>
      </c>
      <c r="D274" s="190" t="s">
        <v>304</v>
      </c>
      <c r="E274" s="191" t="s">
        <v>305</v>
      </c>
      <c r="F274" s="192" t="s">
        <v>304</v>
      </c>
      <c r="G274" s="191" t="s">
        <v>305</v>
      </c>
      <c r="H274" s="189" t="s">
        <v>939</v>
      </c>
      <c r="I274" s="193" t="s">
        <v>940</v>
      </c>
      <c r="J274" s="82">
        <v>100</v>
      </c>
      <c r="K274" s="83">
        <v>1</v>
      </c>
      <c r="O274" s="84"/>
      <c r="P274" s="84"/>
      <c r="Q274" s="84"/>
      <c r="R274" s="84"/>
      <c r="S274" s="84"/>
      <c r="T274" s="84"/>
      <c r="U274" s="84"/>
      <c r="V274" s="84"/>
      <c r="W274" s="84"/>
      <c r="X274" s="84"/>
      <c r="Y274" s="84"/>
      <c r="Z274" s="84"/>
    </row>
    <row r="275" spans="1:26" ht="15.75" customHeight="1" x14ac:dyDescent="0.25">
      <c r="A275" s="85" t="s">
        <v>941</v>
      </c>
      <c r="B275" s="189" t="s">
        <v>309</v>
      </c>
      <c r="C275" s="9" t="s">
        <v>314</v>
      </c>
      <c r="D275" s="190">
        <v>7</v>
      </c>
      <c r="E275" s="191">
        <v>70</v>
      </c>
      <c r="F275" s="192">
        <v>24.4</v>
      </c>
      <c r="G275" s="191">
        <v>8</v>
      </c>
      <c r="H275" s="189" t="s">
        <v>942</v>
      </c>
      <c r="I275" s="193" t="s">
        <v>943</v>
      </c>
      <c r="J275" s="82" t="s">
        <v>305</v>
      </c>
      <c r="K275" s="83" t="s">
        <v>184</v>
      </c>
      <c r="O275" s="84"/>
      <c r="P275" s="84"/>
      <c r="Q275" s="84"/>
      <c r="R275" s="84"/>
      <c r="S275" s="84"/>
      <c r="T275" s="84"/>
      <c r="U275" s="84"/>
      <c r="V275" s="84"/>
      <c r="W275" s="84"/>
      <c r="X275" s="84"/>
      <c r="Y275" s="84"/>
      <c r="Z275" s="84"/>
    </row>
    <row r="276" spans="1:26" ht="15.75" customHeight="1" x14ac:dyDescent="0.25">
      <c r="A276" s="85" t="s">
        <v>944</v>
      </c>
      <c r="B276" s="189" t="s">
        <v>331</v>
      </c>
      <c r="C276" s="9" t="s">
        <v>314</v>
      </c>
      <c r="D276" s="190">
        <v>9</v>
      </c>
      <c r="E276" s="191">
        <v>90</v>
      </c>
      <c r="F276" s="192">
        <v>7</v>
      </c>
      <c r="G276" s="191">
        <v>95</v>
      </c>
      <c r="H276" s="189" t="s">
        <v>945</v>
      </c>
      <c r="I276" s="193" t="s">
        <v>945</v>
      </c>
      <c r="J276" s="82" t="s">
        <v>305</v>
      </c>
      <c r="K276" s="83" t="s">
        <v>184</v>
      </c>
      <c r="O276" s="84"/>
      <c r="P276" s="84"/>
      <c r="Q276" s="84"/>
      <c r="R276" s="84"/>
      <c r="S276" s="84"/>
      <c r="T276" s="84"/>
      <c r="U276" s="84"/>
      <c r="V276" s="84"/>
      <c r="W276" s="84"/>
      <c r="X276" s="84"/>
      <c r="Y276" s="84"/>
      <c r="Z276" s="84"/>
    </row>
    <row r="277" spans="1:26" ht="15.75" customHeight="1" x14ac:dyDescent="0.25">
      <c r="A277" s="85" t="s">
        <v>946</v>
      </c>
      <c r="B277" s="189" t="s">
        <v>356</v>
      </c>
      <c r="C277" s="9" t="s">
        <v>314</v>
      </c>
      <c r="D277" s="190">
        <v>10</v>
      </c>
      <c r="E277" s="191">
        <v>100</v>
      </c>
      <c r="F277" s="192">
        <v>7</v>
      </c>
      <c r="G277" s="191">
        <v>95</v>
      </c>
      <c r="H277" s="189" t="s">
        <v>947</v>
      </c>
      <c r="I277" s="193" t="s">
        <v>947</v>
      </c>
      <c r="J277" s="82" t="s">
        <v>305</v>
      </c>
      <c r="K277" s="83" t="s">
        <v>184</v>
      </c>
      <c r="O277" s="84"/>
      <c r="P277" s="84"/>
      <c r="Q277" s="84"/>
      <c r="R277" s="84"/>
      <c r="S277" s="84"/>
      <c r="T277" s="84"/>
      <c r="U277" s="84"/>
      <c r="V277" s="84"/>
      <c r="W277" s="84"/>
      <c r="X277" s="84"/>
      <c r="Y277" s="84"/>
      <c r="Z277" s="84"/>
    </row>
    <row r="278" spans="1:26" ht="15.75" customHeight="1" x14ac:dyDescent="0.25">
      <c r="A278" s="85" t="s">
        <v>948</v>
      </c>
      <c r="B278" s="189" t="s">
        <v>356</v>
      </c>
      <c r="C278" s="9" t="s">
        <v>303</v>
      </c>
      <c r="D278" s="190">
        <v>12</v>
      </c>
      <c r="E278" s="191">
        <v>120</v>
      </c>
      <c r="F278" s="192">
        <v>12</v>
      </c>
      <c r="G278" s="191">
        <v>70</v>
      </c>
      <c r="H278" s="189" t="s">
        <v>319</v>
      </c>
      <c r="I278" s="193" t="s">
        <v>320</v>
      </c>
      <c r="J278" s="82">
        <v>10</v>
      </c>
      <c r="K278" s="83">
        <v>19</v>
      </c>
      <c r="O278" s="84"/>
      <c r="P278" s="84"/>
      <c r="Q278" s="84"/>
      <c r="R278" s="84"/>
      <c r="S278" s="84"/>
      <c r="T278" s="84"/>
      <c r="U278" s="84"/>
      <c r="V278" s="84"/>
      <c r="W278" s="84"/>
      <c r="X278" s="84"/>
      <c r="Y278" s="84"/>
      <c r="Z278" s="84"/>
    </row>
    <row r="279" spans="1:26" ht="15.75" customHeight="1" x14ac:dyDescent="0.25">
      <c r="A279" s="85" t="s">
        <v>949</v>
      </c>
      <c r="B279" s="189" t="s">
        <v>335</v>
      </c>
      <c r="C279" s="9" t="s">
        <v>322</v>
      </c>
      <c r="D279" s="190" t="s">
        <v>304</v>
      </c>
      <c r="E279" s="191" t="s">
        <v>305</v>
      </c>
      <c r="F279" s="192" t="s">
        <v>304</v>
      </c>
      <c r="G279" s="191" t="s">
        <v>305</v>
      </c>
      <c r="H279" s="189" t="s">
        <v>950</v>
      </c>
      <c r="I279" s="193" t="s">
        <v>951</v>
      </c>
      <c r="J279" s="82" t="s">
        <v>305</v>
      </c>
      <c r="K279" s="83" t="s">
        <v>184</v>
      </c>
      <c r="O279" s="84"/>
      <c r="P279" s="84"/>
      <c r="Q279" s="84"/>
      <c r="R279" s="84"/>
      <c r="S279" s="84"/>
      <c r="T279" s="84"/>
      <c r="U279" s="84"/>
      <c r="V279" s="84"/>
      <c r="W279" s="84"/>
      <c r="X279" s="84"/>
      <c r="Y279" s="84"/>
      <c r="Z279" s="84"/>
    </row>
    <row r="280" spans="1:26" ht="15.75" customHeight="1" x14ac:dyDescent="0.25">
      <c r="A280" s="85" t="s">
        <v>952</v>
      </c>
      <c r="B280" s="189" t="s">
        <v>356</v>
      </c>
      <c r="C280" s="9" t="s">
        <v>314</v>
      </c>
      <c r="D280" s="190">
        <v>15</v>
      </c>
      <c r="E280" s="191">
        <v>150</v>
      </c>
      <c r="F280" s="192">
        <v>6</v>
      </c>
      <c r="G280" s="191">
        <v>100</v>
      </c>
      <c r="H280" s="189" t="s">
        <v>953</v>
      </c>
      <c r="I280" s="193" t="s">
        <v>954</v>
      </c>
      <c r="J280" s="82" t="s">
        <v>305</v>
      </c>
      <c r="K280" s="83" t="s">
        <v>184</v>
      </c>
      <c r="O280" s="84"/>
      <c r="P280" s="84"/>
      <c r="Q280" s="84"/>
      <c r="R280" s="84"/>
      <c r="S280" s="84"/>
      <c r="T280" s="84"/>
      <c r="U280" s="84"/>
      <c r="V280" s="84"/>
      <c r="W280" s="84"/>
      <c r="X280" s="84"/>
      <c r="Y280" s="84"/>
      <c r="Z280" s="84"/>
    </row>
    <row r="281" spans="1:26" ht="15.75" customHeight="1" x14ac:dyDescent="0.25">
      <c r="A281" s="85" t="s">
        <v>955</v>
      </c>
      <c r="B281" s="189" t="s">
        <v>335</v>
      </c>
      <c r="C281" s="9" t="s">
        <v>322</v>
      </c>
      <c r="D281" s="190" t="s">
        <v>304</v>
      </c>
      <c r="E281" s="191" t="s">
        <v>305</v>
      </c>
      <c r="F281" s="192" t="s">
        <v>304</v>
      </c>
      <c r="G281" s="191" t="s">
        <v>305</v>
      </c>
      <c r="H281" s="189" t="s">
        <v>956</v>
      </c>
      <c r="I281" s="193" t="s">
        <v>957</v>
      </c>
      <c r="J281" s="82" t="s">
        <v>305</v>
      </c>
      <c r="K281" s="83" t="s">
        <v>184</v>
      </c>
      <c r="O281" s="84"/>
      <c r="P281" s="84"/>
      <c r="Q281" s="84"/>
      <c r="R281" s="84"/>
      <c r="S281" s="84"/>
      <c r="T281" s="84"/>
      <c r="U281" s="84"/>
      <c r="V281" s="84"/>
      <c r="W281" s="84"/>
      <c r="X281" s="84"/>
      <c r="Y281" s="84"/>
      <c r="Z281" s="84"/>
    </row>
    <row r="282" spans="1:26" ht="15.75" customHeight="1" x14ac:dyDescent="0.25">
      <c r="A282" s="85" t="s">
        <v>958</v>
      </c>
      <c r="B282" s="189" t="s">
        <v>356</v>
      </c>
      <c r="C282" s="9" t="s">
        <v>314</v>
      </c>
      <c r="D282" s="190">
        <v>6</v>
      </c>
      <c r="E282" s="191">
        <v>60</v>
      </c>
      <c r="F282" s="192">
        <v>6</v>
      </c>
      <c r="G282" s="191">
        <v>100</v>
      </c>
      <c r="H282" s="189" t="s">
        <v>508</v>
      </c>
      <c r="I282" s="193" t="s">
        <v>509</v>
      </c>
      <c r="J282" s="82">
        <v>30</v>
      </c>
      <c r="K282" s="83">
        <v>15</v>
      </c>
      <c r="O282" s="84"/>
      <c r="P282" s="84"/>
      <c r="Q282" s="84"/>
      <c r="R282" s="84"/>
      <c r="S282" s="84"/>
      <c r="T282" s="84"/>
      <c r="U282" s="84"/>
      <c r="V282" s="84"/>
      <c r="W282" s="84"/>
      <c r="X282" s="84"/>
      <c r="Y282" s="84"/>
      <c r="Z282" s="84"/>
    </row>
    <row r="283" spans="1:26" ht="15.75" customHeight="1" x14ac:dyDescent="0.25">
      <c r="A283" s="85" t="s">
        <v>959</v>
      </c>
      <c r="B283" s="189" t="s">
        <v>335</v>
      </c>
      <c r="C283" s="9" t="s">
        <v>322</v>
      </c>
      <c r="D283" s="190" t="s">
        <v>304</v>
      </c>
      <c r="E283" s="191" t="s">
        <v>305</v>
      </c>
      <c r="F283" s="192" t="s">
        <v>304</v>
      </c>
      <c r="G283" s="191" t="s">
        <v>305</v>
      </c>
      <c r="H283" s="189" t="s">
        <v>960</v>
      </c>
      <c r="I283" s="193" t="s">
        <v>961</v>
      </c>
      <c r="J283" s="82" t="s">
        <v>305</v>
      </c>
      <c r="K283" s="83" t="s">
        <v>184</v>
      </c>
      <c r="O283" s="84"/>
      <c r="P283" s="84"/>
      <c r="Q283" s="84"/>
      <c r="R283" s="84"/>
      <c r="S283" s="84"/>
      <c r="T283" s="84"/>
      <c r="U283" s="84"/>
      <c r="V283" s="84"/>
      <c r="W283" s="84"/>
      <c r="X283" s="84"/>
      <c r="Y283" s="84"/>
      <c r="Z283" s="84"/>
    </row>
    <row r="284" spans="1:26" ht="15.75" customHeight="1" x14ac:dyDescent="0.25">
      <c r="A284" s="85" t="s">
        <v>962</v>
      </c>
      <c r="B284" s="189" t="s">
        <v>309</v>
      </c>
      <c r="C284" s="9" t="s">
        <v>322</v>
      </c>
      <c r="D284" s="190" t="s">
        <v>304</v>
      </c>
      <c r="E284" s="191" t="s">
        <v>305</v>
      </c>
      <c r="F284" s="192">
        <v>6</v>
      </c>
      <c r="G284" s="191">
        <v>100</v>
      </c>
      <c r="H284" s="189" t="s">
        <v>963</v>
      </c>
      <c r="I284" s="193" t="s">
        <v>964</v>
      </c>
      <c r="J284" s="82" t="s">
        <v>305</v>
      </c>
      <c r="K284" s="83" t="s">
        <v>184</v>
      </c>
      <c r="O284" s="84"/>
      <c r="P284" s="84"/>
      <c r="Q284" s="84"/>
      <c r="R284" s="84"/>
      <c r="S284" s="84"/>
      <c r="T284" s="84"/>
      <c r="U284" s="84"/>
      <c r="V284" s="84"/>
      <c r="W284" s="84"/>
      <c r="X284" s="84"/>
      <c r="Y284" s="84"/>
      <c r="Z284" s="84"/>
    </row>
    <row r="285" spans="1:26" ht="15.75" customHeight="1" x14ac:dyDescent="0.25">
      <c r="A285" s="85" t="s">
        <v>965</v>
      </c>
      <c r="B285" s="189" t="s">
        <v>403</v>
      </c>
      <c r="C285" s="9" t="s">
        <v>314</v>
      </c>
      <c r="D285" s="190">
        <v>10</v>
      </c>
      <c r="E285" s="191">
        <v>95</v>
      </c>
      <c r="F285" s="192">
        <v>6</v>
      </c>
      <c r="G285" s="191">
        <v>100</v>
      </c>
      <c r="H285" s="189" t="s">
        <v>966</v>
      </c>
      <c r="I285" s="193" t="s">
        <v>967</v>
      </c>
      <c r="J285" s="82" t="s">
        <v>305</v>
      </c>
      <c r="K285" s="83" t="s">
        <v>184</v>
      </c>
      <c r="O285" s="84"/>
      <c r="P285" s="84"/>
      <c r="Q285" s="84"/>
      <c r="R285" s="84"/>
      <c r="S285" s="84"/>
      <c r="T285" s="84"/>
      <c r="U285" s="84"/>
      <c r="V285" s="84"/>
      <c r="W285" s="84"/>
      <c r="X285" s="84"/>
      <c r="Y285" s="84"/>
      <c r="Z285" s="84"/>
    </row>
    <row r="286" spans="1:26" ht="15.75" customHeight="1" x14ac:dyDescent="0.25">
      <c r="A286" s="85" t="s">
        <v>968</v>
      </c>
      <c r="B286" s="189" t="s">
        <v>419</v>
      </c>
      <c r="C286" s="9" t="s">
        <v>314</v>
      </c>
      <c r="D286" s="190">
        <v>14</v>
      </c>
      <c r="E286" s="191">
        <v>140</v>
      </c>
      <c r="F286" s="192">
        <v>8</v>
      </c>
      <c r="G286" s="191">
        <v>90</v>
      </c>
      <c r="H286" s="189" t="s">
        <v>969</v>
      </c>
      <c r="I286" s="193" t="s">
        <v>970</v>
      </c>
      <c r="J286" s="82">
        <v>30</v>
      </c>
      <c r="K286" s="83">
        <v>15</v>
      </c>
      <c r="O286" s="84"/>
      <c r="P286" s="84"/>
      <c r="Q286" s="84"/>
      <c r="R286" s="84"/>
      <c r="S286" s="84"/>
      <c r="T286" s="84"/>
      <c r="U286" s="84"/>
      <c r="V286" s="84"/>
      <c r="W286" s="84"/>
      <c r="X286" s="84"/>
      <c r="Y286" s="84"/>
      <c r="Z286" s="84"/>
    </row>
    <row r="287" spans="1:26" ht="15.75" customHeight="1" x14ac:dyDescent="0.25">
      <c r="A287" s="85" t="s">
        <v>971</v>
      </c>
      <c r="B287" s="189" t="s">
        <v>419</v>
      </c>
      <c r="C287" s="9" t="s">
        <v>303</v>
      </c>
      <c r="D287" s="190">
        <v>7</v>
      </c>
      <c r="E287" s="191">
        <v>70</v>
      </c>
      <c r="F287" s="192">
        <v>6</v>
      </c>
      <c r="G287" s="191">
        <v>100</v>
      </c>
      <c r="H287" s="189" t="s">
        <v>972</v>
      </c>
      <c r="I287" s="193" t="s">
        <v>973</v>
      </c>
      <c r="J287" s="82">
        <v>10</v>
      </c>
      <c r="K287" s="83">
        <v>19</v>
      </c>
      <c r="O287" s="84"/>
      <c r="P287" s="84"/>
      <c r="Q287" s="84"/>
      <c r="R287" s="84"/>
      <c r="S287" s="84"/>
      <c r="T287" s="84"/>
      <c r="U287" s="84"/>
      <c r="V287" s="84"/>
      <c r="W287" s="84"/>
      <c r="X287" s="84"/>
      <c r="Y287" s="84"/>
      <c r="Z287" s="84"/>
    </row>
    <row r="288" spans="1:26" ht="15.75" customHeight="1" x14ac:dyDescent="0.25">
      <c r="A288" s="85" t="s">
        <v>974</v>
      </c>
      <c r="B288" s="189" t="s">
        <v>348</v>
      </c>
      <c r="C288" s="9" t="s">
        <v>303</v>
      </c>
      <c r="D288" s="190">
        <v>9</v>
      </c>
      <c r="E288" s="191">
        <v>90</v>
      </c>
      <c r="F288" s="192">
        <v>6</v>
      </c>
      <c r="G288" s="191">
        <v>100</v>
      </c>
      <c r="H288" s="189" t="s">
        <v>492</v>
      </c>
      <c r="I288" s="193" t="s">
        <v>492</v>
      </c>
      <c r="J288" s="82">
        <v>10</v>
      </c>
      <c r="K288" s="83">
        <v>19</v>
      </c>
      <c r="O288" s="84"/>
      <c r="P288" s="84"/>
      <c r="Q288" s="84"/>
      <c r="R288" s="84"/>
      <c r="S288" s="84"/>
      <c r="T288" s="84"/>
      <c r="U288" s="84"/>
      <c r="V288" s="84"/>
      <c r="W288" s="84"/>
      <c r="X288" s="84"/>
      <c r="Y288" s="84"/>
      <c r="Z288" s="84"/>
    </row>
    <row r="289" spans="1:26" ht="15.75" customHeight="1" x14ac:dyDescent="0.25">
      <c r="A289" s="85" t="s">
        <v>975</v>
      </c>
      <c r="B289" s="189" t="s">
        <v>419</v>
      </c>
      <c r="C289" s="9" t="s">
        <v>303</v>
      </c>
      <c r="D289" s="190">
        <v>9</v>
      </c>
      <c r="E289" s="191">
        <v>90</v>
      </c>
      <c r="F289" s="192">
        <v>6</v>
      </c>
      <c r="G289" s="191">
        <v>100</v>
      </c>
      <c r="H289" s="189" t="s">
        <v>976</v>
      </c>
      <c r="I289" s="193" t="s">
        <v>977</v>
      </c>
      <c r="J289" s="82" t="s">
        <v>305</v>
      </c>
      <c r="K289" s="83" t="s">
        <v>184</v>
      </c>
      <c r="O289" s="84"/>
      <c r="P289" s="84"/>
      <c r="Q289" s="84"/>
      <c r="R289" s="84"/>
      <c r="S289" s="84"/>
      <c r="T289" s="84"/>
      <c r="U289" s="84"/>
      <c r="V289" s="84"/>
      <c r="W289" s="84"/>
      <c r="X289" s="84"/>
      <c r="Y289" s="84"/>
      <c r="Z289" s="84"/>
    </row>
    <row r="290" spans="1:26" ht="15.75" customHeight="1" x14ac:dyDescent="0.25">
      <c r="A290" s="85" t="s">
        <v>978</v>
      </c>
      <c r="B290" s="189" t="s">
        <v>309</v>
      </c>
      <c r="C290" s="9" t="s">
        <v>303</v>
      </c>
      <c r="D290" s="190">
        <v>15</v>
      </c>
      <c r="E290" s="191">
        <v>150</v>
      </c>
      <c r="F290" s="192">
        <v>8</v>
      </c>
      <c r="G290" s="191">
        <v>90</v>
      </c>
      <c r="H290" s="189" t="s">
        <v>482</v>
      </c>
      <c r="I290" s="193" t="s">
        <v>483</v>
      </c>
      <c r="J290" s="82" t="s">
        <v>305</v>
      </c>
      <c r="K290" s="83" t="s">
        <v>184</v>
      </c>
      <c r="O290" s="84"/>
      <c r="P290" s="84"/>
      <c r="Q290" s="84"/>
      <c r="R290" s="84"/>
      <c r="S290" s="84"/>
      <c r="T290" s="84"/>
      <c r="U290" s="84"/>
      <c r="V290" s="84"/>
      <c r="W290" s="84"/>
      <c r="X290" s="84"/>
      <c r="Y290" s="84"/>
      <c r="Z290" s="84"/>
    </row>
    <row r="291" spans="1:26" ht="15.75" customHeight="1" x14ac:dyDescent="0.25">
      <c r="A291" s="85" t="s">
        <v>979</v>
      </c>
      <c r="B291" s="189" t="s">
        <v>419</v>
      </c>
      <c r="C291" s="9" t="s">
        <v>303</v>
      </c>
      <c r="D291" s="190">
        <v>6</v>
      </c>
      <c r="E291" s="191">
        <v>60</v>
      </c>
      <c r="F291" s="192">
        <v>8</v>
      </c>
      <c r="G291" s="191">
        <v>90</v>
      </c>
      <c r="H291" s="189" t="s">
        <v>980</v>
      </c>
      <c r="I291" s="193" t="s">
        <v>981</v>
      </c>
      <c r="J291" s="82">
        <v>100</v>
      </c>
      <c r="K291" s="83">
        <v>1</v>
      </c>
      <c r="O291" s="84"/>
      <c r="P291" s="84"/>
      <c r="Q291" s="84"/>
      <c r="R291" s="84"/>
      <c r="S291" s="84"/>
      <c r="T291" s="84"/>
      <c r="U291" s="84"/>
      <c r="V291" s="84"/>
      <c r="W291" s="84"/>
      <c r="X291" s="84"/>
      <c r="Y291" s="84"/>
      <c r="Z291" s="84"/>
    </row>
    <row r="292" spans="1:26" ht="15.75" customHeight="1" x14ac:dyDescent="0.25">
      <c r="A292" s="85" t="s">
        <v>982</v>
      </c>
      <c r="B292" s="189" t="s">
        <v>335</v>
      </c>
      <c r="C292" s="9" t="s">
        <v>314</v>
      </c>
      <c r="D292" s="190" t="s">
        <v>304</v>
      </c>
      <c r="E292" s="191" t="s">
        <v>305</v>
      </c>
      <c r="F292" s="192">
        <v>6</v>
      </c>
      <c r="G292" s="191">
        <v>100</v>
      </c>
      <c r="H292" s="189" t="s">
        <v>983</v>
      </c>
      <c r="I292" s="193" t="s">
        <v>984</v>
      </c>
      <c r="J292" s="82" t="s">
        <v>305</v>
      </c>
      <c r="K292" s="83" t="s">
        <v>184</v>
      </c>
      <c r="O292" s="84"/>
      <c r="P292" s="84"/>
      <c r="Q292" s="84"/>
      <c r="R292" s="84"/>
      <c r="S292" s="84"/>
      <c r="T292" s="84"/>
      <c r="U292" s="84"/>
      <c r="V292" s="84"/>
      <c r="W292" s="84"/>
      <c r="X292" s="84"/>
      <c r="Y292" s="84"/>
      <c r="Z292" s="84"/>
    </row>
    <row r="293" spans="1:26" ht="15.75" customHeight="1" x14ac:dyDescent="0.25">
      <c r="A293" s="85" t="s">
        <v>985</v>
      </c>
      <c r="B293" s="189" t="s">
        <v>335</v>
      </c>
      <c r="C293" s="9" t="s">
        <v>314</v>
      </c>
      <c r="D293" s="190">
        <v>2</v>
      </c>
      <c r="E293" s="191">
        <v>15</v>
      </c>
      <c r="F293" s="192">
        <v>9</v>
      </c>
      <c r="G293" s="191">
        <v>85</v>
      </c>
      <c r="H293" s="189" t="s">
        <v>387</v>
      </c>
      <c r="I293" s="193" t="s">
        <v>388</v>
      </c>
      <c r="J293" s="82" t="s">
        <v>305</v>
      </c>
      <c r="K293" s="83" t="s">
        <v>184</v>
      </c>
      <c r="O293" s="84"/>
      <c r="P293" s="84"/>
      <c r="Q293" s="84"/>
      <c r="R293" s="84"/>
      <c r="S293" s="84"/>
      <c r="T293" s="84"/>
      <c r="U293" s="84"/>
      <c r="V293" s="84"/>
      <c r="W293" s="84"/>
      <c r="X293" s="84"/>
      <c r="Y293" s="84"/>
      <c r="Z293" s="84"/>
    </row>
    <row r="294" spans="1:26" ht="15.75" customHeight="1" x14ac:dyDescent="0.25">
      <c r="A294" s="85" t="s">
        <v>986</v>
      </c>
      <c r="B294" s="189" t="s">
        <v>411</v>
      </c>
      <c r="C294" s="9" t="s">
        <v>314</v>
      </c>
      <c r="D294" s="190">
        <v>4</v>
      </c>
      <c r="E294" s="191">
        <v>40</v>
      </c>
      <c r="F294" s="192">
        <v>7</v>
      </c>
      <c r="G294" s="191">
        <v>95</v>
      </c>
      <c r="H294" s="189" t="s">
        <v>804</v>
      </c>
      <c r="I294" s="193" t="s">
        <v>805</v>
      </c>
      <c r="J294" s="82" t="s">
        <v>305</v>
      </c>
      <c r="K294" s="83" t="s">
        <v>184</v>
      </c>
      <c r="O294" s="84"/>
      <c r="P294" s="84"/>
      <c r="Q294" s="84"/>
      <c r="R294" s="84"/>
      <c r="S294" s="84"/>
      <c r="T294" s="84"/>
      <c r="U294" s="84"/>
      <c r="V294" s="84"/>
      <c r="W294" s="84"/>
      <c r="X294" s="84"/>
      <c r="Y294" s="84"/>
      <c r="Z294" s="84"/>
    </row>
    <row r="295" spans="1:26" ht="15.75" customHeight="1" x14ac:dyDescent="0.25">
      <c r="A295" s="85" t="s">
        <v>987</v>
      </c>
      <c r="B295" s="189" t="s">
        <v>335</v>
      </c>
      <c r="C295" s="9" t="s">
        <v>314</v>
      </c>
      <c r="D295" s="190">
        <v>2</v>
      </c>
      <c r="E295" s="191">
        <v>18</v>
      </c>
      <c r="F295" s="192">
        <v>10</v>
      </c>
      <c r="G295" s="191">
        <v>80</v>
      </c>
      <c r="H295" s="189" t="s">
        <v>387</v>
      </c>
      <c r="I295" s="193" t="s">
        <v>388</v>
      </c>
      <c r="J295" s="82" t="s">
        <v>305</v>
      </c>
      <c r="K295" s="83" t="s">
        <v>184</v>
      </c>
      <c r="O295" s="84"/>
      <c r="P295" s="84"/>
      <c r="Q295" s="84"/>
      <c r="R295" s="84"/>
      <c r="S295" s="84"/>
      <c r="T295" s="84"/>
      <c r="U295" s="84"/>
      <c r="V295" s="84"/>
      <c r="W295" s="84"/>
      <c r="X295" s="84"/>
      <c r="Y295" s="84"/>
      <c r="Z295" s="84"/>
    </row>
    <row r="296" spans="1:26" ht="15.75" customHeight="1" x14ac:dyDescent="0.25">
      <c r="A296" s="85" t="s">
        <v>988</v>
      </c>
      <c r="B296" s="189" t="s">
        <v>302</v>
      </c>
      <c r="C296" s="9" t="s">
        <v>314</v>
      </c>
      <c r="D296" s="190">
        <v>10</v>
      </c>
      <c r="E296" s="191">
        <v>100</v>
      </c>
      <c r="F296" s="192">
        <v>6</v>
      </c>
      <c r="G296" s="191">
        <v>100</v>
      </c>
      <c r="H296" s="189" t="s">
        <v>989</v>
      </c>
      <c r="I296" s="193" t="s">
        <v>990</v>
      </c>
      <c r="J296" s="82" t="s">
        <v>305</v>
      </c>
      <c r="K296" s="83" t="s">
        <v>184</v>
      </c>
      <c r="O296" s="84"/>
      <c r="P296" s="84"/>
      <c r="Q296" s="84"/>
      <c r="R296" s="84"/>
      <c r="S296" s="84"/>
      <c r="T296" s="84"/>
      <c r="U296" s="84"/>
      <c r="V296" s="84"/>
      <c r="W296" s="84"/>
      <c r="X296" s="84"/>
      <c r="Y296" s="84"/>
      <c r="Z296" s="84"/>
    </row>
    <row r="297" spans="1:26" ht="15.75" customHeight="1" x14ac:dyDescent="0.25">
      <c r="A297" s="85" t="s">
        <v>991</v>
      </c>
      <c r="B297" s="189" t="s">
        <v>390</v>
      </c>
      <c r="C297" s="9" t="s">
        <v>303</v>
      </c>
      <c r="D297" s="190">
        <v>10</v>
      </c>
      <c r="E297" s="191">
        <v>100</v>
      </c>
      <c r="F297" s="192">
        <v>6</v>
      </c>
      <c r="G297" s="191">
        <v>100</v>
      </c>
      <c r="H297" s="189" t="s">
        <v>992</v>
      </c>
      <c r="I297" s="193" t="s">
        <v>993</v>
      </c>
      <c r="J297" s="82" t="s">
        <v>305</v>
      </c>
      <c r="K297" s="83" t="s">
        <v>184</v>
      </c>
      <c r="O297" s="84"/>
      <c r="P297" s="84"/>
      <c r="Q297" s="84"/>
      <c r="R297" s="84"/>
      <c r="S297" s="84"/>
      <c r="T297" s="84"/>
      <c r="U297" s="84"/>
      <c r="V297" s="84"/>
      <c r="W297" s="84"/>
      <c r="X297" s="84"/>
      <c r="Y297" s="84"/>
      <c r="Z297" s="84"/>
    </row>
    <row r="298" spans="1:26" ht="15.75" customHeight="1" x14ac:dyDescent="0.25">
      <c r="A298" s="85" t="s">
        <v>994</v>
      </c>
      <c r="B298" s="189" t="s">
        <v>348</v>
      </c>
      <c r="C298" s="9" t="s">
        <v>303</v>
      </c>
      <c r="D298" s="190">
        <v>12</v>
      </c>
      <c r="E298" s="191">
        <v>120</v>
      </c>
      <c r="F298" s="192">
        <v>6</v>
      </c>
      <c r="G298" s="191">
        <v>100</v>
      </c>
      <c r="H298" s="189" t="s">
        <v>744</v>
      </c>
      <c r="I298" s="193" t="s">
        <v>744</v>
      </c>
      <c r="J298" s="82" t="s">
        <v>305</v>
      </c>
      <c r="K298" s="83" t="s">
        <v>184</v>
      </c>
      <c r="O298" s="84"/>
      <c r="P298" s="84"/>
      <c r="Q298" s="84"/>
      <c r="R298" s="84"/>
      <c r="S298" s="84"/>
      <c r="T298" s="84"/>
      <c r="U298" s="84"/>
      <c r="V298" s="84"/>
      <c r="W298" s="84"/>
      <c r="X298" s="84"/>
      <c r="Y298" s="84"/>
      <c r="Z298" s="84"/>
    </row>
    <row r="299" spans="1:26" ht="15.75" customHeight="1" x14ac:dyDescent="0.25">
      <c r="A299" s="85" t="s">
        <v>995</v>
      </c>
      <c r="B299" s="189" t="s">
        <v>411</v>
      </c>
      <c r="C299" s="9" t="s">
        <v>305</v>
      </c>
      <c r="D299" s="190" t="s">
        <v>304</v>
      </c>
      <c r="E299" s="191" t="s">
        <v>305</v>
      </c>
      <c r="F299" s="192">
        <v>24.4</v>
      </c>
      <c r="G299" s="191">
        <v>8</v>
      </c>
      <c r="H299" s="189" t="s">
        <v>996</v>
      </c>
      <c r="I299" s="193" t="s">
        <v>997</v>
      </c>
      <c r="J299" s="82">
        <v>100</v>
      </c>
      <c r="K299" s="83">
        <v>1</v>
      </c>
      <c r="O299" s="84"/>
      <c r="P299" s="84"/>
      <c r="Q299" s="84"/>
      <c r="R299" s="84"/>
      <c r="S299" s="84"/>
      <c r="T299" s="84"/>
      <c r="U299" s="84"/>
      <c r="V299" s="84"/>
      <c r="W299" s="84"/>
      <c r="X299" s="84"/>
      <c r="Y299" s="84"/>
      <c r="Z299" s="84"/>
    </row>
    <row r="300" spans="1:26" ht="15.75" customHeight="1" x14ac:dyDescent="0.25">
      <c r="A300" s="85" t="s">
        <v>998</v>
      </c>
      <c r="B300" s="189" t="s">
        <v>377</v>
      </c>
      <c r="C300" s="9" t="s">
        <v>305</v>
      </c>
      <c r="D300" s="190" t="s">
        <v>304</v>
      </c>
      <c r="E300" s="191" t="s">
        <v>305</v>
      </c>
      <c r="F300" s="192">
        <v>24.4</v>
      </c>
      <c r="G300" s="191">
        <v>8</v>
      </c>
      <c r="H300" s="189" t="s">
        <v>999</v>
      </c>
      <c r="I300" s="193" t="s">
        <v>999</v>
      </c>
      <c r="J300" s="82" t="s">
        <v>305</v>
      </c>
      <c r="K300" s="83" t="s">
        <v>184</v>
      </c>
      <c r="O300" s="84"/>
      <c r="P300" s="84"/>
      <c r="Q300" s="84"/>
      <c r="R300" s="84"/>
      <c r="S300" s="84"/>
      <c r="T300" s="84"/>
      <c r="U300" s="84"/>
      <c r="V300" s="84"/>
      <c r="W300" s="84"/>
      <c r="X300" s="84"/>
      <c r="Y300" s="84"/>
      <c r="Z300" s="84"/>
    </row>
    <row r="301" spans="1:26" ht="15.75" customHeight="1" x14ac:dyDescent="0.25">
      <c r="A301" s="85" t="s">
        <v>1000</v>
      </c>
      <c r="B301" s="189" t="s">
        <v>390</v>
      </c>
      <c r="C301" s="9" t="s">
        <v>305</v>
      </c>
      <c r="D301" s="190" t="s">
        <v>304</v>
      </c>
      <c r="E301" s="191" t="s">
        <v>305</v>
      </c>
      <c r="F301" s="192">
        <v>24.4</v>
      </c>
      <c r="G301" s="191">
        <v>8</v>
      </c>
      <c r="H301" s="189" t="s">
        <v>1001</v>
      </c>
      <c r="I301" s="193" t="s">
        <v>1002</v>
      </c>
      <c r="J301" s="82">
        <v>100</v>
      </c>
      <c r="K301" s="83">
        <v>1</v>
      </c>
      <c r="O301" s="84"/>
      <c r="P301" s="84"/>
      <c r="Q301" s="84"/>
      <c r="R301" s="84"/>
      <c r="S301" s="84"/>
      <c r="T301" s="84"/>
      <c r="U301" s="84"/>
      <c r="V301" s="84"/>
      <c r="W301" s="84"/>
      <c r="X301" s="84"/>
      <c r="Y301" s="84"/>
      <c r="Z301" s="84"/>
    </row>
    <row r="302" spans="1:26" ht="15.75" customHeight="1" x14ac:dyDescent="0.25">
      <c r="A302" s="85" t="s">
        <v>1003</v>
      </c>
      <c r="B302" s="189" t="s">
        <v>356</v>
      </c>
      <c r="C302" s="9" t="s">
        <v>305</v>
      </c>
      <c r="D302" s="190" t="s">
        <v>304</v>
      </c>
      <c r="E302" s="191" t="s">
        <v>305</v>
      </c>
      <c r="F302" s="192">
        <v>24.4</v>
      </c>
      <c r="G302" s="191">
        <v>8</v>
      </c>
      <c r="H302" s="189" t="s">
        <v>1004</v>
      </c>
      <c r="I302" s="193" t="s">
        <v>1005</v>
      </c>
      <c r="J302" s="82" t="s">
        <v>305</v>
      </c>
      <c r="K302" s="83" t="s">
        <v>184</v>
      </c>
      <c r="O302" s="84"/>
      <c r="P302" s="84"/>
      <c r="Q302" s="84"/>
      <c r="R302" s="84"/>
      <c r="S302" s="84"/>
      <c r="T302" s="84"/>
      <c r="U302" s="84"/>
      <c r="V302" s="84"/>
      <c r="W302" s="84"/>
      <c r="X302" s="84"/>
      <c r="Y302" s="84"/>
      <c r="Z302" s="84"/>
    </row>
    <row r="303" spans="1:26" ht="15.75" customHeight="1" x14ac:dyDescent="0.25">
      <c r="A303" s="85" t="s">
        <v>1006</v>
      </c>
      <c r="B303" s="189" t="s">
        <v>335</v>
      </c>
      <c r="C303" s="9" t="s">
        <v>305</v>
      </c>
      <c r="D303" s="190" t="s">
        <v>304</v>
      </c>
      <c r="E303" s="191" t="s">
        <v>305</v>
      </c>
      <c r="F303" s="192">
        <v>24.4</v>
      </c>
      <c r="G303" s="191">
        <v>8</v>
      </c>
      <c r="H303" s="189" t="s">
        <v>1007</v>
      </c>
      <c r="I303" s="193" t="s">
        <v>1008</v>
      </c>
      <c r="J303" s="82">
        <v>100</v>
      </c>
      <c r="K303" s="83">
        <v>1</v>
      </c>
      <c r="O303" s="84"/>
      <c r="P303" s="84"/>
      <c r="Q303" s="84"/>
      <c r="R303" s="84"/>
      <c r="S303" s="84"/>
      <c r="T303" s="84"/>
      <c r="U303" s="84"/>
      <c r="V303" s="84"/>
      <c r="W303" s="84"/>
      <c r="X303" s="84"/>
      <c r="Y303" s="84"/>
      <c r="Z303" s="84"/>
    </row>
    <row r="304" spans="1:26" ht="15.75" customHeight="1" x14ac:dyDescent="0.25">
      <c r="A304" s="85" t="s">
        <v>1009</v>
      </c>
      <c r="B304" s="189" t="s">
        <v>530</v>
      </c>
      <c r="C304" s="9" t="s">
        <v>305</v>
      </c>
      <c r="D304" s="190" t="s">
        <v>304</v>
      </c>
      <c r="E304" s="191" t="s">
        <v>305</v>
      </c>
      <c r="F304" s="192">
        <v>24.4</v>
      </c>
      <c r="G304" s="191">
        <v>8</v>
      </c>
      <c r="H304" s="189" t="s">
        <v>1010</v>
      </c>
      <c r="I304" s="193" t="s">
        <v>1011</v>
      </c>
      <c r="J304" s="82" t="s">
        <v>305</v>
      </c>
      <c r="K304" s="83" t="s">
        <v>184</v>
      </c>
      <c r="O304" s="84"/>
      <c r="P304" s="84"/>
      <c r="Q304" s="84"/>
      <c r="R304" s="84"/>
      <c r="S304" s="84"/>
      <c r="T304" s="84"/>
      <c r="U304" s="84"/>
      <c r="V304" s="84"/>
      <c r="W304" s="84"/>
      <c r="X304" s="84"/>
      <c r="Y304" s="84"/>
      <c r="Z304" s="84"/>
    </row>
    <row r="305" spans="1:26" ht="15.75" customHeight="1" x14ac:dyDescent="0.25">
      <c r="A305" s="85" t="s">
        <v>1012</v>
      </c>
      <c r="B305" s="189" t="s">
        <v>309</v>
      </c>
      <c r="C305" s="9" t="s">
        <v>305</v>
      </c>
      <c r="D305" s="190">
        <v>16</v>
      </c>
      <c r="E305" s="191">
        <v>160</v>
      </c>
      <c r="F305" s="192">
        <v>24.4</v>
      </c>
      <c r="G305" s="191">
        <v>8</v>
      </c>
      <c r="H305" s="189" t="s">
        <v>1013</v>
      </c>
      <c r="I305" s="193" t="s">
        <v>1013</v>
      </c>
      <c r="J305" s="82" t="s">
        <v>305</v>
      </c>
      <c r="K305" s="83" t="s">
        <v>184</v>
      </c>
      <c r="O305" s="84"/>
      <c r="P305" s="84"/>
      <c r="Q305" s="84"/>
      <c r="R305" s="84"/>
      <c r="S305" s="84"/>
      <c r="T305" s="84"/>
      <c r="U305" s="84"/>
      <c r="V305" s="84"/>
      <c r="W305" s="84"/>
      <c r="X305" s="84"/>
      <c r="Y305" s="84"/>
      <c r="Z305" s="84"/>
    </row>
    <row r="306" spans="1:26" ht="15.75" customHeight="1" x14ac:dyDescent="0.25">
      <c r="A306" s="85" t="s">
        <v>1014</v>
      </c>
      <c r="B306" s="189" t="s">
        <v>359</v>
      </c>
      <c r="C306" s="9" t="s">
        <v>305</v>
      </c>
      <c r="D306" s="190" t="s">
        <v>304</v>
      </c>
      <c r="E306" s="191" t="s">
        <v>305</v>
      </c>
      <c r="F306" s="192">
        <v>24.4</v>
      </c>
      <c r="G306" s="191">
        <v>8</v>
      </c>
      <c r="H306" s="189" t="s">
        <v>1015</v>
      </c>
      <c r="I306" s="193" t="s">
        <v>1016</v>
      </c>
      <c r="J306" s="82" t="s">
        <v>305</v>
      </c>
      <c r="K306" s="83" t="s">
        <v>184</v>
      </c>
      <c r="O306" s="84"/>
      <c r="P306" s="84"/>
      <c r="Q306" s="84"/>
      <c r="R306" s="84"/>
      <c r="S306" s="84"/>
      <c r="T306" s="84"/>
      <c r="U306" s="84"/>
      <c r="V306" s="84"/>
      <c r="W306" s="84"/>
      <c r="X306" s="84"/>
      <c r="Y306" s="84"/>
      <c r="Z306" s="84"/>
    </row>
    <row r="307" spans="1:26" ht="15.75" customHeight="1" x14ac:dyDescent="0.25">
      <c r="A307" s="85" t="s">
        <v>1017</v>
      </c>
      <c r="B307" s="189" t="s">
        <v>390</v>
      </c>
      <c r="C307" s="9" t="s">
        <v>305</v>
      </c>
      <c r="D307" s="190">
        <v>16</v>
      </c>
      <c r="E307" s="191">
        <v>160</v>
      </c>
      <c r="F307" s="192">
        <v>24.4</v>
      </c>
      <c r="G307" s="191">
        <v>8</v>
      </c>
      <c r="H307" s="189" t="s">
        <v>1018</v>
      </c>
      <c r="I307" s="193" t="s">
        <v>1018</v>
      </c>
      <c r="J307" s="82" t="s">
        <v>305</v>
      </c>
      <c r="K307" s="83" t="s">
        <v>184</v>
      </c>
      <c r="O307" s="84"/>
      <c r="P307" s="84"/>
      <c r="Q307" s="84"/>
      <c r="R307" s="84"/>
      <c r="S307" s="84"/>
      <c r="T307" s="84"/>
      <c r="U307" s="84"/>
      <c r="V307" s="84"/>
      <c r="W307" s="84"/>
      <c r="X307" s="84"/>
      <c r="Y307" s="84"/>
      <c r="Z307" s="84"/>
    </row>
    <row r="308" spans="1:26" ht="15.75" customHeight="1" x14ac:dyDescent="0.25">
      <c r="A308" s="85" t="s">
        <v>1019</v>
      </c>
      <c r="B308" s="189" t="s">
        <v>377</v>
      </c>
      <c r="C308" s="9" t="s">
        <v>305</v>
      </c>
      <c r="D308" s="190" t="s">
        <v>304</v>
      </c>
      <c r="E308" s="191" t="s">
        <v>305</v>
      </c>
      <c r="F308" s="192">
        <v>24.4</v>
      </c>
      <c r="G308" s="191">
        <v>8</v>
      </c>
      <c r="H308" s="189" t="s">
        <v>1020</v>
      </c>
      <c r="I308" s="193" t="s">
        <v>1021</v>
      </c>
      <c r="J308" s="82">
        <v>100</v>
      </c>
      <c r="K308" s="83">
        <v>1</v>
      </c>
      <c r="O308" s="84"/>
      <c r="P308" s="84"/>
      <c r="Q308" s="84"/>
      <c r="R308" s="84"/>
      <c r="S308" s="84"/>
      <c r="T308" s="84"/>
      <c r="U308" s="84"/>
      <c r="V308" s="84"/>
      <c r="W308" s="84"/>
      <c r="X308" s="84"/>
      <c r="Y308" s="84"/>
      <c r="Z308" s="84"/>
    </row>
    <row r="309" spans="1:26" ht="15.75" customHeight="1" x14ac:dyDescent="0.25">
      <c r="A309" s="85" t="s">
        <v>1022</v>
      </c>
      <c r="B309" s="189" t="s">
        <v>335</v>
      </c>
      <c r="C309" s="9" t="s">
        <v>305</v>
      </c>
      <c r="D309" s="190" t="s">
        <v>304</v>
      </c>
      <c r="E309" s="191" t="s">
        <v>305</v>
      </c>
      <c r="F309" s="192">
        <v>24.4</v>
      </c>
      <c r="G309" s="191">
        <v>8</v>
      </c>
      <c r="H309" s="189" t="s">
        <v>1023</v>
      </c>
      <c r="I309" s="193" t="s">
        <v>1024</v>
      </c>
      <c r="J309" s="82">
        <v>100</v>
      </c>
      <c r="K309" s="83">
        <v>1</v>
      </c>
      <c r="O309" s="84"/>
      <c r="P309" s="84"/>
      <c r="Q309" s="84"/>
      <c r="R309" s="84"/>
      <c r="S309" s="84"/>
      <c r="T309" s="84"/>
      <c r="U309" s="84"/>
      <c r="V309" s="84"/>
      <c r="W309" s="84"/>
      <c r="X309" s="84"/>
      <c r="Y309" s="84"/>
      <c r="Z309" s="84"/>
    </row>
    <row r="310" spans="1:26" ht="15.75" customHeight="1" x14ac:dyDescent="0.25">
      <c r="A310" s="85" t="s">
        <v>1025</v>
      </c>
      <c r="B310" s="189" t="s">
        <v>348</v>
      </c>
      <c r="C310" s="9" t="s">
        <v>305</v>
      </c>
      <c r="D310" s="190" t="s">
        <v>304</v>
      </c>
      <c r="E310" s="191" t="s">
        <v>305</v>
      </c>
      <c r="F310" s="192">
        <v>24.4</v>
      </c>
      <c r="G310" s="191">
        <v>8</v>
      </c>
      <c r="H310" s="189" t="s">
        <v>1026</v>
      </c>
      <c r="I310" s="193" t="s">
        <v>1027</v>
      </c>
      <c r="J310" s="82" t="s">
        <v>305</v>
      </c>
      <c r="K310" s="83" t="s">
        <v>184</v>
      </c>
      <c r="O310" s="84"/>
      <c r="P310" s="84"/>
      <c r="Q310" s="84"/>
      <c r="R310" s="84"/>
      <c r="S310" s="84"/>
      <c r="T310" s="84"/>
      <c r="U310" s="84"/>
      <c r="V310" s="84"/>
      <c r="W310" s="84"/>
      <c r="X310" s="84"/>
      <c r="Y310" s="84"/>
      <c r="Z310" s="84"/>
    </row>
    <row r="311" spans="1:26" ht="15.75" customHeight="1" x14ac:dyDescent="0.25">
      <c r="A311" s="85" t="s">
        <v>1028</v>
      </c>
      <c r="B311" s="189" t="s">
        <v>377</v>
      </c>
      <c r="C311" s="9" t="s">
        <v>305</v>
      </c>
      <c r="D311" s="190">
        <v>16</v>
      </c>
      <c r="E311" s="191">
        <v>160</v>
      </c>
      <c r="F311" s="192">
        <v>24.4</v>
      </c>
      <c r="G311" s="191">
        <v>8</v>
      </c>
      <c r="H311" s="189" t="s">
        <v>1029</v>
      </c>
      <c r="I311" s="193" t="s">
        <v>1029</v>
      </c>
      <c r="J311" s="82" t="s">
        <v>305</v>
      </c>
      <c r="K311" s="83" t="s">
        <v>184</v>
      </c>
      <c r="O311" s="84"/>
      <c r="P311" s="84"/>
      <c r="Q311" s="84"/>
      <c r="R311" s="84"/>
      <c r="S311" s="84"/>
      <c r="T311" s="84"/>
      <c r="U311" s="84"/>
      <c r="V311" s="84"/>
      <c r="W311" s="84"/>
      <c r="X311" s="84"/>
      <c r="Y311" s="84"/>
      <c r="Z311" s="84"/>
    </row>
    <row r="312" spans="1:26" ht="15.75" customHeight="1" x14ac:dyDescent="0.25">
      <c r="A312" s="85" t="s">
        <v>1030</v>
      </c>
      <c r="B312" s="189" t="s">
        <v>318</v>
      </c>
      <c r="C312" s="9" t="s">
        <v>305</v>
      </c>
      <c r="D312" s="190" t="s">
        <v>304</v>
      </c>
      <c r="E312" s="191" t="s">
        <v>305</v>
      </c>
      <c r="F312" s="192">
        <v>24.4</v>
      </c>
      <c r="G312" s="191">
        <v>8</v>
      </c>
      <c r="H312" s="189" t="s">
        <v>1031</v>
      </c>
      <c r="I312" s="193" t="s">
        <v>1032</v>
      </c>
      <c r="J312" s="82">
        <v>100</v>
      </c>
      <c r="K312" s="83">
        <v>1</v>
      </c>
      <c r="O312" s="84"/>
      <c r="P312" s="84"/>
      <c r="Q312" s="84"/>
      <c r="R312" s="84"/>
      <c r="S312" s="84"/>
      <c r="T312" s="84"/>
      <c r="U312" s="84"/>
      <c r="V312" s="84"/>
      <c r="W312" s="84"/>
      <c r="X312" s="84"/>
      <c r="Y312" s="84"/>
      <c r="Z312" s="84"/>
    </row>
    <row r="313" spans="1:26" ht="15.75" customHeight="1" x14ac:dyDescent="0.25">
      <c r="A313" s="85" t="s">
        <v>1033</v>
      </c>
      <c r="B313" s="189" t="s">
        <v>367</v>
      </c>
      <c r="C313" s="9" t="s">
        <v>305</v>
      </c>
      <c r="D313" s="190" t="s">
        <v>304</v>
      </c>
      <c r="E313" s="191" t="s">
        <v>305</v>
      </c>
      <c r="F313" s="192">
        <v>24.4</v>
      </c>
      <c r="G313" s="191">
        <v>8</v>
      </c>
      <c r="H313" s="189" t="s">
        <v>1034</v>
      </c>
      <c r="I313" s="193" t="s">
        <v>1035</v>
      </c>
      <c r="J313" s="82" t="s">
        <v>305</v>
      </c>
      <c r="K313" s="83" t="s">
        <v>184</v>
      </c>
      <c r="O313" s="84"/>
      <c r="P313" s="84"/>
      <c r="Q313" s="84"/>
      <c r="R313" s="84"/>
      <c r="S313" s="84"/>
      <c r="T313" s="84"/>
      <c r="U313" s="84"/>
      <c r="V313" s="84"/>
      <c r="W313" s="84"/>
      <c r="X313" s="84"/>
      <c r="Y313" s="84"/>
      <c r="Z313" s="84"/>
    </row>
    <row r="314" spans="1:26" ht="15.75" customHeight="1" x14ac:dyDescent="0.25">
      <c r="A314" s="85" t="s">
        <v>1036</v>
      </c>
      <c r="B314" s="189" t="s">
        <v>403</v>
      </c>
      <c r="C314" s="9" t="s">
        <v>305</v>
      </c>
      <c r="D314" s="190" t="s">
        <v>304</v>
      </c>
      <c r="E314" s="191" t="s">
        <v>305</v>
      </c>
      <c r="F314" s="192">
        <v>24.4</v>
      </c>
      <c r="G314" s="191">
        <v>8</v>
      </c>
      <c r="H314" s="189" t="s">
        <v>1037</v>
      </c>
      <c r="I314" s="193" t="s">
        <v>1037</v>
      </c>
      <c r="J314" s="82" t="s">
        <v>305</v>
      </c>
      <c r="K314" s="83" t="s">
        <v>184</v>
      </c>
      <c r="O314" s="84"/>
      <c r="P314" s="84"/>
      <c r="Q314" s="84"/>
      <c r="R314" s="84"/>
      <c r="S314" s="84"/>
      <c r="T314" s="84"/>
      <c r="U314" s="84"/>
      <c r="V314" s="84"/>
      <c r="W314" s="84"/>
      <c r="X314" s="84"/>
      <c r="Y314" s="84"/>
      <c r="Z314" s="84"/>
    </row>
    <row r="315" spans="1:26" ht="15.75" customHeight="1" x14ac:dyDescent="0.25">
      <c r="A315" s="85" t="s">
        <v>1038</v>
      </c>
      <c r="B315" s="189" t="s">
        <v>377</v>
      </c>
      <c r="C315" s="9" t="s">
        <v>305</v>
      </c>
      <c r="D315" s="190" t="s">
        <v>304</v>
      </c>
      <c r="E315" s="191" t="s">
        <v>305</v>
      </c>
      <c r="F315" s="192">
        <v>24.4</v>
      </c>
      <c r="G315" s="191">
        <v>8</v>
      </c>
      <c r="H315" s="189" t="s">
        <v>1039</v>
      </c>
      <c r="I315" s="193" t="s">
        <v>1039</v>
      </c>
      <c r="J315" s="82" t="s">
        <v>305</v>
      </c>
      <c r="K315" s="83" t="s">
        <v>184</v>
      </c>
      <c r="O315" s="84"/>
      <c r="P315" s="84"/>
      <c r="Q315" s="84"/>
      <c r="R315" s="84"/>
      <c r="S315" s="84"/>
      <c r="T315" s="84"/>
      <c r="U315" s="84"/>
      <c r="V315" s="84"/>
      <c r="W315" s="84"/>
      <c r="X315" s="84"/>
      <c r="Y315" s="84"/>
      <c r="Z315" s="84"/>
    </row>
    <row r="316" spans="1:26" ht="15.75" customHeight="1" x14ac:dyDescent="0.25">
      <c r="A316" s="85" t="s">
        <v>1040</v>
      </c>
      <c r="B316" s="189" t="s">
        <v>335</v>
      </c>
      <c r="C316" s="9" t="s">
        <v>305</v>
      </c>
      <c r="D316" s="190" t="s">
        <v>304</v>
      </c>
      <c r="E316" s="191" t="s">
        <v>305</v>
      </c>
      <c r="F316" s="192">
        <v>24.4</v>
      </c>
      <c r="G316" s="191">
        <v>8</v>
      </c>
      <c r="H316" s="189" t="s">
        <v>1041</v>
      </c>
      <c r="I316" s="193" t="s">
        <v>1042</v>
      </c>
      <c r="J316" s="82" t="s">
        <v>305</v>
      </c>
      <c r="K316" s="83" t="s">
        <v>184</v>
      </c>
      <c r="O316" s="84"/>
      <c r="P316" s="84"/>
      <c r="Q316" s="84"/>
      <c r="R316" s="84"/>
      <c r="S316" s="84"/>
      <c r="T316" s="84"/>
      <c r="U316" s="84"/>
      <c r="V316" s="84"/>
      <c r="W316" s="84"/>
      <c r="X316" s="84"/>
      <c r="Y316" s="84"/>
      <c r="Z316" s="84"/>
    </row>
    <row r="317" spans="1:26" ht="15.75" customHeight="1" x14ac:dyDescent="0.25">
      <c r="A317" s="85" t="s">
        <v>1043</v>
      </c>
      <c r="B317" s="189" t="s">
        <v>419</v>
      </c>
      <c r="C317" s="9" t="s">
        <v>305</v>
      </c>
      <c r="D317" s="190" t="s">
        <v>304</v>
      </c>
      <c r="E317" s="191" t="s">
        <v>305</v>
      </c>
      <c r="F317" s="192">
        <v>24.4</v>
      </c>
      <c r="G317" s="191">
        <v>8</v>
      </c>
      <c r="H317" s="189" t="s">
        <v>1044</v>
      </c>
      <c r="I317" s="193" t="s">
        <v>1045</v>
      </c>
      <c r="J317" s="82" t="s">
        <v>305</v>
      </c>
      <c r="K317" s="83" t="s">
        <v>184</v>
      </c>
      <c r="O317" s="84"/>
      <c r="P317" s="84"/>
      <c r="Q317" s="84"/>
      <c r="R317" s="84"/>
      <c r="S317" s="84"/>
      <c r="T317" s="84"/>
      <c r="U317" s="84"/>
      <c r="V317" s="84"/>
      <c r="W317" s="84"/>
      <c r="X317" s="84"/>
      <c r="Y317" s="84"/>
      <c r="Z317" s="84"/>
    </row>
    <row r="318" spans="1:26" ht="15.75" customHeight="1" x14ac:dyDescent="0.25">
      <c r="A318" s="85" t="s">
        <v>1046</v>
      </c>
      <c r="B318" s="189" t="s">
        <v>515</v>
      </c>
      <c r="C318" s="9" t="s">
        <v>305</v>
      </c>
      <c r="D318" s="190" t="s">
        <v>304</v>
      </c>
      <c r="E318" s="191" t="s">
        <v>305</v>
      </c>
      <c r="F318" s="192">
        <v>24.4</v>
      </c>
      <c r="G318" s="191">
        <v>8</v>
      </c>
      <c r="H318" s="189" t="s">
        <v>1047</v>
      </c>
      <c r="I318" s="193" t="s">
        <v>1048</v>
      </c>
      <c r="J318" s="82">
        <v>100</v>
      </c>
      <c r="K318" s="83">
        <v>1</v>
      </c>
      <c r="O318" s="84"/>
      <c r="P318" s="84"/>
      <c r="Q318" s="84"/>
      <c r="R318" s="84"/>
      <c r="S318" s="84"/>
      <c r="T318" s="84"/>
      <c r="U318" s="84"/>
      <c r="V318" s="84"/>
      <c r="W318" s="84"/>
      <c r="X318" s="84"/>
      <c r="Y318" s="84"/>
      <c r="Z318" s="84"/>
    </row>
    <row r="319" spans="1:26" ht="15.75" customHeight="1" x14ac:dyDescent="0.25">
      <c r="A319" s="85" t="s">
        <v>1049</v>
      </c>
      <c r="B319" s="189" t="s">
        <v>359</v>
      </c>
      <c r="C319" s="9" t="s">
        <v>305</v>
      </c>
      <c r="D319" s="190" t="s">
        <v>304</v>
      </c>
      <c r="E319" s="191" t="s">
        <v>305</v>
      </c>
      <c r="F319" s="192">
        <v>24.4</v>
      </c>
      <c r="G319" s="191">
        <v>8</v>
      </c>
      <c r="H319" s="189" t="s">
        <v>1050</v>
      </c>
      <c r="I319" s="193" t="s">
        <v>1051</v>
      </c>
      <c r="J319" s="82">
        <v>100</v>
      </c>
      <c r="K319" s="83">
        <v>1</v>
      </c>
      <c r="O319" s="84"/>
      <c r="P319" s="84"/>
      <c r="Q319" s="84"/>
      <c r="R319" s="84"/>
      <c r="S319" s="84"/>
      <c r="T319" s="84"/>
      <c r="U319" s="84"/>
      <c r="V319" s="84"/>
      <c r="W319" s="84"/>
      <c r="X319" s="84"/>
      <c r="Y319" s="84"/>
      <c r="Z319" s="84"/>
    </row>
    <row r="320" spans="1:26" ht="15.75" customHeight="1" x14ac:dyDescent="0.25">
      <c r="A320" s="85" t="s">
        <v>1052</v>
      </c>
      <c r="B320" s="189" t="s">
        <v>403</v>
      </c>
      <c r="C320" s="9" t="s">
        <v>305</v>
      </c>
      <c r="D320" s="190" t="s">
        <v>304</v>
      </c>
      <c r="E320" s="191" t="s">
        <v>305</v>
      </c>
      <c r="F320" s="192">
        <v>24.4</v>
      </c>
      <c r="G320" s="191">
        <v>8</v>
      </c>
      <c r="H320" s="189" t="s">
        <v>1053</v>
      </c>
      <c r="I320" s="193" t="s">
        <v>1054</v>
      </c>
      <c r="J320" s="82" t="s">
        <v>305</v>
      </c>
      <c r="K320" s="83" t="s">
        <v>184</v>
      </c>
      <c r="O320" s="84"/>
      <c r="P320" s="84"/>
      <c r="Q320" s="84"/>
      <c r="R320" s="84"/>
      <c r="S320" s="84"/>
      <c r="T320" s="84"/>
      <c r="U320" s="84"/>
      <c r="V320" s="84"/>
      <c r="W320" s="84"/>
      <c r="X320" s="84"/>
      <c r="Y320" s="84"/>
      <c r="Z320" s="84"/>
    </row>
    <row r="321" spans="1:26" ht="15.75" customHeight="1" x14ac:dyDescent="0.25">
      <c r="A321" s="85" t="s">
        <v>1055</v>
      </c>
      <c r="B321" s="189" t="s">
        <v>367</v>
      </c>
      <c r="C321" s="9" t="s">
        <v>305</v>
      </c>
      <c r="D321" s="190" t="s">
        <v>304</v>
      </c>
      <c r="E321" s="191" t="s">
        <v>305</v>
      </c>
      <c r="F321" s="192">
        <v>24.4</v>
      </c>
      <c r="G321" s="191">
        <v>8</v>
      </c>
      <c r="H321" s="189" t="s">
        <v>1056</v>
      </c>
      <c r="I321" s="193" t="s">
        <v>1056</v>
      </c>
      <c r="J321" s="82" t="s">
        <v>305</v>
      </c>
      <c r="K321" s="83" t="s">
        <v>184</v>
      </c>
      <c r="O321" s="84"/>
      <c r="P321" s="84"/>
      <c r="Q321" s="84"/>
      <c r="R321" s="84"/>
      <c r="S321" s="84"/>
      <c r="T321" s="84"/>
      <c r="U321" s="84"/>
      <c r="V321" s="84"/>
      <c r="W321" s="84"/>
      <c r="X321" s="84"/>
      <c r="Y321" s="84"/>
      <c r="Z321" s="84"/>
    </row>
    <row r="322" spans="1:26" ht="15.75" customHeight="1" x14ac:dyDescent="0.25">
      <c r="A322" s="85" t="s">
        <v>1057</v>
      </c>
      <c r="B322" s="189" t="s">
        <v>377</v>
      </c>
      <c r="C322" s="9" t="s">
        <v>305</v>
      </c>
      <c r="D322" s="190" t="s">
        <v>304</v>
      </c>
      <c r="E322" s="191" t="s">
        <v>305</v>
      </c>
      <c r="F322" s="192">
        <v>24.4</v>
      </c>
      <c r="G322" s="191">
        <v>8</v>
      </c>
      <c r="H322" s="189" t="s">
        <v>1058</v>
      </c>
      <c r="I322" s="193" t="s">
        <v>1058</v>
      </c>
      <c r="J322" s="82" t="s">
        <v>305</v>
      </c>
      <c r="K322" s="83" t="s">
        <v>184</v>
      </c>
      <c r="O322" s="84"/>
      <c r="P322" s="84"/>
      <c r="Q322" s="84"/>
      <c r="R322" s="84"/>
      <c r="S322" s="84"/>
      <c r="T322" s="84"/>
      <c r="U322" s="84"/>
      <c r="V322" s="84"/>
      <c r="W322" s="84"/>
      <c r="X322" s="84"/>
      <c r="Y322" s="84"/>
      <c r="Z322" s="84"/>
    </row>
    <row r="323" spans="1:26" ht="15.75" customHeight="1" x14ac:dyDescent="0.25">
      <c r="A323" s="85" t="s">
        <v>1059</v>
      </c>
      <c r="B323" s="189" t="s">
        <v>302</v>
      </c>
      <c r="C323" s="9" t="s">
        <v>305</v>
      </c>
      <c r="D323" s="190" t="s">
        <v>304</v>
      </c>
      <c r="E323" s="191" t="s">
        <v>305</v>
      </c>
      <c r="F323" s="192">
        <v>24.4</v>
      </c>
      <c r="G323" s="191">
        <v>8</v>
      </c>
      <c r="H323" s="189" t="s">
        <v>1060</v>
      </c>
      <c r="I323" s="193" t="s">
        <v>1061</v>
      </c>
      <c r="J323" s="82">
        <v>100</v>
      </c>
      <c r="K323" s="83">
        <v>1</v>
      </c>
      <c r="O323" s="84"/>
      <c r="P323" s="84"/>
      <c r="Q323" s="84"/>
      <c r="R323" s="84"/>
      <c r="S323" s="84"/>
      <c r="T323" s="84"/>
      <c r="U323" s="84"/>
      <c r="V323" s="84"/>
      <c r="W323" s="84"/>
      <c r="X323" s="84"/>
      <c r="Y323" s="84"/>
      <c r="Z323" s="84"/>
    </row>
    <row r="324" spans="1:26" ht="15.75" customHeight="1" x14ac:dyDescent="0.25">
      <c r="A324" s="85" t="s">
        <v>1062</v>
      </c>
      <c r="B324" s="189" t="s">
        <v>309</v>
      </c>
      <c r="C324" s="9" t="s">
        <v>305</v>
      </c>
      <c r="D324" s="190" t="s">
        <v>304</v>
      </c>
      <c r="E324" s="191" t="s">
        <v>305</v>
      </c>
      <c r="F324" s="192">
        <v>24.4</v>
      </c>
      <c r="G324" s="191">
        <v>8</v>
      </c>
      <c r="H324" s="189" t="s">
        <v>1063</v>
      </c>
      <c r="I324" s="193" t="s">
        <v>1064</v>
      </c>
      <c r="J324" s="82" t="s">
        <v>305</v>
      </c>
      <c r="K324" s="83" t="s">
        <v>184</v>
      </c>
      <c r="O324" s="84"/>
      <c r="P324" s="84"/>
      <c r="Q324" s="84"/>
      <c r="R324" s="84"/>
      <c r="S324" s="84"/>
      <c r="T324" s="84"/>
      <c r="U324" s="84"/>
      <c r="V324" s="84"/>
      <c r="W324" s="84"/>
      <c r="X324" s="84"/>
      <c r="Y324" s="84"/>
      <c r="Z324" s="84"/>
    </row>
    <row r="325" spans="1:26" ht="15.75" customHeight="1" x14ac:dyDescent="0.25">
      <c r="A325" s="85" t="s">
        <v>1065</v>
      </c>
      <c r="B325" s="189" t="s">
        <v>309</v>
      </c>
      <c r="C325" s="9" t="s">
        <v>305</v>
      </c>
      <c r="D325" s="190" t="s">
        <v>304</v>
      </c>
      <c r="E325" s="191" t="s">
        <v>305</v>
      </c>
      <c r="F325" s="192">
        <v>24.4</v>
      </c>
      <c r="G325" s="191">
        <v>8</v>
      </c>
      <c r="H325" s="189" t="s">
        <v>1066</v>
      </c>
      <c r="I325" s="193" t="s">
        <v>1067</v>
      </c>
      <c r="J325" s="82">
        <v>100</v>
      </c>
      <c r="K325" s="83">
        <v>1</v>
      </c>
      <c r="O325" s="84"/>
      <c r="P325" s="84"/>
      <c r="Q325" s="84"/>
      <c r="R325" s="84"/>
      <c r="S325" s="84"/>
      <c r="T325" s="84"/>
      <c r="U325" s="84"/>
      <c r="V325" s="84"/>
      <c r="W325" s="84"/>
      <c r="X325" s="84"/>
      <c r="Y325" s="84"/>
      <c r="Z325" s="84"/>
    </row>
    <row r="326" spans="1:26" ht="15.75" customHeight="1" x14ac:dyDescent="0.25">
      <c r="A326" s="85" t="s">
        <v>1068</v>
      </c>
      <c r="B326" s="189" t="s">
        <v>407</v>
      </c>
      <c r="C326" s="9" t="s">
        <v>305</v>
      </c>
      <c r="D326" s="190" t="s">
        <v>304</v>
      </c>
      <c r="E326" s="191" t="s">
        <v>305</v>
      </c>
      <c r="F326" s="192">
        <v>24.4</v>
      </c>
      <c r="G326" s="191">
        <v>8</v>
      </c>
      <c r="H326" s="189" t="s">
        <v>1069</v>
      </c>
      <c r="I326" s="193" t="s">
        <v>1070</v>
      </c>
      <c r="J326" s="82" t="s">
        <v>305</v>
      </c>
      <c r="K326" s="83" t="s">
        <v>184</v>
      </c>
      <c r="O326" s="84"/>
      <c r="P326" s="84"/>
      <c r="Q326" s="84"/>
      <c r="R326" s="84"/>
      <c r="S326" s="84"/>
      <c r="T326" s="84"/>
      <c r="U326" s="84"/>
      <c r="V326" s="84"/>
      <c r="W326" s="84"/>
      <c r="X326" s="84"/>
      <c r="Y326" s="84"/>
      <c r="Z326" s="84"/>
    </row>
    <row r="327" spans="1:26" ht="15.75" customHeight="1" x14ac:dyDescent="0.25">
      <c r="A327" s="85" t="s">
        <v>1071</v>
      </c>
      <c r="B327" s="189" t="s">
        <v>309</v>
      </c>
      <c r="C327" s="9" t="s">
        <v>305</v>
      </c>
      <c r="D327" s="190" t="s">
        <v>304</v>
      </c>
      <c r="E327" s="191" t="s">
        <v>305</v>
      </c>
      <c r="F327" s="192">
        <v>24.4</v>
      </c>
      <c r="G327" s="191">
        <v>8</v>
      </c>
      <c r="H327" s="189" t="s">
        <v>1072</v>
      </c>
      <c r="I327" s="193" t="s">
        <v>1072</v>
      </c>
      <c r="J327" s="82" t="s">
        <v>305</v>
      </c>
      <c r="K327" s="83" t="s">
        <v>184</v>
      </c>
      <c r="O327" s="84"/>
      <c r="P327" s="84"/>
      <c r="Q327" s="84"/>
      <c r="R327" s="84"/>
      <c r="S327" s="84"/>
      <c r="T327" s="84"/>
      <c r="U327" s="84"/>
      <c r="V327" s="84"/>
      <c r="W327" s="84"/>
      <c r="X327" s="84"/>
      <c r="Y327" s="84"/>
      <c r="Z327" s="84"/>
    </row>
    <row r="328" spans="1:26" ht="15.75" customHeight="1" x14ac:dyDescent="0.25">
      <c r="A328" s="85" t="s">
        <v>1073</v>
      </c>
      <c r="B328" s="189" t="s">
        <v>313</v>
      </c>
      <c r="C328" s="9" t="s">
        <v>305</v>
      </c>
      <c r="D328" s="190" t="s">
        <v>304</v>
      </c>
      <c r="E328" s="191" t="s">
        <v>305</v>
      </c>
      <c r="F328" s="192">
        <v>24.4</v>
      </c>
      <c r="G328" s="191">
        <v>8</v>
      </c>
      <c r="H328" s="189" t="s">
        <v>1074</v>
      </c>
      <c r="I328" s="193" t="s">
        <v>1075</v>
      </c>
      <c r="J328" s="82">
        <v>100</v>
      </c>
      <c r="K328" s="83">
        <v>1</v>
      </c>
      <c r="O328" s="84"/>
      <c r="P328" s="84"/>
      <c r="Q328" s="84"/>
      <c r="R328" s="84"/>
      <c r="S328" s="84"/>
      <c r="T328" s="84"/>
      <c r="U328" s="84"/>
      <c r="V328" s="84"/>
      <c r="W328" s="84"/>
      <c r="X328" s="84"/>
      <c r="Y328" s="84"/>
      <c r="Z328" s="84"/>
    </row>
    <row r="329" spans="1:26" ht="15.75" customHeight="1" x14ac:dyDescent="0.25">
      <c r="A329" s="85" t="s">
        <v>1076</v>
      </c>
      <c r="B329" s="189" t="s">
        <v>302</v>
      </c>
      <c r="C329" s="9" t="s">
        <v>305</v>
      </c>
      <c r="D329" s="190" t="s">
        <v>304</v>
      </c>
      <c r="E329" s="191" t="s">
        <v>305</v>
      </c>
      <c r="F329" s="192">
        <v>24.4</v>
      </c>
      <c r="G329" s="191">
        <v>8</v>
      </c>
      <c r="H329" s="189" t="s">
        <v>1077</v>
      </c>
      <c r="I329" s="193" t="s">
        <v>1078</v>
      </c>
      <c r="J329" s="82">
        <v>100</v>
      </c>
      <c r="K329" s="83">
        <v>1</v>
      </c>
      <c r="O329" s="84"/>
      <c r="P329" s="84"/>
      <c r="Q329" s="84"/>
      <c r="R329" s="84"/>
      <c r="S329" s="84"/>
      <c r="T329" s="84"/>
      <c r="U329" s="84"/>
      <c r="V329" s="84"/>
      <c r="W329" s="84"/>
      <c r="X329" s="84"/>
      <c r="Y329" s="84"/>
      <c r="Z329" s="84"/>
    </row>
    <row r="330" spans="1:26" ht="15.75" customHeight="1" x14ac:dyDescent="0.25">
      <c r="A330" s="85" t="s">
        <v>1079</v>
      </c>
      <c r="B330" s="189" t="s">
        <v>390</v>
      </c>
      <c r="C330" s="9" t="s">
        <v>305</v>
      </c>
      <c r="D330" s="190" t="s">
        <v>304</v>
      </c>
      <c r="E330" s="191" t="s">
        <v>305</v>
      </c>
      <c r="F330" s="192">
        <v>24.4</v>
      </c>
      <c r="G330" s="191">
        <v>8</v>
      </c>
      <c r="H330" s="189" t="s">
        <v>1080</v>
      </c>
      <c r="I330" s="193" t="s">
        <v>1081</v>
      </c>
      <c r="J330" s="82">
        <v>100</v>
      </c>
      <c r="K330" s="83">
        <v>1</v>
      </c>
      <c r="O330" s="84"/>
      <c r="P330" s="84"/>
      <c r="Q330" s="84"/>
      <c r="R330" s="84"/>
      <c r="S330" s="84"/>
      <c r="T330" s="84"/>
      <c r="U330" s="84"/>
      <c r="V330" s="84"/>
      <c r="W330" s="84"/>
      <c r="X330" s="84"/>
      <c r="Y330" s="84"/>
      <c r="Z330" s="84"/>
    </row>
    <row r="331" spans="1:26" ht="15.75" customHeight="1" x14ac:dyDescent="0.25">
      <c r="A331" s="85" t="s">
        <v>1082</v>
      </c>
      <c r="B331" s="189" t="s">
        <v>331</v>
      </c>
      <c r="C331" s="9" t="s">
        <v>305</v>
      </c>
      <c r="D331" s="190" t="s">
        <v>304</v>
      </c>
      <c r="E331" s="191" t="s">
        <v>305</v>
      </c>
      <c r="F331" s="192">
        <v>24.4</v>
      </c>
      <c r="G331" s="191">
        <v>8</v>
      </c>
      <c r="H331" s="189" t="s">
        <v>1083</v>
      </c>
      <c r="I331" s="193" t="s">
        <v>1083</v>
      </c>
      <c r="J331" s="82" t="s">
        <v>305</v>
      </c>
      <c r="K331" s="83" t="s">
        <v>184</v>
      </c>
      <c r="O331" s="84"/>
      <c r="P331" s="84"/>
      <c r="Q331" s="84"/>
      <c r="R331" s="84"/>
      <c r="S331" s="84"/>
      <c r="T331" s="84"/>
      <c r="U331" s="84"/>
      <c r="V331" s="84"/>
      <c r="W331" s="84"/>
      <c r="X331" s="84"/>
      <c r="Y331" s="84"/>
      <c r="Z331" s="84"/>
    </row>
    <row r="332" spans="1:26" ht="15.75" customHeight="1" x14ac:dyDescent="0.25">
      <c r="A332" s="85" t="s">
        <v>1084</v>
      </c>
      <c r="B332" s="189" t="s">
        <v>318</v>
      </c>
      <c r="C332" s="9" t="s">
        <v>322</v>
      </c>
      <c r="D332" s="190" t="s">
        <v>304</v>
      </c>
      <c r="E332" s="191" t="s">
        <v>305</v>
      </c>
      <c r="F332" s="192">
        <v>6</v>
      </c>
      <c r="G332" s="191">
        <v>100</v>
      </c>
      <c r="H332" s="189" t="s">
        <v>1085</v>
      </c>
      <c r="I332" s="193" t="s">
        <v>1085</v>
      </c>
      <c r="J332" s="82" t="s">
        <v>305</v>
      </c>
      <c r="K332" s="83" t="s">
        <v>184</v>
      </c>
      <c r="O332" s="84"/>
      <c r="P332" s="84"/>
      <c r="Q332" s="84"/>
      <c r="R332" s="84"/>
      <c r="S332" s="84"/>
      <c r="T332" s="84"/>
      <c r="U332" s="84"/>
      <c r="V332" s="84"/>
      <c r="W332" s="84"/>
      <c r="X332" s="84"/>
      <c r="Y332" s="84"/>
      <c r="Z332" s="84"/>
    </row>
    <row r="333" spans="1:26" ht="15.75" customHeight="1" x14ac:dyDescent="0.25">
      <c r="A333" s="85" t="s">
        <v>1086</v>
      </c>
      <c r="B333" s="189" t="s">
        <v>367</v>
      </c>
      <c r="C333" s="9" t="s">
        <v>314</v>
      </c>
      <c r="D333" s="190">
        <v>5</v>
      </c>
      <c r="E333" s="191">
        <v>50</v>
      </c>
      <c r="F333" s="192">
        <v>9</v>
      </c>
      <c r="G333" s="191">
        <v>85</v>
      </c>
      <c r="H333" s="189" t="s">
        <v>518</v>
      </c>
      <c r="I333" s="193" t="s">
        <v>518</v>
      </c>
      <c r="J333" s="82" t="s">
        <v>305</v>
      </c>
      <c r="K333" s="83" t="s">
        <v>184</v>
      </c>
      <c r="O333" s="84"/>
      <c r="P333" s="84"/>
      <c r="Q333" s="84"/>
      <c r="R333" s="84"/>
      <c r="S333" s="84"/>
      <c r="T333" s="84"/>
      <c r="U333" s="84"/>
      <c r="V333" s="84"/>
      <c r="W333" s="84"/>
      <c r="X333" s="84"/>
      <c r="Y333" s="84"/>
      <c r="Z333" s="84"/>
    </row>
    <row r="334" spans="1:26" ht="15.75" customHeight="1" x14ac:dyDescent="0.25">
      <c r="A334" s="85" t="s">
        <v>1087</v>
      </c>
      <c r="B334" s="189" t="s">
        <v>367</v>
      </c>
      <c r="C334" s="9" t="s">
        <v>322</v>
      </c>
      <c r="D334" s="190" t="s">
        <v>304</v>
      </c>
      <c r="E334" s="191" t="s">
        <v>305</v>
      </c>
      <c r="F334" s="192" t="s">
        <v>304</v>
      </c>
      <c r="G334" s="191" t="s">
        <v>305</v>
      </c>
      <c r="H334" s="189" t="s">
        <v>1088</v>
      </c>
      <c r="I334" s="193" t="s">
        <v>1089</v>
      </c>
      <c r="J334" s="82" t="s">
        <v>305</v>
      </c>
      <c r="K334" s="83" t="s">
        <v>184</v>
      </c>
      <c r="O334" s="84"/>
      <c r="P334" s="84"/>
      <c r="Q334" s="84"/>
      <c r="R334" s="84"/>
      <c r="S334" s="84"/>
      <c r="T334" s="84"/>
      <c r="U334" s="84"/>
      <c r="V334" s="84"/>
      <c r="W334" s="84"/>
      <c r="X334" s="84"/>
      <c r="Y334" s="84"/>
      <c r="Z334" s="84"/>
    </row>
    <row r="335" spans="1:26" ht="15.75" customHeight="1" x14ac:dyDescent="0.25">
      <c r="A335" s="85" t="s">
        <v>1090</v>
      </c>
      <c r="B335" s="189" t="s">
        <v>348</v>
      </c>
      <c r="C335" s="9" t="s">
        <v>303</v>
      </c>
      <c r="D335" s="190">
        <v>19</v>
      </c>
      <c r="E335" s="191">
        <v>185</v>
      </c>
      <c r="F335" s="192" t="s">
        <v>304</v>
      </c>
      <c r="G335" s="191" t="s">
        <v>305</v>
      </c>
      <c r="H335" s="189" t="s">
        <v>1091</v>
      </c>
      <c r="I335" s="193" t="s">
        <v>1091</v>
      </c>
      <c r="J335" s="82" t="s">
        <v>305</v>
      </c>
      <c r="K335" s="83" t="s">
        <v>184</v>
      </c>
      <c r="O335" s="84"/>
      <c r="P335" s="84"/>
      <c r="Q335" s="84"/>
      <c r="R335" s="84"/>
      <c r="S335" s="84"/>
      <c r="T335" s="84"/>
      <c r="U335" s="84"/>
      <c r="V335" s="84"/>
      <c r="W335" s="84"/>
      <c r="X335" s="84"/>
      <c r="Y335" s="84"/>
      <c r="Z335" s="84"/>
    </row>
    <row r="336" spans="1:26" ht="15.75" customHeight="1" x14ac:dyDescent="0.25">
      <c r="A336" s="85" t="s">
        <v>1092</v>
      </c>
      <c r="B336" s="189" t="s">
        <v>359</v>
      </c>
      <c r="C336" s="9" t="s">
        <v>322</v>
      </c>
      <c r="D336" s="190" t="s">
        <v>304</v>
      </c>
      <c r="E336" s="191" t="s">
        <v>305</v>
      </c>
      <c r="F336" s="192" t="s">
        <v>304</v>
      </c>
      <c r="G336" s="191" t="s">
        <v>305</v>
      </c>
      <c r="H336" s="189" t="s">
        <v>1093</v>
      </c>
      <c r="I336" s="193" t="s">
        <v>1094</v>
      </c>
      <c r="J336" s="82" t="s">
        <v>305</v>
      </c>
      <c r="K336" s="83" t="s">
        <v>184</v>
      </c>
      <c r="O336" s="84"/>
      <c r="P336" s="84"/>
      <c r="Q336" s="84"/>
      <c r="R336" s="84"/>
      <c r="S336" s="84"/>
      <c r="T336" s="84"/>
      <c r="U336" s="84"/>
      <c r="V336" s="84"/>
      <c r="W336" s="84"/>
      <c r="X336" s="84"/>
      <c r="Y336" s="84"/>
      <c r="Z336" s="84"/>
    </row>
    <row r="337" spans="1:26" ht="15.75" customHeight="1" x14ac:dyDescent="0.25">
      <c r="A337" s="85" t="s">
        <v>1095</v>
      </c>
      <c r="B337" s="189" t="s">
        <v>309</v>
      </c>
      <c r="C337" s="9" t="s">
        <v>303</v>
      </c>
      <c r="D337" s="190">
        <v>8</v>
      </c>
      <c r="E337" s="191">
        <v>75</v>
      </c>
      <c r="F337" s="192">
        <v>6</v>
      </c>
      <c r="G337" s="191">
        <v>100</v>
      </c>
      <c r="H337" s="189" t="s">
        <v>310</v>
      </c>
      <c r="I337" s="193" t="s">
        <v>311</v>
      </c>
      <c r="J337" s="82" t="s">
        <v>305</v>
      </c>
      <c r="K337" s="83" t="s">
        <v>184</v>
      </c>
      <c r="O337" s="84"/>
      <c r="P337" s="84"/>
      <c r="Q337" s="84"/>
      <c r="R337" s="84"/>
      <c r="S337" s="84"/>
      <c r="T337" s="84"/>
      <c r="U337" s="84"/>
      <c r="V337" s="84"/>
      <c r="W337" s="84"/>
      <c r="X337" s="84"/>
      <c r="Y337" s="84"/>
      <c r="Z337" s="84"/>
    </row>
    <row r="338" spans="1:26" ht="15.75" customHeight="1" x14ac:dyDescent="0.25">
      <c r="A338" s="85" t="s">
        <v>1096</v>
      </c>
      <c r="B338" s="189" t="s">
        <v>335</v>
      </c>
      <c r="C338" s="9" t="s">
        <v>314</v>
      </c>
      <c r="D338" s="190">
        <v>15</v>
      </c>
      <c r="E338" s="191">
        <v>150</v>
      </c>
      <c r="F338" s="192">
        <v>8</v>
      </c>
      <c r="G338" s="191">
        <v>90</v>
      </c>
      <c r="H338" s="189" t="s">
        <v>482</v>
      </c>
      <c r="I338" s="193" t="s">
        <v>483</v>
      </c>
      <c r="J338" s="82" t="s">
        <v>305</v>
      </c>
      <c r="K338" s="83" t="s">
        <v>184</v>
      </c>
      <c r="O338" s="84"/>
      <c r="P338" s="84"/>
      <c r="Q338" s="84"/>
      <c r="R338" s="84"/>
      <c r="S338" s="84"/>
      <c r="T338" s="84"/>
      <c r="U338" s="84"/>
      <c r="V338" s="84"/>
      <c r="W338" s="84"/>
      <c r="X338" s="84"/>
      <c r="Y338" s="84"/>
      <c r="Z338" s="84"/>
    </row>
    <row r="339" spans="1:26" ht="15.75" customHeight="1" x14ac:dyDescent="0.25">
      <c r="A339" s="85" t="s">
        <v>1097</v>
      </c>
      <c r="B339" s="189" t="s">
        <v>367</v>
      </c>
      <c r="C339" s="9" t="s">
        <v>314</v>
      </c>
      <c r="D339" s="190">
        <v>16</v>
      </c>
      <c r="E339" s="191">
        <v>160</v>
      </c>
      <c r="F339" s="192">
        <v>6</v>
      </c>
      <c r="G339" s="191">
        <v>100</v>
      </c>
      <c r="H339" s="189" t="s">
        <v>498</v>
      </c>
      <c r="I339" s="193" t="s">
        <v>498</v>
      </c>
      <c r="J339" s="82" t="s">
        <v>305</v>
      </c>
      <c r="K339" s="83" t="s">
        <v>184</v>
      </c>
      <c r="O339" s="84"/>
      <c r="P339" s="84"/>
      <c r="Q339" s="84"/>
      <c r="R339" s="84"/>
      <c r="S339" s="84"/>
      <c r="T339" s="84"/>
      <c r="U339" s="84"/>
      <c r="V339" s="84"/>
      <c r="W339" s="84"/>
      <c r="X339" s="84"/>
      <c r="Y339" s="84"/>
      <c r="Z339" s="84"/>
    </row>
    <row r="340" spans="1:26" ht="15.75" customHeight="1" x14ac:dyDescent="0.25">
      <c r="A340" s="85" t="s">
        <v>1098</v>
      </c>
      <c r="B340" s="189" t="s">
        <v>302</v>
      </c>
      <c r="C340" s="9" t="s">
        <v>305</v>
      </c>
      <c r="D340" s="190" t="s">
        <v>304</v>
      </c>
      <c r="E340" s="191" t="s">
        <v>305</v>
      </c>
      <c r="F340" s="192" t="s">
        <v>304</v>
      </c>
      <c r="G340" s="191" t="s">
        <v>305</v>
      </c>
      <c r="H340" s="189" t="s">
        <v>1099</v>
      </c>
      <c r="I340" s="193" t="s">
        <v>1099</v>
      </c>
      <c r="J340" s="82" t="s">
        <v>305</v>
      </c>
      <c r="K340" s="83" t="s">
        <v>184</v>
      </c>
      <c r="O340" s="84"/>
      <c r="P340" s="84"/>
      <c r="Q340" s="84"/>
      <c r="R340" s="84"/>
      <c r="S340" s="84"/>
      <c r="T340" s="84"/>
      <c r="U340" s="84"/>
      <c r="V340" s="84"/>
      <c r="W340" s="84"/>
      <c r="X340" s="84"/>
      <c r="Y340" s="84"/>
      <c r="Z340" s="84"/>
    </row>
    <row r="341" spans="1:26" ht="15.75" customHeight="1" x14ac:dyDescent="0.25">
      <c r="A341" s="85" t="s">
        <v>1100</v>
      </c>
      <c r="B341" s="189" t="s">
        <v>419</v>
      </c>
      <c r="C341" s="9" t="s">
        <v>314</v>
      </c>
      <c r="D341" s="190">
        <v>12</v>
      </c>
      <c r="E341" s="191">
        <v>120</v>
      </c>
      <c r="F341" s="192">
        <v>6</v>
      </c>
      <c r="G341" s="191">
        <v>100</v>
      </c>
      <c r="H341" s="189" t="s">
        <v>1101</v>
      </c>
      <c r="I341" s="193" t="s">
        <v>1101</v>
      </c>
      <c r="J341" s="82" t="s">
        <v>305</v>
      </c>
      <c r="K341" s="83" t="s">
        <v>184</v>
      </c>
      <c r="O341" s="84"/>
      <c r="P341" s="84"/>
      <c r="Q341" s="84"/>
      <c r="R341" s="84"/>
      <c r="S341" s="84"/>
      <c r="T341" s="84"/>
      <c r="U341" s="84"/>
      <c r="V341" s="84"/>
      <c r="W341" s="84"/>
      <c r="X341" s="84"/>
      <c r="Y341" s="84"/>
      <c r="Z341" s="84"/>
    </row>
    <row r="342" spans="1:26" ht="15.75" customHeight="1" x14ac:dyDescent="0.25">
      <c r="A342" s="85" t="s">
        <v>1102</v>
      </c>
      <c r="B342" s="189" t="s">
        <v>419</v>
      </c>
      <c r="C342" s="9" t="s">
        <v>303</v>
      </c>
      <c r="D342" s="190">
        <v>7</v>
      </c>
      <c r="E342" s="191">
        <v>65</v>
      </c>
      <c r="F342" s="192">
        <v>7</v>
      </c>
      <c r="G342" s="191">
        <v>95</v>
      </c>
      <c r="H342" s="189" t="s">
        <v>556</v>
      </c>
      <c r="I342" s="193" t="s">
        <v>557</v>
      </c>
      <c r="J342" s="82">
        <v>100</v>
      </c>
      <c r="K342" s="83">
        <v>1</v>
      </c>
      <c r="O342" s="84"/>
      <c r="P342" s="84"/>
      <c r="Q342" s="84"/>
      <c r="R342" s="84"/>
      <c r="S342" s="84"/>
      <c r="T342" s="84"/>
      <c r="U342" s="84"/>
      <c r="V342" s="84"/>
      <c r="W342" s="84"/>
      <c r="X342" s="84"/>
      <c r="Y342" s="84"/>
      <c r="Z342" s="84"/>
    </row>
    <row r="343" spans="1:26" ht="15.75" customHeight="1" x14ac:dyDescent="0.25">
      <c r="A343" s="85" t="s">
        <v>1103</v>
      </c>
      <c r="B343" s="189" t="s">
        <v>530</v>
      </c>
      <c r="C343" s="9" t="s">
        <v>314</v>
      </c>
      <c r="D343" s="190">
        <v>12</v>
      </c>
      <c r="E343" s="191">
        <v>120</v>
      </c>
      <c r="F343" s="192">
        <v>6</v>
      </c>
      <c r="G343" s="191">
        <v>100</v>
      </c>
      <c r="H343" s="189" t="s">
        <v>1104</v>
      </c>
      <c r="I343" s="193" t="s">
        <v>1105</v>
      </c>
      <c r="J343" s="82" t="s">
        <v>305</v>
      </c>
      <c r="K343" s="83" t="s">
        <v>184</v>
      </c>
      <c r="O343" s="84"/>
      <c r="P343" s="84"/>
      <c r="Q343" s="84"/>
      <c r="R343" s="84"/>
      <c r="S343" s="84"/>
      <c r="T343" s="84"/>
      <c r="U343" s="84"/>
      <c r="V343" s="84"/>
      <c r="W343" s="84"/>
      <c r="X343" s="84"/>
      <c r="Y343" s="84"/>
      <c r="Z343" s="84"/>
    </row>
    <row r="344" spans="1:26" ht="15.75" customHeight="1" x14ac:dyDescent="0.25">
      <c r="A344" s="85" t="s">
        <v>1106</v>
      </c>
      <c r="B344" s="189" t="s">
        <v>335</v>
      </c>
      <c r="C344" s="9" t="s">
        <v>322</v>
      </c>
      <c r="D344" s="190" t="s">
        <v>304</v>
      </c>
      <c r="E344" s="191" t="s">
        <v>305</v>
      </c>
      <c r="F344" s="192">
        <v>6</v>
      </c>
      <c r="G344" s="191">
        <v>100</v>
      </c>
      <c r="H344" s="189" t="s">
        <v>1107</v>
      </c>
      <c r="I344" s="193" t="s">
        <v>1108</v>
      </c>
      <c r="J344" s="82" t="s">
        <v>305</v>
      </c>
      <c r="K344" s="83" t="s">
        <v>184</v>
      </c>
      <c r="O344" s="84"/>
      <c r="P344" s="84"/>
      <c r="Q344" s="84"/>
      <c r="R344" s="84"/>
      <c r="S344" s="84"/>
      <c r="T344" s="84"/>
      <c r="U344" s="84"/>
      <c r="V344" s="84"/>
      <c r="W344" s="84"/>
      <c r="X344" s="84"/>
      <c r="Y344" s="84"/>
      <c r="Z344" s="84"/>
    </row>
    <row r="345" spans="1:26" ht="15.75" customHeight="1" x14ac:dyDescent="0.25">
      <c r="A345" s="85" t="s">
        <v>1109</v>
      </c>
      <c r="B345" s="189" t="s">
        <v>348</v>
      </c>
      <c r="C345" s="9" t="s">
        <v>303</v>
      </c>
      <c r="D345" s="190">
        <v>9</v>
      </c>
      <c r="E345" s="191">
        <v>90</v>
      </c>
      <c r="F345" s="192">
        <v>6</v>
      </c>
      <c r="G345" s="191">
        <v>100</v>
      </c>
      <c r="H345" s="189" t="s">
        <v>1110</v>
      </c>
      <c r="I345" s="193" t="s">
        <v>1111</v>
      </c>
      <c r="J345" s="82" t="s">
        <v>305</v>
      </c>
      <c r="K345" s="83" t="s">
        <v>184</v>
      </c>
      <c r="O345" s="84"/>
      <c r="P345" s="84"/>
      <c r="Q345" s="84"/>
      <c r="R345" s="84"/>
      <c r="S345" s="84"/>
      <c r="T345" s="84"/>
      <c r="U345" s="84"/>
      <c r="V345" s="84"/>
      <c r="W345" s="84"/>
      <c r="X345" s="84"/>
      <c r="Y345" s="84"/>
      <c r="Z345" s="84"/>
    </row>
    <row r="346" spans="1:26" ht="15.75" customHeight="1" x14ac:dyDescent="0.25">
      <c r="A346" s="85" t="s">
        <v>1112</v>
      </c>
      <c r="B346" s="189" t="s">
        <v>309</v>
      </c>
      <c r="C346" s="9" t="s">
        <v>303</v>
      </c>
      <c r="D346" s="190" t="s">
        <v>304</v>
      </c>
      <c r="E346" s="191" t="s">
        <v>305</v>
      </c>
      <c r="F346" s="192">
        <v>6</v>
      </c>
      <c r="G346" s="191">
        <v>100</v>
      </c>
      <c r="H346" s="189" t="s">
        <v>1113</v>
      </c>
      <c r="I346" s="193" t="s">
        <v>1113</v>
      </c>
      <c r="J346" s="82" t="s">
        <v>305</v>
      </c>
      <c r="K346" s="83" t="s">
        <v>184</v>
      </c>
      <c r="O346" s="84"/>
      <c r="P346" s="84"/>
      <c r="Q346" s="84"/>
      <c r="R346" s="84"/>
      <c r="S346" s="84"/>
      <c r="T346" s="84"/>
      <c r="U346" s="84"/>
      <c r="V346" s="84"/>
      <c r="W346" s="84"/>
      <c r="X346" s="84"/>
      <c r="Y346" s="84"/>
      <c r="Z346" s="84"/>
    </row>
    <row r="347" spans="1:26" ht="15.75" customHeight="1" x14ac:dyDescent="0.25">
      <c r="A347" s="85" t="s">
        <v>1114</v>
      </c>
      <c r="B347" s="189" t="s">
        <v>309</v>
      </c>
      <c r="C347" s="9" t="s">
        <v>303</v>
      </c>
      <c r="D347" s="190">
        <v>8</v>
      </c>
      <c r="E347" s="191">
        <v>80</v>
      </c>
      <c r="F347" s="192">
        <v>6</v>
      </c>
      <c r="G347" s="191">
        <v>100</v>
      </c>
      <c r="H347" s="189" t="s">
        <v>1115</v>
      </c>
      <c r="I347" s="193" t="s">
        <v>1115</v>
      </c>
      <c r="J347" s="82" t="s">
        <v>305</v>
      </c>
      <c r="K347" s="83" t="s">
        <v>184</v>
      </c>
      <c r="O347" s="84"/>
      <c r="P347" s="84"/>
      <c r="Q347" s="84"/>
      <c r="R347" s="84"/>
      <c r="S347" s="84"/>
      <c r="T347" s="84"/>
      <c r="U347" s="84"/>
      <c r="V347" s="84"/>
      <c r="W347" s="84"/>
      <c r="X347" s="84"/>
      <c r="Y347" s="84"/>
      <c r="Z347" s="84"/>
    </row>
    <row r="348" spans="1:26" ht="15.75" customHeight="1" x14ac:dyDescent="0.25">
      <c r="A348" s="85" t="s">
        <v>1116</v>
      </c>
      <c r="B348" s="189" t="s">
        <v>309</v>
      </c>
      <c r="C348" s="9" t="s">
        <v>322</v>
      </c>
      <c r="D348" s="190" t="s">
        <v>304</v>
      </c>
      <c r="E348" s="191" t="s">
        <v>305</v>
      </c>
      <c r="F348" s="192">
        <v>15</v>
      </c>
      <c r="G348" s="191">
        <v>55</v>
      </c>
      <c r="H348" s="189" t="s">
        <v>1117</v>
      </c>
      <c r="I348" s="193" t="s">
        <v>1118</v>
      </c>
      <c r="J348" s="82" t="s">
        <v>305</v>
      </c>
      <c r="K348" s="83" t="s">
        <v>184</v>
      </c>
      <c r="O348" s="84"/>
      <c r="P348" s="84"/>
      <c r="Q348" s="84"/>
      <c r="R348" s="84"/>
      <c r="S348" s="84"/>
      <c r="T348" s="84"/>
      <c r="U348" s="84"/>
      <c r="V348" s="84"/>
      <c r="W348" s="84"/>
      <c r="X348" s="84"/>
      <c r="Y348" s="84"/>
      <c r="Z348" s="84"/>
    </row>
    <row r="349" spans="1:26" ht="15.75" customHeight="1" x14ac:dyDescent="0.25">
      <c r="A349" s="85" t="s">
        <v>1119</v>
      </c>
      <c r="B349" s="189" t="s">
        <v>309</v>
      </c>
      <c r="C349" s="9" t="s">
        <v>314</v>
      </c>
      <c r="D349" s="190">
        <v>6</v>
      </c>
      <c r="E349" s="191">
        <v>60</v>
      </c>
      <c r="F349" s="192">
        <v>6</v>
      </c>
      <c r="G349" s="191">
        <v>100</v>
      </c>
      <c r="H349" s="189" t="s">
        <v>1120</v>
      </c>
      <c r="I349" s="193" t="s">
        <v>1120</v>
      </c>
      <c r="J349" s="82" t="s">
        <v>305</v>
      </c>
      <c r="K349" s="83" t="s">
        <v>184</v>
      </c>
      <c r="O349" s="84"/>
      <c r="P349" s="84"/>
      <c r="Q349" s="84"/>
      <c r="R349" s="84"/>
      <c r="S349" s="84"/>
      <c r="T349" s="84"/>
      <c r="U349" s="84"/>
      <c r="V349" s="84"/>
      <c r="W349" s="84"/>
      <c r="X349" s="84"/>
      <c r="Y349" s="84"/>
      <c r="Z349" s="84"/>
    </row>
    <row r="350" spans="1:26" ht="15.75" customHeight="1" x14ac:dyDescent="0.25">
      <c r="A350" s="85" t="s">
        <v>1121</v>
      </c>
      <c r="B350" s="189" t="s">
        <v>309</v>
      </c>
      <c r="C350" s="9" t="s">
        <v>322</v>
      </c>
      <c r="D350" s="190" t="s">
        <v>304</v>
      </c>
      <c r="E350" s="191" t="s">
        <v>305</v>
      </c>
      <c r="F350" s="192" t="s">
        <v>304</v>
      </c>
      <c r="G350" s="191" t="s">
        <v>305</v>
      </c>
      <c r="H350" s="189" t="s">
        <v>1122</v>
      </c>
      <c r="I350" s="193" t="s">
        <v>1123</v>
      </c>
      <c r="J350" s="82" t="s">
        <v>305</v>
      </c>
      <c r="K350" s="83" t="s">
        <v>184</v>
      </c>
      <c r="O350" s="84"/>
      <c r="P350" s="84"/>
      <c r="Q350" s="84"/>
      <c r="R350" s="84"/>
      <c r="S350" s="84"/>
      <c r="T350" s="84"/>
      <c r="U350" s="84"/>
      <c r="V350" s="84"/>
      <c r="W350" s="84"/>
      <c r="X350" s="84"/>
      <c r="Y350" s="84"/>
      <c r="Z350" s="84"/>
    </row>
    <row r="351" spans="1:26" ht="15.75" customHeight="1" x14ac:dyDescent="0.25">
      <c r="A351" s="85" t="s">
        <v>1124</v>
      </c>
      <c r="B351" s="189" t="s">
        <v>309</v>
      </c>
      <c r="C351" s="9" t="s">
        <v>314</v>
      </c>
      <c r="D351" s="190">
        <v>8</v>
      </c>
      <c r="E351" s="191">
        <v>80</v>
      </c>
      <c r="F351" s="192">
        <v>6</v>
      </c>
      <c r="G351" s="191">
        <v>100</v>
      </c>
      <c r="H351" s="189" t="s">
        <v>1125</v>
      </c>
      <c r="I351" s="193" t="s">
        <v>1126</v>
      </c>
      <c r="J351" s="82">
        <v>100</v>
      </c>
      <c r="K351" s="83">
        <v>1</v>
      </c>
      <c r="O351" s="84"/>
      <c r="P351" s="84"/>
      <c r="Q351" s="84"/>
      <c r="R351" s="84"/>
      <c r="S351" s="84"/>
      <c r="T351" s="84"/>
      <c r="U351" s="84"/>
      <c r="V351" s="84"/>
      <c r="W351" s="84"/>
      <c r="X351" s="84"/>
      <c r="Y351" s="84"/>
      <c r="Z351" s="84"/>
    </row>
    <row r="352" spans="1:26" ht="15.75" customHeight="1" x14ac:dyDescent="0.25">
      <c r="A352" s="85" t="s">
        <v>1127</v>
      </c>
      <c r="B352" s="189" t="s">
        <v>348</v>
      </c>
      <c r="C352" s="9" t="s">
        <v>322</v>
      </c>
      <c r="D352" s="190" t="s">
        <v>304</v>
      </c>
      <c r="E352" s="191" t="s">
        <v>305</v>
      </c>
      <c r="F352" s="192" t="s">
        <v>304</v>
      </c>
      <c r="G352" s="191" t="s">
        <v>305</v>
      </c>
      <c r="H352" s="189" t="s">
        <v>1128</v>
      </c>
      <c r="I352" s="193" t="s">
        <v>1129</v>
      </c>
      <c r="J352" s="82" t="s">
        <v>305</v>
      </c>
      <c r="K352" s="83" t="s">
        <v>184</v>
      </c>
      <c r="O352" s="84"/>
      <c r="P352" s="84"/>
      <c r="Q352" s="84"/>
      <c r="R352" s="84"/>
      <c r="S352" s="84"/>
      <c r="T352" s="84"/>
      <c r="U352" s="84"/>
      <c r="V352" s="84"/>
      <c r="W352" s="84"/>
      <c r="X352" s="84"/>
      <c r="Y352" s="84"/>
      <c r="Z352" s="84"/>
    </row>
    <row r="353" spans="1:26" ht="15.75" customHeight="1" x14ac:dyDescent="0.25">
      <c r="A353" s="85" t="s">
        <v>1130</v>
      </c>
      <c r="B353" s="189" t="s">
        <v>335</v>
      </c>
      <c r="C353" s="9" t="s">
        <v>322</v>
      </c>
      <c r="D353" s="190" t="s">
        <v>304</v>
      </c>
      <c r="E353" s="191" t="s">
        <v>305</v>
      </c>
      <c r="F353" s="192">
        <v>6</v>
      </c>
      <c r="G353" s="191">
        <v>100</v>
      </c>
      <c r="H353" s="189" t="s">
        <v>599</v>
      </c>
      <c r="I353" s="193" t="s">
        <v>600</v>
      </c>
      <c r="J353" s="82" t="s">
        <v>305</v>
      </c>
      <c r="K353" s="83" t="s">
        <v>184</v>
      </c>
      <c r="O353" s="84"/>
      <c r="P353" s="84"/>
      <c r="Q353" s="84"/>
      <c r="R353" s="84"/>
      <c r="S353" s="84"/>
      <c r="T353" s="84"/>
      <c r="U353" s="84"/>
      <c r="V353" s="84"/>
      <c r="W353" s="84"/>
      <c r="X353" s="84"/>
      <c r="Y353" s="84"/>
      <c r="Z353" s="84"/>
    </row>
    <row r="354" spans="1:26" ht="15.75" customHeight="1" x14ac:dyDescent="0.25">
      <c r="A354" s="85" t="s">
        <v>1131</v>
      </c>
      <c r="B354" s="189" t="s">
        <v>335</v>
      </c>
      <c r="C354" s="9" t="s">
        <v>322</v>
      </c>
      <c r="D354" s="190" t="s">
        <v>304</v>
      </c>
      <c r="E354" s="191" t="s">
        <v>305</v>
      </c>
      <c r="F354" s="192" t="s">
        <v>304</v>
      </c>
      <c r="G354" s="191" t="s">
        <v>305</v>
      </c>
      <c r="H354" s="189" t="s">
        <v>1132</v>
      </c>
      <c r="I354" s="193" t="s">
        <v>1133</v>
      </c>
      <c r="J354" s="82" t="s">
        <v>305</v>
      </c>
      <c r="K354" s="83" t="s">
        <v>184</v>
      </c>
      <c r="O354" s="84"/>
      <c r="P354" s="84"/>
      <c r="Q354" s="84"/>
      <c r="R354" s="84"/>
      <c r="S354" s="84"/>
      <c r="T354" s="84"/>
      <c r="U354" s="84"/>
      <c r="V354" s="84"/>
      <c r="W354" s="84"/>
      <c r="X354" s="84"/>
      <c r="Y354" s="84"/>
      <c r="Z354" s="84"/>
    </row>
    <row r="355" spans="1:26" ht="15.75" customHeight="1" x14ac:dyDescent="0.25">
      <c r="A355" s="85" t="s">
        <v>1134</v>
      </c>
      <c r="B355" s="189" t="s">
        <v>407</v>
      </c>
      <c r="C355" s="9" t="s">
        <v>322</v>
      </c>
      <c r="D355" s="190" t="s">
        <v>304</v>
      </c>
      <c r="E355" s="191" t="s">
        <v>305</v>
      </c>
      <c r="F355" s="192" t="s">
        <v>304</v>
      </c>
      <c r="G355" s="191" t="s">
        <v>305</v>
      </c>
      <c r="H355" s="189" t="s">
        <v>1135</v>
      </c>
      <c r="I355" s="193" t="s">
        <v>1136</v>
      </c>
      <c r="J355" s="82" t="s">
        <v>305</v>
      </c>
      <c r="K355" s="83" t="s">
        <v>184</v>
      </c>
      <c r="O355" s="84"/>
      <c r="P355" s="84"/>
      <c r="Q355" s="84"/>
      <c r="R355" s="84"/>
      <c r="S355" s="84"/>
      <c r="T355" s="84"/>
      <c r="U355" s="84"/>
      <c r="V355" s="84"/>
      <c r="W355" s="84"/>
      <c r="X355" s="84"/>
      <c r="Y355" s="84"/>
      <c r="Z355" s="84"/>
    </row>
    <row r="356" spans="1:26" ht="15.75" customHeight="1" x14ac:dyDescent="0.25">
      <c r="A356" s="85" t="s">
        <v>1137</v>
      </c>
      <c r="B356" s="189" t="s">
        <v>348</v>
      </c>
      <c r="C356" s="9" t="s">
        <v>322</v>
      </c>
      <c r="D356" s="190" t="s">
        <v>304</v>
      </c>
      <c r="E356" s="191" t="s">
        <v>305</v>
      </c>
      <c r="F356" s="192" t="s">
        <v>304</v>
      </c>
      <c r="G356" s="191" t="s">
        <v>305</v>
      </c>
      <c r="H356" s="189" t="s">
        <v>1138</v>
      </c>
      <c r="I356" s="193" t="s">
        <v>1139</v>
      </c>
      <c r="J356" s="82" t="s">
        <v>305</v>
      </c>
      <c r="K356" s="83" t="s">
        <v>184</v>
      </c>
      <c r="O356" s="84"/>
      <c r="P356" s="84"/>
      <c r="Q356" s="84"/>
      <c r="R356" s="84"/>
      <c r="S356" s="84"/>
      <c r="T356" s="84"/>
      <c r="U356" s="84"/>
      <c r="V356" s="84"/>
      <c r="W356" s="84"/>
      <c r="X356" s="84"/>
      <c r="Y356" s="84"/>
      <c r="Z356" s="84"/>
    </row>
    <row r="357" spans="1:26" ht="15.75" customHeight="1" x14ac:dyDescent="0.25">
      <c r="A357" s="85" t="s">
        <v>1140</v>
      </c>
      <c r="B357" s="189" t="s">
        <v>348</v>
      </c>
      <c r="C357" s="9" t="s">
        <v>322</v>
      </c>
      <c r="D357" s="190" t="s">
        <v>304</v>
      </c>
      <c r="E357" s="191" t="s">
        <v>305</v>
      </c>
      <c r="F357" s="192" t="s">
        <v>304</v>
      </c>
      <c r="G357" s="191" t="s">
        <v>305</v>
      </c>
      <c r="H357" s="189" t="s">
        <v>1141</v>
      </c>
      <c r="I357" s="193" t="s">
        <v>1142</v>
      </c>
      <c r="J357" s="82" t="s">
        <v>305</v>
      </c>
      <c r="K357" s="83" t="s">
        <v>184</v>
      </c>
      <c r="O357" s="84"/>
      <c r="P357" s="84"/>
      <c r="Q357" s="84"/>
      <c r="R357" s="84"/>
      <c r="S357" s="84"/>
      <c r="T357" s="84"/>
      <c r="U357" s="84"/>
      <c r="V357" s="84"/>
      <c r="W357" s="84"/>
      <c r="X357" s="84"/>
      <c r="Y357" s="84"/>
      <c r="Z357" s="84"/>
    </row>
    <row r="358" spans="1:26" ht="15.75" customHeight="1" x14ac:dyDescent="0.25">
      <c r="A358" s="85" t="s">
        <v>1143</v>
      </c>
      <c r="B358" s="189" t="s">
        <v>359</v>
      </c>
      <c r="C358" s="9" t="s">
        <v>303</v>
      </c>
      <c r="D358" s="190" t="s">
        <v>304</v>
      </c>
      <c r="E358" s="191" t="s">
        <v>305</v>
      </c>
      <c r="F358" s="192" t="s">
        <v>304</v>
      </c>
      <c r="G358" s="191" t="s">
        <v>305</v>
      </c>
      <c r="H358" s="189" t="s">
        <v>1144</v>
      </c>
      <c r="I358" s="193" t="s">
        <v>1145</v>
      </c>
      <c r="J358" s="82" t="s">
        <v>305</v>
      </c>
      <c r="K358" s="83" t="s">
        <v>184</v>
      </c>
      <c r="O358" s="84"/>
      <c r="P358" s="84"/>
      <c r="Q358" s="84"/>
      <c r="R358" s="84"/>
      <c r="S358" s="84"/>
      <c r="T358" s="84"/>
      <c r="U358" s="84"/>
      <c r="V358" s="84"/>
      <c r="W358" s="84"/>
      <c r="X358" s="84"/>
      <c r="Y358" s="84"/>
      <c r="Z358" s="84"/>
    </row>
    <row r="359" spans="1:26" ht="15.75" customHeight="1" x14ac:dyDescent="0.25">
      <c r="A359" s="85" t="s">
        <v>1146</v>
      </c>
      <c r="B359" s="189" t="s">
        <v>335</v>
      </c>
      <c r="C359" s="9" t="s">
        <v>314</v>
      </c>
      <c r="D359" s="190" t="s">
        <v>304</v>
      </c>
      <c r="E359" s="191" t="s">
        <v>305</v>
      </c>
      <c r="F359" s="192">
        <v>20</v>
      </c>
      <c r="G359" s="191">
        <v>30</v>
      </c>
      <c r="H359" s="189" t="s">
        <v>906</v>
      </c>
      <c r="I359" s="193" t="s">
        <v>907</v>
      </c>
      <c r="J359" s="82" t="s">
        <v>305</v>
      </c>
      <c r="K359" s="83" t="s">
        <v>184</v>
      </c>
      <c r="O359" s="84"/>
      <c r="P359" s="84"/>
      <c r="Q359" s="84"/>
      <c r="R359" s="84"/>
      <c r="S359" s="84"/>
      <c r="T359" s="84"/>
      <c r="U359" s="84"/>
      <c r="V359" s="84"/>
      <c r="W359" s="84"/>
      <c r="X359" s="84"/>
      <c r="Y359" s="84"/>
      <c r="Z359" s="84"/>
    </row>
    <row r="360" spans="1:26" ht="15.75" customHeight="1" x14ac:dyDescent="0.25">
      <c r="A360" s="85" t="s">
        <v>1147</v>
      </c>
      <c r="B360" s="189" t="s">
        <v>318</v>
      </c>
      <c r="C360" s="9" t="s">
        <v>314</v>
      </c>
      <c r="D360" s="190">
        <v>12</v>
      </c>
      <c r="E360" s="191">
        <v>120</v>
      </c>
      <c r="F360" s="192">
        <v>10</v>
      </c>
      <c r="G360" s="191">
        <v>80</v>
      </c>
      <c r="H360" s="189" t="s">
        <v>1148</v>
      </c>
      <c r="I360" s="193" t="s">
        <v>1149</v>
      </c>
      <c r="J360" s="82">
        <v>30</v>
      </c>
      <c r="K360" s="83">
        <v>15</v>
      </c>
      <c r="O360" s="84"/>
      <c r="P360" s="84"/>
      <c r="Q360" s="84"/>
      <c r="R360" s="84"/>
      <c r="S360" s="84"/>
      <c r="T360" s="84"/>
      <c r="U360" s="84"/>
      <c r="V360" s="84"/>
      <c r="W360" s="84"/>
      <c r="X360" s="84"/>
      <c r="Y360" s="84"/>
      <c r="Z360" s="84"/>
    </row>
    <row r="361" spans="1:26" ht="15.75" customHeight="1" x14ac:dyDescent="0.25">
      <c r="A361" s="85" t="s">
        <v>1150</v>
      </c>
      <c r="B361" s="189" t="s">
        <v>331</v>
      </c>
      <c r="C361" s="9" t="s">
        <v>303</v>
      </c>
      <c r="D361" s="190">
        <v>4</v>
      </c>
      <c r="E361" s="191">
        <v>40</v>
      </c>
      <c r="F361" s="192">
        <v>6</v>
      </c>
      <c r="G361" s="191">
        <v>100</v>
      </c>
      <c r="H361" s="189" t="s">
        <v>1151</v>
      </c>
      <c r="I361" s="193" t="s">
        <v>1152</v>
      </c>
      <c r="J361" s="82" t="s">
        <v>305</v>
      </c>
      <c r="K361" s="83" t="s">
        <v>184</v>
      </c>
      <c r="O361" s="84"/>
      <c r="P361" s="84"/>
      <c r="Q361" s="84"/>
      <c r="R361" s="84"/>
      <c r="S361" s="84"/>
      <c r="T361" s="84"/>
      <c r="U361" s="84"/>
      <c r="V361" s="84"/>
      <c r="W361" s="84"/>
      <c r="X361" s="84"/>
      <c r="Y361" s="84"/>
      <c r="Z361" s="84"/>
    </row>
    <row r="362" spans="1:26" ht="15.75" customHeight="1" x14ac:dyDescent="0.25">
      <c r="A362" s="85" t="s">
        <v>1153</v>
      </c>
      <c r="B362" s="189" t="s">
        <v>367</v>
      </c>
      <c r="C362" s="9" t="s">
        <v>314</v>
      </c>
      <c r="D362" s="190" t="s">
        <v>304</v>
      </c>
      <c r="E362" s="191" t="s">
        <v>305</v>
      </c>
      <c r="F362" s="192">
        <v>6</v>
      </c>
      <c r="G362" s="191">
        <v>100</v>
      </c>
      <c r="H362" s="189" t="s">
        <v>1154</v>
      </c>
      <c r="I362" s="193" t="s">
        <v>1155</v>
      </c>
      <c r="J362" s="82" t="s">
        <v>305</v>
      </c>
      <c r="K362" s="83" t="s">
        <v>184</v>
      </c>
      <c r="O362" s="84"/>
      <c r="P362" s="84"/>
      <c r="Q362" s="84"/>
      <c r="R362" s="84"/>
      <c r="S362" s="84"/>
      <c r="T362" s="84"/>
      <c r="U362" s="84"/>
      <c r="V362" s="84"/>
      <c r="W362" s="84"/>
      <c r="X362" s="84"/>
      <c r="Y362" s="84"/>
      <c r="Z362" s="84"/>
    </row>
    <row r="363" spans="1:26" ht="15.75" customHeight="1" x14ac:dyDescent="0.25">
      <c r="A363" s="85" t="s">
        <v>1156</v>
      </c>
      <c r="B363" s="189" t="s">
        <v>419</v>
      </c>
      <c r="C363" s="9" t="s">
        <v>322</v>
      </c>
      <c r="D363" s="190" t="s">
        <v>304</v>
      </c>
      <c r="E363" s="191" t="s">
        <v>305</v>
      </c>
      <c r="F363" s="192" t="s">
        <v>304</v>
      </c>
      <c r="G363" s="191" t="s">
        <v>305</v>
      </c>
      <c r="H363" s="189" t="s">
        <v>1157</v>
      </c>
      <c r="I363" s="193" t="s">
        <v>1158</v>
      </c>
      <c r="J363" s="82" t="s">
        <v>305</v>
      </c>
      <c r="K363" s="83" t="s">
        <v>184</v>
      </c>
      <c r="O363" s="84"/>
      <c r="P363" s="84"/>
      <c r="Q363" s="84"/>
      <c r="R363" s="84"/>
      <c r="S363" s="84"/>
      <c r="T363" s="84"/>
      <c r="U363" s="84"/>
      <c r="V363" s="84"/>
      <c r="W363" s="84"/>
      <c r="X363" s="84"/>
      <c r="Y363" s="84"/>
      <c r="Z363" s="84"/>
    </row>
    <row r="364" spans="1:26" ht="15.75" customHeight="1" x14ac:dyDescent="0.25">
      <c r="A364" s="85" t="s">
        <v>1159</v>
      </c>
      <c r="B364" s="189" t="s">
        <v>356</v>
      </c>
      <c r="C364" s="9" t="s">
        <v>314</v>
      </c>
      <c r="D364" s="190">
        <v>10</v>
      </c>
      <c r="E364" s="191">
        <v>100</v>
      </c>
      <c r="F364" s="192">
        <v>8</v>
      </c>
      <c r="G364" s="191">
        <v>90</v>
      </c>
      <c r="H364" s="189" t="s">
        <v>1160</v>
      </c>
      <c r="I364" s="193" t="s">
        <v>1161</v>
      </c>
      <c r="J364" s="82">
        <v>100</v>
      </c>
      <c r="K364" s="83">
        <v>1</v>
      </c>
      <c r="O364" s="84"/>
      <c r="P364" s="84"/>
      <c r="Q364" s="84"/>
      <c r="R364" s="84"/>
      <c r="S364" s="84"/>
      <c r="T364" s="84"/>
      <c r="U364" s="84"/>
      <c r="V364" s="84"/>
      <c r="W364" s="84"/>
      <c r="X364" s="84"/>
      <c r="Y364" s="84"/>
      <c r="Z364" s="84"/>
    </row>
    <row r="365" spans="1:26" ht="15.75" customHeight="1" x14ac:dyDescent="0.25">
      <c r="A365" s="85" t="s">
        <v>1162</v>
      </c>
      <c r="B365" s="189" t="s">
        <v>335</v>
      </c>
      <c r="C365" s="9" t="s">
        <v>322</v>
      </c>
      <c r="D365" s="190" t="s">
        <v>304</v>
      </c>
      <c r="E365" s="191" t="s">
        <v>305</v>
      </c>
      <c r="F365" s="192" t="s">
        <v>304</v>
      </c>
      <c r="G365" s="191" t="s">
        <v>305</v>
      </c>
      <c r="H365" s="189" t="s">
        <v>1163</v>
      </c>
      <c r="I365" s="193" t="s">
        <v>1164</v>
      </c>
      <c r="J365" s="82" t="s">
        <v>305</v>
      </c>
      <c r="K365" s="83" t="s">
        <v>184</v>
      </c>
      <c r="O365" s="84"/>
      <c r="P365" s="84"/>
      <c r="Q365" s="84"/>
      <c r="R365" s="84"/>
      <c r="S365" s="84"/>
      <c r="T365" s="84"/>
      <c r="U365" s="84"/>
      <c r="V365" s="84"/>
      <c r="W365" s="84"/>
      <c r="X365" s="84"/>
      <c r="Y365" s="84"/>
      <c r="Z365" s="84"/>
    </row>
    <row r="366" spans="1:26" ht="15.75" customHeight="1" x14ac:dyDescent="0.25">
      <c r="A366" s="85" t="s">
        <v>1165</v>
      </c>
      <c r="B366" s="189" t="s">
        <v>367</v>
      </c>
      <c r="C366" s="9" t="s">
        <v>314</v>
      </c>
      <c r="D366" s="190" t="s">
        <v>304</v>
      </c>
      <c r="E366" s="191" t="s">
        <v>305</v>
      </c>
      <c r="F366" s="192">
        <v>6</v>
      </c>
      <c r="G366" s="191">
        <v>100</v>
      </c>
      <c r="H366" s="189"/>
      <c r="I366" s="193" t="s">
        <v>184</v>
      </c>
      <c r="J366" s="82" t="s">
        <v>305</v>
      </c>
      <c r="K366" s="83" t="s">
        <v>184</v>
      </c>
      <c r="O366" s="84"/>
      <c r="P366" s="84"/>
      <c r="Q366" s="84"/>
      <c r="R366" s="84"/>
      <c r="S366" s="84"/>
      <c r="T366" s="84"/>
      <c r="U366" s="84"/>
      <c r="V366" s="84"/>
      <c r="W366" s="84"/>
      <c r="X366" s="84"/>
      <c r="Y366" s="84"/>
      <c r="Z366" s="84"/>
    </row>
    <row r="367" spans="1:26" ht="15.75" customHeight="1" x14ac:dyDescent="0.25">
      <c r="A367" s="85" t="s">
        <v>1166</v>
      </c>
      <c r="B367" s="189" t="s">
        <v>335</v>
      </c>
      <c r="C367" s="9" t="s">
        <v>322</v>
      </c>
      <c r="D367" s="190" t="s">
        <v>304</v>
      </c>
      <c r="E367" s="191" t="s">
        <v>305</v>
      </c>
      <c r="F367" s="192" t="s">
        <v>304</v>
      </c>
      <c r="G367" s="191" t="s">
        <v>305</v>
      </c>
      <c r="H367" s="189" t="s">
        <v>711</v>
      </c>
      <c r="I367" s="193" t="s">
        <v>712</v>
      </c>
      <c r="J367" s="82" t="s">
        <v>305</v>
      </c>
      <c r="K367" s="83" t="s">
        <v>184</v>
      </c>
      <c r="O367" s="84"/>
      <c r="P367" s="84"/>
      <c r="Q367" s="84"/>
      <c r="R367" s="84"/>
      <c r="S367" s="84"/>
      <c r="T367" s="84"/>
      <c r="U367" s="84"/>
      <c r="V367" s="84"/>
      <c r="W367" s="84"/>
      <c r="X367" s="84"/>
      <c r="Y367" s="84"/>
      <c r="Z367" s="84"/>
    </row>
    <row r="368" spans="1:26" ht="15.75" customHeight="1" x14ac:dyDescent="0.25">
      <c r="A368" s="85" t="s">
        <v>1167</v>
      </c>
      <c r="B368" s="189" t="s">
        <v>419</v>
      </c>
      <c r="C368" s="9" t="s">
        <v>322</v>
      </c>
      <c r="D368" s="190" t="s">
        <v>304</v>
      </c>
      <c r="E368" s="191" t="s">
        <v>305</v>
      </c>
      <c r="F368" s="192" t="s">
        <v>304</v>
      </c>
      <c r="G368" s="191" t="s">
        <v>305</v>
      </c>
      <c r="H368" s="189" t="s">
        <v>976</v>
      </c>
      <c r="I368" s="193" t="s">
        <v>977</v>
      </c>
      <c r="J368" s="82" t="s">
        <v>305</v>
      </c>
      <c r="K368" s="83" t="s">
        <v>184</v>
      </c>
      <c r="O368" s="84"/>
      <c r="P368" s="84"/>
      <c r="Q368" s="84"/>
      <c r="R368" s="84"/>
      <c r="S368" s="84"/>
      <c r="T368" s="84"/>
      <c r="U368" s="84"/>
      <c r="V368" s="84"/>
      <c r="W368" s="84"/>
      <c r="X368" s="84"/>
      <c r="Y368" s="84"/>
      <c r="Z368" s="84"/>
    </row>
    <row r="369" spans="1:26" ht="15.75" customHeight="1" x14ac:dyDescent="0.25">
      <c r="A369" s="85" t="s">
        <v>1168</v>
      </c>
      <c r="B369" s="189" t="s">
        <v>335</v>
      </c>
      <c r="C369" s="9" t="s">
        <v>314</v>
      </c>
      <c r="D369" s="190">
        <v>12</v>
      </c>
      <c r="E369" s="191">
        <v>120</v>
      </c>
      <c r="F369" s="192">
        <v>6</v>
      </c>
      <c r="G369" s="191">
        <v>100</v>
      </c>
      <c r="H369" s="189" t="s">
        <v>527</v>
      </c>
      <c r="I369" s="193" t="s">
        <v>528</v>
      </c>
      <c r="J369" s="82" t="s">
        <v>305</v>
      </c>
      <c r="K369" s="83" t="s">
        <v>184</v>
      </c>
      <c r="O369" s="84"/>
      <c r="P369" s="84"/>
      <c r="Q369" s="84"/>
      <c r="R369" s="84"/>
      <c r="S369" s="84"/>
      <c r="T369" s="84"/>
      <c r="U369" s="84"/>
      <c r="V369" s="84"/>
      <c r="W369" s="84"/>
      <c r="X369" s="84"/>
      <c r="Y369" s="84"/>
      <c r="Z369" s="84"/>
    </row>
    <row r="370" spans="1:26" ht="15.75" customHeight="1" x14ac:dyDescent="0.25">
      <c r="A370" s="85" t="s">
        <v>1169</v>
      </c>
      <c r="B370" s="189" t="s">
        <v>313</v>
      </c>
      <c r="C370" s="9" t="s">
        <v>314</v>
      </c>
      <c r="D370" s="190">
        <v>15</v>
      </c>
      <c r="E370" s="191">
        <v>150</v>
      </c>
      <c r="F370" s="192">
        <v>10</v>
      </c>
      <c r="G370" s="191">
        <v>80</v>
      </c>
      <c r="H370" s="189" t="s">
        <v>527</v>
      </c>
      <c r="I370" s="193" t="s">
        <v>528</v>
      </c>
      <c r="J370" s="82" t="s">
        <v>305</v>
      </c>
      <c r="K370" s="83" t="s">
        <v>184</v>
      </c>
      <c r="O370" s="84"/>
      <c r="P370" s="84"/>
      <c r="Q370" s="84"/>
      <c r="R370" s="84"/>
      <c r="S370" s="84"/>
      <c r="T370" s="84"/>
      <c r="U370" s="84"/>
      <c r="V370" s="84"/>
      <c r="W370" s="84"/>
      <c r="X370" s="84"/>
      <c r="Y370" s="84"/>
      <c r="Z370" s="84"/>
    </row>
    <row r="371" spans="1:26" ht="15.75" customHeight="1" x14ac:dyDescent="0.25">
      <c r="A371" s="85" t="s">
        <v>1170</v>
      </c>
      <c r="B371" s="189" t="s">
        <v>335</v>
      </c>
      <c r="C371" s="9" t="s">
        <v>314</v>
      </c>
      <c r="D371" s="190">
        <v>7</v>
      </c>
      <c r="E371" s="191">
        <v>70</v>
      </c>
      <c r="F371" s="192">
        <v>6</v>
      </c>
      <c r="G371" s="191">
        <v>100</v>
      </c>
      <c r="H371" s="189" t="s">
        <v>353</v>
      </c>
      <c r="I371" s="193" t="s">
        <v>354</v>
      </c>
      <c r="J371" s="82">
        <v>30</v>
      </c>
      <c r="K371" s="83">
        <v>15</v>
      </c>
      <c r="O371" s="84"/>
      <c r="P371" s="84"/>
      <c r="Q371" s="84"/>
      <c r="R371" s="84"/>
      <c r="S371" s="84"/>
      <c r="T371" s="84"/>
      <c r="U371" s="84"/>
      <c r="V371" s="84"/>
      <c r="W371" s="84"/>
      <c r="X371" s="84"/>
      <c r="Y371" s="84"/>
      <c r="Z371" s="84"/>
    </row>
    <row r="372" spans="1:26" ht="15.75" customHeight="1" x14ac:dyDescent="0.25">
      <c r="A372" s="85" t="s">
        <v>1171</v>
      </c>
      <c r="B372" s="189" t="s">
        <v>515</v>
      </c>
      <c r="C372" s="9" t="s">
        <v>314</v>
      </c>
      <c r="D372" s="190">
        <v>12</v>
      </c>
      <c r="E372" s="191">
        <v>120</v>
      </c>
      <c r="F372" s="192">
        <v>6</v>
      </c>
      <c r="G372" s="191">
        <v>100</v>
      </c>
      <c r="H372" s="189" t="s">
        <v>614</v>
      </c>
      <c r="I372" s="193" t="s">
        <v>1172</v>
      </c>
      <c r="J372" s="82" t="s">
        <v>305</v>
      </c>
      <c r="K372" s="83" t="s">
        <v>184</v>
      </c>
      <c r="O372" s="84"/>
      <c r="P372" s="84"/>
      <c r="Q372" s="84"/>
      <c r="R372" s="84"/>
      <c r="S372" s="84"/>
      <c r="T372" s="84"/>
      <c r="U372" s="84"/>
      <c r="V372" s="84"/>
      <c r="W372" s="84"/>
      <c r="X372" s="84"/>
      <c r="Y372" s="84"/>
      <c r="Z372" s="84"/>
    </row>
    <row r="373" spans="1:26" ht="15.75" customHeight="1" x14ac:dyDescent="0.25">
      <c r="A373" s="85" t="s">
        <v>1173</v>
      </c>
      <c r="B373" s="189" t="s">
        <v>335</v>
      </c>
      <c r="C373" s="9" t="s">
        <v>322</v>
      </c>
      <c r="D373" s="190" t="s">
        <v>304</v>
      </c>
      <c r="E373" s="191" t="s">
        <v>305</v>
      </c>
      <c r="F373" s="192" t="s">
        <v>304</v>
      </c>
      <c r="G373" s="191" t="s">
        <v>305</v>
      </c>
      <c r="H373" s="189" t="s">
        <v>1174</v>
      </c>
      <c r="I373" s="193" t="s">
        <v>1175</v>
      </c>
      <c r="J373" s="82" t="s">
        <v>305</v>
      </c>
      <c r="K373" s="83" t="s">
        <v>184</v>
      </c>
      <c r="O373" s="84"/>
      <c r="P373" s="84"/>
      <c r="Q373" s="84"/>
      <c r="R373" s="84"/>
      <c r="S373" s="84"/>
      <c r="T373" s="84"/>
      <c r="U373" s="84"/>
      <c r="V373" s="84"/>
      <c r="W373" s="84"/>
      <c r="X373" s="84"/>
      <c r="Y373" s="84"/>
      <c r="Z373" s="84"/>
    </row>
    <row r="374" spans="1:26" ht="15.75" customHeight="1" x14ac:dyDescent="0.25">
      <c r="A374" s="85" t="s">
        <v>133</v>
      </c>
      <c r="B374" s="189" t="s">
        <v>348</v>
      </c>
      <c r="C374" s="9" t="s">
        <v>322</v>
      </c>
      <c r="D374" s="190" t="s">
        <v>304</v>
      </c>
      <c r="E374" s="191" t="s">
        <v>305</v>
      </c>
      <c r="F374" s="192">
        <v>6</v>
      </c>
      <c r="G374" s="191">
        <v>100</v>
      </c>
      <c r="H374" s="189" t="s">
        <v>1176</v>
      </c>
      <c r="I374" s="193" t="s">
        <v>1177</v>
      </c>
      <c r="J374" s="82" t="s">
        <v>305</v>
      </c>
      <c r="K374" s="83" t="s">
        <v>184</v>
      </c>
      <c r="O374" s="84"/>
      <c r="P374" s="84"/>
      <c r="Q374" s="84"/>
      <c r="R374" s="84"/>
      <c r="S374" s="84"/>
      <c r="T374" s="84"/>
      <c r="U374" s="84"/>
      <c r="V374" s="84"/>
      <c r="W374" s="84"/>
      <c r="X374" s="84"/>
      <c r="Y374" s="84"/>
      <c r="Z374" s="84"/>
    </row>
    <row r="375" spans="1:26" ht="15.75" customHeight="1" x14ac:dyDescent="0.25">
      <c r="A375" s="85" t="s">
        <v>1178</v>
      </c>
      <c r="B375" s="189" t="s">
        <v>411</v>
      </c>
      <c r="C375" s="9" t="s">
        <v>322</v>
      </c>
      <c r="D375" s="190" t="s">
        <v>304</v>
      </c>
      <c r="E375" s="191" t="s">
        <v>305</v>
      </c>
      <c r="F375" s="192" t="s">
        <v>304</v>
      </c>
      <c r="G375" s="191" t="s">
        <v>305</v>
      </c>
      <c r="H375" s="189" t="s">
        <v>1179</v>
      </c>
      <c r="I375" s="193" t="s">
        <v>1180</v>
      </c>
      <c r="J375" s="82" t="s">
        <v>305</v>
      </c>
      <c r="K375" s="83" t="s">
        <v>184</v>
      </c>
      <c r="O375" s="84"/>
      <c r="P375" s="84"/>
      <c r="Q375" s="84"/>
      <c r="R375" s="84"/>
      <c r="S375" s="84"/>
      <c r="T375" s="84"/>
      <c r="U375" s="84"/>
      <c r="V375" s="84"/>
      <c r="W375" s="84"/>
      <c r="X375" s="84"/>
      <c r="Y375" s="84"/>
      <c r="Z375" s="84"/>
    </row>
    <row r="376" spans="1:26" ht="15.75" customHeight="1" x14ac:dyDescent="0.25">
      <c r="A376" s="85" t="s">
        <v>1181</v>
      </c>
      <c r="B376" s="189" t="s">
        <v>348</v>
      </c>
      <c r="C376" s="9" t="s">
        <v>322</v>
      </c>
      <c r="D376" s="190" t="s">
        <v>304</v>
      </c>
      <c r="E376" s="191" t="s">
        <v>305</v>
      </c>
      <c r="F376" s="192" t="s">
        <v>304</v>
      </c>
      <c r="G376" s="191" t="s">
        <v>305</v>
      </c>
      <c r="H376" s="189" t="s">
        <v>1182</v>
      </c>
      <c r="I376" s="193" t="s">
        <v>1183</v>
      </c>
      <c r="J376" s="82" t="s">
        <v>305</v>
      </c>
      <c r="K376" s="83" t="s">
        <v>184</v>
      </c>
      <c r="O376" s="84"/>
      <c r="P376" s="84"/>
      <c r="Q376" s="84"/>
      <c r="R376" s="84"/>
      <c r="S376" s="84"/>
      <c r="T376" s="84"/>
      <c r="U376" s="84"/>
      <c r="V376" s="84"/>
      <c r="W376" s="84"/>
      <c r="X376" s="84"/>
      <c r="Y376" s="84"/>
      <c r="Z376" s="84"/>
    </row>
    <row r="377" spans="1:26" ht="15.75" customHeight="1" x14ac:dyDescent="0.25">
      <c r="A377" s="85" t="s">
        <v>1184</v>
      </c>
      <c r="B377" s="189" t="s">
        <v>348</v>
      </c>
      <c r="C377" s="9" t="s">
        <v>322</v>
      </c>
      <c r="D377" s="190" t="s">
        <v>304</v>
      </c>
      <c r="E377" s="191" t="s">
        <v>305</v>
      </c>
      <c r="F377" s="192" t="s">
        <v>304</v>
      </c>
      <c r="G377" s="191" t="s">
        <v>305</v>
      </c>
      <c r="H377" s="189" t="s">
        <v>1185</v>
      </c>
      <c r="I377" s="193" t="s">
        <v>1186</v>
      </c>
      <c r="J377" s="82" t="s">
        <v>305</v>
      </c>
      <c r="K377" s="83" t="s">
        <v>184</v>
      </c>
      <c r="O377" s="84"/>
      <c r="P377" s="84"/>
      <c r="Q377" s="84"/>
      <c r="R377" s="84"/>
      <c r="S377" s="84"/>
      <c r="T377" s="84"/>
      <c r="U377" s="84"/>
      <c r="V377" s="84"/>
      <c r="W377" s="84"/>
      <c r="X377" s="84"/>
      <c r="Y377" s="84"/>
      <c r="Z377" s="84"/>
    </row>
    <row r="378" spans="1:26" ht="15.75" customHeight="1" x14ac:dyDescent="0.25">
      <c r="A378" s="85" t="s">
        <v>1187</v>
      </c>
      <c r="B378" s="189" t="s">
        <v>348</v>
      </c>
      <c r="C378" s="9" t="s">
        <v>314</v>
      </c>
      <c r="D378" s="190">
        <v>6</v>
      </c>
      <c r="E378" s="191">
        <v>60</v>
      </c>
      <c r="F378" s="192">
        <v>6</v>
      </c>
      <c r="G378" s="191">
        <v>100</v>
      </c>
      <c r="H378" s="189" t="s">
        <v>353</v>
      </c>
      <c r="I378" s="193" t="s">
        <v>354</v>
      </c>
      <c r="J378" s="82">
        <v>30</v>
      </c>
      <c r="K378" s="83">
        <v>15</v>
      </c>
      <c r="O378" s="84"/>
      <c r="P378" s="84"/>
      <c r="Q378" s="84"/>
      <c r="R378" s="84"/>
      <c r="S378" s="84"/>
      <c r="T378" s="84"/>
      <c r="U378" s="84"/>
      <c r="V378" s="84"/>
      <c r="W378" s="84"/>
      <c r="X378" s="84"/>
      <c r="Y378" s="84"/>
      <c r="Z378" s="84"/>
    </row>
    <row r="379" spans="1:26" ht="15.75" customHeight="1" x14ac:dyDescent="0.25">
      <c r="A379" s="85" t="s">
        <v>1188</v>
      </c>
      <c r="B379" s="189" t="s">
        <v>348</v>
      </c>
      <c r="C379" s="9" t="s">
        <v>322</v>
      </c>
      <c r="D379" s="190" t="s">
        <v>304</v>
      </c>
      <c r="E379" s="191" t="s">
        <v>305</v>
      </c>
      <c r="F379" s="192" t="s">
        <v>304</v>
      </c>
      <c r="G379" s="191" t="s">
        <v>305</v>
      </c>
      <c r="H379" s="189" t="s">
        <v>1189</v>
      </c>
      <c r="I379" s="193" t="s">
        <v>1190</v>
      </c>
      <c r="J379" s="82" t="s">
        <v>305</v>
      </c>
      <c r="K379" s="83" t="s">
        <v>184</v>
      </c>
      <c r="O379" s="84"/>
      <c r="P379" s="84"/>
      <c r="Q379" s="84"/>
      <c r="R379" s="84"/>
      <c r="S379" s="84"/>
      <c r="T379" s="84"/>
      <c r="U379" s="84"/>
      <c r="V379" s="84"/>
      <c r="W379" s="84"/>
      <c r="X379" s="84"/>
      <c r="Y379" s="84"/>
      <c r="Z379" s="84"/>
    </row>
    <row r="380" spans="1:26" ht="15.75" customHeight="1" x14ac:dyDescent="0.25">
      <c r="A380" s="85" t="s">
        <v>1191</v>
      </c>
      <c r="B380" s="189" t="s">
        <v>390</v>
      </c>
      <c r="C380" s="9" t="s">
        <v>314</v>
      </c>
      <c r="D380" s="190" t="s">
        <v>304</v>
      </c>
      <c r="E380" s="191" t="s">
        <v>305</v>
      </c>
      <c r="F380" s="192">
        <v>6</v>
      </c>
      <c r="G380" s="191">
        <v>100</v>
      </c>
      <c r="H380" s="189" t="s">
        <v>1192</v>
      </c>
      <c r="I380" s="193" t="s">
        <v>1192</v>
      </c>
      <c r="J380" s="82" t="s">
        <v>305</v>
      </c>
      <c r="K380" s="83" t="s">
        <v>184</v>
      </c>
      <c r="O380" s="84"/>
      <c r="P380" s="84"/>
      <c r="Q380" s="84"/>
      <c r="R380" s="84"/>
      <c r="S380" s="84"/>
      <c r="T380" s="84"/>
      <c r="U380" s="84"/>
      <c r="V380" s="84"/>
      <c r="W380" s="84"/>
      <c r="X380" s="84"/>
      <c r="Y380" s="84"/>
      <c r="Z380" s="84"/>
    </row>
    <row r="381" spans="1:26" ht="15.75" customHeight="1" x14ac:dyDescent="0.25">
      <c r="A381" s="85" t="s">
        <v>1193</v>
      </c>
      <c r="B381" s="189" t="s">
        <v>390</v>
      </c>
      <c r="C381" s="9" t="s">
        <v>303</v>
      </c>
      <c r="D381" s="190">
        <v>10</v>
      </c>
      <c r="E381" s="191">
        <v>95</v>
      </c>
      <c r="F381" s="192">
        <v>8</v>
      </c>
      <c r="G381" s="191">
        <v>90</v>
      </c>
      <c r="H381" s="189" t="s">
        <v>502</v>
      </c>
      <c r="I381" s="193" t="s">
        <v>503</v>
      </c>
      <c r="J381" s="82">
        <v>10</v>
      </c>
      <c r="K381" s="83">
        <v>19</v>
      </c>
      <c r="O381" s="84"/>
      <c r="P381" s="84"/>
      <c r="Q381" s="84"/>
      <c r="R381" s="84"/>
      <c r="S381" s="84"/>
      <c r="T381" s="84"/>
      <c r="U381" s="84"/>
      <c r="V381" s="84"/>
      <c r="W381" s="84"/>
      <c r="X381" s="84"/>
      <c r="Y381" s="84"/>
      <c r="Z381" s="84"/>
    </row>
    <row r="382" spans="1:26" ht="15.75" customHeight="1" x14ac:dyDescent="0.25">
      <c r="A382" s="85" t="s">
        <v>1194</v>
      </c>
      <c r="B382" s="189" t="s">
        <v>367</v>
      </c>
      <c r="C382" s="9" t="s">
        <v>314</v>
      </c>
      <c r="D382" s="190" t="s">
        <v>304</v>
      </c>
      <c r="E382" s="191" t="s">
        <v>305</v>
      </c>
      <c r="F382" s="192">
        <v>6</v>
      </c>
      <c r="G382" s="191">
        <v>100</v>
      </c>
      <c r="H382" s="189" t="s">
        <v>1192</v>
      </c>
      <c r="I382" s="193" t="s">
        <v>1192</v>
      </c>
      <c r="J382" s="82" t="s">
        <v>305</v>
      </c>
      <c r="K382" s="83" t="s">
        <v>184</v>
      </c>
      <c r="O382" s="84"/>
      <c r="P382" s="84"/>
      <c r="Q382" s="84"/>
      <c r="R382" s="84"/>
      <c r="S382" s="84"/>
      <c r="T382" s="84"/>
      <c r="U382" s="84"/>
      <c r="V382" s="84"/>
      <c r="W382" s="84"/>
      <c r="X382" s="84"/>
      <c r="Y382" s="84"/>
      <c r="Z382" s="84"/>
    </row>
    <row r="383" spans="1:26" ht="15.75" customHeight="1" x14ac:dyDescent="0.25">
      <c r="A383" s="85" t="s">
        <v>1195</v>
      </c>
      <c r="B383" s="189" t="s">
        <v>335</v>
      </c>
      <c r="C383" s="9" t="s">
        <v>322</v>
      </c>
      <c r="D383" s="190" t="s">
        <v>304</v>
      </c>
      <c r="E383" s="191" t="s">
        <v>305</v>
      </c>
      <c r="F383" s="192" t="s">
        <v>304</v>
      </c>
      <c r="G383" s="191" t="s">
        <v>305</v>
      </c>
      <c r="H383" s="189" t="s">
        <v>1196</v>
      </c>
      <c r="I383" s="193" t="s">
        <v>1197</v>
      </c>
      <c r="J383" s="82" t="s">
        <v>305</v>
      </c>
      <c r="K383" s="83" t="s">
        <v>184</v>
      </c>
      <c r="O383" s="84"/>
      <c r="P383" s="84"/>
      <c r="Q383" s="84"/>
      <c r="R383" s="84"/>
      <c r="S383" s="84"/>
      <c r="T383" s="84"/>
      <c r="U383" s="84"/>
      <c r="V383" s="84"/>
      <c r="W383" s="84"/>
      <c r="X383" s="84"/>
      <c r="Y383" s="84"/>
      <c r="Z383" s="84"/>
    </row>
    <row r="384" spans="1:26" ht="15.75" customHeight="1" x14ac:dyDescent="0.25">
      <c r="A384" s="85" t="s">
        <v>1198</v>
      </c>
      <c r="B384" s="189" t="s">
        <v>407</v>
      </c>
      <c r="C384" s="9" t="s">
        <v>303</v>
      </c>
      <c r="D384" s="190">
        <v>7</v>
      </c>
      <c r="E384" s="191">
        <v>65</v>
      </c>
      <c r="F384" s="192">
        <v>6</v>
      </c>
      <c r="G384" s="191">
        <v>100</v>
      </c>
      <c r="H384" s="189" t="s">
        <v>1199</v>
      </c>
      <c r="I384" s="193" t="s">
        <v>444</v>
      </c>
      <c r="J384" s="82" t="s">
        <v>305</v>
      </c>
      <c r="K384" s="83" t="s">
        <v>184</v>
      </c>
      <c r="O384" s="84"/>
      <c r="P384" s="84"/>
      <c r="Q384" s="84"/>
      <c r="R384" s="84"/>
      <c r="S384" s="84"/>
      <c r="T384" s="84"/>
      <c r="U384" s="84"/>
      <c r="V384" s="84"/>
      <c r="W384" s="84"/>
      <c r="X384" s="84"/>
      <c r="Y384" s="84"/>
      <c r="Z384" s="84"/>
    </row>
    <row r="385" spans="1:26" ht="15.75" customHeight="1" x14ac:dyDescent="0.25">
      <c r="A385" s="85" t="s">
        <v>1200</v>
      </c>
      <c r="B385" s="189" t="s">
        <v>335</v>
      </c>
      <c r="C385" s="9" t="s">
        <v>303</v>
      </c>
      <c r="D385" s="190">
        <v>6</v>
      </c>
      <c r="E385" s="191">
        <v>60</v>
      </c>
      <c r="F385" s="192">
        <v>6</v>
      </c>
      <c r="G385" s="191">
        <v>100</v>
      </c>
      <c r="H385" s="189" t="s">
        <v>1201</v>
      </c>
      <c r="I385" s="193" t="s">
        <v>1202</v>
      </c>
      <c r="J385" s="82" t="s">
        <v>305</v>
      </c>
      <c r="K385" s="83" t="s">
        <v>184</v>
      </c>
      <c r="O385" s="84"/>
      <c r="P385" s="84"/>
      <c r="Q385" s="84"/>
      <c r="R385" s="84"/>
      <c r="S385" s="84"/>
      <c r="T385" s="84"/>
      <c r="U385" s="84"/>
      <c r="V385" s="84"/>
      <c r="W385" s="84"/>
      <c r="X385" s="84"/>
      <c r="Y385" s="84"/>
      <c r="Z385" s="84"/>
    </row>
    <row r="386" spans="1:26" ht="15.75" customHeight="1" x14ac:dyDescent="0.25">
      <c r="A386" s="85" t="s">
        <v>1203</v>
      </c>
      <c r="B386" s="189" t="s">
        <v>515</v>
      </c>
      <c r="C386" s="9" t="s">
        <v>314</v>
      </c>
      <c r="D386" s="190">
        <v>10</v>
      </c>
      <c r="E386" s="191">
        <v>95</v>
      </c>
      <c r="F386" s="192">
        <v>7</v>
      </c>
      <c r="G386" s="191">
        <v>95</v>
      </c>
      <c r="H386" s="189" t="s">
        <v>1204</v>
      </c>
      <c r="I386" s="193" t="s">
        <v>1204</v>
      </c>
      <c r="J386" s="82" t="s">
        <v>305</v>
      </c>
      <c r="K386" s="83" t="s">
        <v>184</v>
      </c>
      <c r="O386" s="84"/>
      <c r="P386" s="84"/>
      <c r="Q386" s="84"/>
      <c r="R386" s="84"/>
      <c r="S386" s="84"/>
      <c r="T386" s="84"/>
      <c r="U386" s="84"/>
      <c r="V386" s="84"/>
      <c r="W386" s="84"/>
      <c r="X386" s="84"/>
      <c r="Y386" s="84"/>
      <c r="Z386" s="84"/>
    </row>
    <row r="387" spans="1:26" ht="15.75" customHeight="1" x14ac:dyDescent="0.25">
      <c r="A387" s="85" t="s">
        <v>1205</v>
      </c>
      <c r="B387" s="189" t="s">
        <v>356</v>
      </c>
      <c r="C387" s="9" t="s">
        <v>314</v>
      </c>
      <c r="D387" s="190">
        <v>13</v>
      </c>
      <c r="E387" s="191">
        <v>130</v>
      </c>
      <c r="F387" s="192">
        <v>8</v>
      </c>
      <c r="G387" s="191">
        <v>90</v>
      </c>
      <c r="H387" s="189" t="s">
        <v>1206</v>
      </c>
      <c r="I387" s="193" t="s">
        <v>1207</v>
      </c>
      <c r="J387" s="82" t="s">
        <v>305</v>
      </c>
      <c r="K387" s="83" t="s">
        <v>184</v>
      </c>
      <c r="O387" s="84"/>
      <c r="P387" s="84"/>
      <c r="Q387" s="84"/>
      <c r="R387" s="84"/>
      <c r="S387" s="84"/>
      <c r="T387" s="84"/>
      <c r="U387" s="84"/>
      <c r="V387" s="84"/>
      <c r="W387" s="84"/>
      <c r="X387" s="84"/>
      <c r="Y387" s="84"/>
      <c r="Z387" s="84"/>
    </row>
    <row r="388" spans="1:26" ht="15.75" customHeight="1" x14ac:dyDescent="0.25">
      <c r="A388" s="85" t="s">
        <v>1208</v>
      </c>
      <c r="B388" s="189" t="s">
        <v>335</v>
      </c>
      <c r="C388" s="9" t="s">
        <v>314</v>
      </c>
      <c r="D388" s="190">
        <v>4</v>
      </c>
      <c r="E388" s="191">
        <v>40</v>
      </c>
      <c r="F388" s="192">
        <v>6</v>
      </c>
      <c r="G388" s="191">
        <v>100</v>
      </c>
      <c r="H388" s="189" t="s">
        <v>872</v>
      </c>
      <c r="I388" s="193" t="s">
        <v>873</v>
      </c>
      <c r="J388" s="82" t="s">
        <v>305</v>
      </c>
      <c r="K388" s="83" t="s">
        <v>184</v>
      </c>
      <c r="O388" s="84"/>
      <c r="P388" s="84"/>
      <c r="Q388" s="84"/>
      <c r="R388" s="84"/>
      <c r="S388" s="84"/>
      <c r="T388" s="84"/>
      <c r="U388" s="84"/>
      <c r="V388" s="84"/>
      <c r="W388" s="84"/>
      <c r="X388" s="84"/>
      <c r="Y388" s="84"/>
      <c r="Z388" s="84"/>
    </row>
    <row r="389" spans="1:26" ht="15.75" customHeight="1" x14ac:dyDescent="0.25">
      <c r="A389" s="85" t="s">
        <v>1209</v>
      </c>
      <c r="B389" s="189" t="s">
        <v>335</v>
      </c>
      <c r="C389" s="9" t="s">
        <v>322</v>
      </c>
      <c r="D389" s="190" t="s">
        <v>304</v>
      </c>
      <c r="E389" s="191" t="s">
        <v>305</v>
      </c>
      <c r="F389" s="192" t="s">
        <v>304</v>
      </c>
      <c r="G389" s="191" t="s">
        <v>305</v>
      </c>
      <c r="H389" s="189" t="s">
        <v>1210</v>
      </c>
      <c r="I389" s="193" t="s">
        <v>1210</v>
      </c>
      <c r="J389" s="82" t="s">
        <v>305</v>
      </c>
      <c r="K389" s="83" t="s">
        <v>184</v>
      </c>
      <c r="O389" s="84"/>
      <c r="P389" s="84"/>
      <c r="Q389" s="84"/>
      <c r="R389" s="84"/>
      <c r="S389" s="84"/>
      <c r="T389" s="84"/>
      <c r="U389" s="84"/>
      <c r="V389" s="84"/>
      <c r="W389" s="84"/>
      <c r="X389" s="84"/>
      <c r="Y389" s="84"/>
      <c r="Z389" s="84"/>
    </row>
    <row r="390" spans="1:26" ht="15.75" customHeight="1" x14ac:dyDescent="0.25">
      <c r="A390" s="85" t="s">
        <v>1211</v>
      </c>
      <c r="B390" s="189" t="s">
        <v>403</v>
      </c>
      <c r="C390" s="9" t="s">
        <v>322</v>
      </c>
      <c r="D390" s="190" t="s">
        <v>304</v>
      </c>
      <c r="E390" s="191" t="s">
        <v>305</v>
      </c>
      <c r="F390" s="192" t="s">
        <v>304</v>
      </c>
      <c r="G390" s="191" t="s">
        <v>305</v>
      </c>
      <c r="H390" s="189" t="s">
        <v>1212</v>
      </c>
      <c r="I390" s="193" t="s">
        <v>1213</v>
      </c>
      <c r="J390" s="82" t="s">
        <v>305</v>
      </c>
      <c r="K390" s="83" t="s">
        <v>184</v>
      </c>
      <c r="O390" s="84"/>
      <c r="P390" s="84"/>
      <c r="Q390" s="84"/>
      <c r="R390" s="84"/>
      <c r="S390" s="84"/>
      <c r="T390" s="84"/>
      <c r="U390" s="84"/>
      <c r="V390" s="84"/>
      <c r="W390" s="84"/>
      <c r="X390" s="84"/>
      <c r="Y390" s="84"/>
      <c r="Z390" s="84"/>
    </row>
    <row r="391" spans="1:26" ht="15.75" customHeight="1" x14ac:dyDescent="0.25">
      <c r="A391" s="85" t="s">
        <v>1214</v>
      </c>
      <c r="B391" s="189" t="s">
        <v>335</v>
      </c>
      <c r="C391" s="9" t="s">
        <v>314</v>
      </c>
      <c r="D391" s="190">
        <v>7</v>
      </c>
      <c r="E391" s="191">
        <v>65</v>
      </c>
      <c r="F391" s="192">
        <v>6</v>
      </c>
      <c r="G391" s="191">
        <v>100</v>
      </c>
      <c r="H391" s="189"/>
      <c r="I391" s="193" t="s">
        <v>184</v>
      </c>
      <c r="J391" s="82" t="s">
        <v>305</v>
      </c>
      <c r="K391" s="83" t="s">
        <v>184</v>
      </c>
      <c r="O391" s="84"/>
      <c r="P391" s="84"/>
      <c r="Q391" s="84"/>
      <c r="R391" s="84"/>
      <c r="S391" s="84"/>
      <c r="T391" s="84"/>
      <c r="U391" s="84"/>
      <c r="V391" s="84"/>
      <c r="W391" s="84"/>
      <c r="X391" s="84"/>
      <c r="Y391" s="84"/>
      <c r="Z391" s="84"/>
    </row>
    <row r="392" spans="1:26" ht="15.75" customHeight="1" x14ac:dyDescent="0.25">
      <c r="A392" s="85" t="s">
        <v>1215</v>
      </c>
      <c r="B392" s="189" t="s">
        <v>335</v>
      </c>
      <c r="C392" s="9" t="s">
        <v>314</v>
      </c>
      <c r="D392" s="190" t="s">
        <v>304</v>
      </c>
      <c r="E392" s="191" t="s">
        <v>305</v>
      </c>
      <c r="F392" s="192">
        <v>20</v>
      </c>
      <c r="G392" s="191">
        <v>30</v>
      </c>
      <c r="H392" s="189" t="s">
        <v>906</v>
      </c>
      <c r="I392" s="193" t="s">
        <v>907</v>
      </c>
      <c r="J392" s="82" t="s">
        <v>305</v>
      </c>
      <c r="K392" s="83" t="s">
        <v>184</v>
      </c>
      <c r="O392" s="84"/>
      <c r="P392" s="84"/>
      <c r="Q392" s="84"/>
      <c r="R392" s="84"/>
      <c r="S392" s="84"/>
      <c r="T392" s="84"/>
      <c r="U392" s="84"/>
      <c r="V392" s="84"/>
      <c r="W392" s="84"/>
      <c r="X392" s="84"/>
      <c r="Y392" s="84"/>
      <c r="Z392" s="84"/>
    </row>
    <row r="393" spans="1:26" ht="15.75" customHeight="1" x14ac:dyDescent="0.25">
      <c r="A393" s="85" t="s">
        <v>1216</v>
      </c>
      <c r="B393" s="189" t="s">
        <v>309</v>
      </c>
      <c r="C393" s="9" t="s">
        <v>314</v>
      </c>
      <c r="D393" s="190">
        <v>8</v>
      </c>
      <c r="E393" s="191">
        <v>75</v>
      </c>
      <c r="F393" s="192">
        <v>6</v>
      </c>
      <c r="G393" s="191">
        <v>100</v>
      </c>
      <c r="H393" s="189" t="s">
        <v>310</v>
      </c>
      <c r="I393" s="193" t="s">
        <v>311</v>
      </c>
      <c r="J393" s="82" t="s">
        <v>305</v>
      </c>
      <c r="K393" s="83" t="s">
        <v>184</v>
      </c>
      <c r="O393" s="84"/>
      <c r="P393" s="84"/>
      <c r="Q393" s="84"/>
      <c r="R393" s="84"/>
      <c r="S393" s="84"/>
      <c r="T393" s="84"/>
      <c r="U393" s="84"/>
      <c r="V393" s="84"/>
      <c r="W393" s="84"/>
      <c r="X393" s="84"/>
      <c r="Y393" s="84"/>
      <c r="Z393" s="84"/>
    </row>
    <row r="394" spans="1:26" ht="15.75" customHeight="1" x14ac:dyDescent="0.25">
      <c r="A394" s="85" t="s">
        <v>1217</v>
      </c>
      <c r="B394" s="189" t="s">
        <v>335</v>
      </c>
      <c r="C394" s="9" t="s">
        <v>322</v>
      </c>
      <c r="D394" s="190" t="s">
        <v>304</v>
      </c>
      <c r="E394" s="191" t="s">
        <v>305</v>
      </c>
      <c r="F394" s="192" t="s">
        <v>304</v>
      </c>
      <c r="G394" s="191" t="s">
        <v>305</v>
      </c>
      <c r="H394" s="189" t="s">
        <v>1218</v>
      </c>
      <c r="I394" s="193" t="s">
        <v>1219</v>
      </c>
      <c r="J394" s="82" t="s">
        <v>305</v>
      </c>
      <c r="K394" s="83" t="s">
        <v>184</v>
      </c>
      <c r="O394" s="84"/>
      <c r="P394" s="84"/>
      <c r="Q394" s="84"/>
      <c r="R394" s="84"/>
      <c r="S394" s="84"/>
      <c r="T394" s="84"/>
      <c r="U394" s="84"/>
      <c r="V394" s="84"/>
      <c r="W394" s="84"/>
      <c r="X394" s="84"/>
      <c r="Y394" s="84"/>
      <c r="Z394" s="84"/>
    </row>
    <row r="395" spans="1:26" ht="15.75" customHeight="1" x14ac:dyDescent="0.25">
      <c r="A395" s="85" t="s">
        <v>1220</v>
      </c>
      <c r="B395" s="189" t="s">
        <v>331</v>
      </c>
      <c r="C395" s="9" t="s">
        <v>303</v>
      </c>
      <c r="D395" s="190">
        <v>11</v>
      </c>
      <c r="E395" s="191">
        <v>110</v>
      </c>
      <c r="F395" s="192">
        <v>12</v>
      </c>
      <c r="G395" s="191">
        <v>70</v>
      </c>
      <c r="H395" s="189" t="s">
        <v>644</v>
      </c>
      <c r="I395" s="193" t="s">
        <v>645</v>
      </c>
      <c r="J395" s="82">
        <v>30</v>
      </c>
      <c r="K395" s="83">
        <v>15</v>
      </c>
      <c r="O395" s="84"/>
      <c r="P395" s="84"/>
      <c r="Q395" s="84"/>
      <c r="R395" s="84"/>
      <c r="S395" s="84"/>
      <c r="T395" s="84"/>
      <c r="U395" s="84"/>
      <c r="V395" s="84"/>
      <c r="W395" s="84"/>
      <c r="X395" s="84"/>
      <c r="Y395" s="84"/>
      <c r="Z395" s="84"/>
    </row>
    <row r="396" spans="1:26" ht="15.75" customHeight="1" x14ac:dyDescent="0.25">
      <c r="A396" s="85" t="s">
        <v>1221</v>
      </c>
      <c r="B396" s="189" t="s">
        <v>377</v>
      </c>
      <c r="C396" s="9" t="s">
        <v>303</v>
      </c>
      <c r="D396" s="190">
        <v>15</v>
      </c>
      <c r="E396" s="191">
        <v>150</v>
      </c>
      <c r="F396" s="192">
        <v>8</v>
      </c>
      <c r="G396" s="191">
        <v>90</v>
      </c>
      <c r="H396" s="189" t="s">
        <v>482</v>
      </c>
      <c r="I396" s="193" t="s">
        <v>483</v>
      </c>
      <c r="J396" s="82" t="s">
        <v>305</v>
      </c>
      <c r="K396" s="83" t="s">
        <v>184</v>
      </c>
      <c r="O396" s="84"/>
      <c r="P396" s="84"/>
      <c r="Q396" s="84"/>
      <c r="R396" s="84"/>
      <c r="S396" s="84"/>
      <c r="T396" s="84"/>
      <c r="U396" s="84"/>
      <c r="V396" s="84"/>
      <c r="W396" s="84"/>
      <c r="X396" s="84"/>
      <c r="Y396" s="84"/>
      <c r="Z396" s="84"/>
    </row>
    <row r="397" spans="1:26" ht="15.75" customHeight="1" x14ac:dyDescent="0.25">
      <c r="A397" s="85" t="s">
        <v>1222</v>
      </c>
      <c r="B397" s="189" t="s">
        <v>377</v>
      </c>
      <c r="C397" s="9" t="s">
        <v>303</v>
      </c>
      <c r="D397" s="190">
        <v>11</v>
      </c>
      <c r="E397" s="191">
        <v>110</v>
      </c>
      <c r="F397" s="192">
        <v>10</v>
      </c>
      <c r="G397" s="191">
        <v>80</v>
      </c>
      <c r="H397" s="189"/>
      <c r="I397" s="193" t="s">
        <v>184</v>
      </c>
      <c r="J397" s="82" t="s">
        <v>305</v>
      </c>
      <c r="K397" s="83" t="s">
        <v>184</v>
      </c>
      <c r="O397" s="84"/>
      <c r="P397" s="84"/>
      <c r="Q397" s="84"/>
      <c r="R397" s="84"/>
      <c r="S397" s="84"/>
      <c r="T397" s="84"/>
      <c r="U397" s="84"/>
      <c r="V397" s="84"/>
      <c r="W397" s="84"/>
      <c r="X397" s="84"/>
      <c r="Y397" s="84"/>
      <c r="Z397" s="84"/>
    </row>
    <row r="398" spans="1:26" ht="15.75" customHeight="1" x14ac:dyDescent="0.25">
      <c r="A398" s="85" t="s">
        <v>1223</v>
      </c>
      <c r="B398" s="189" t="s">
        <v>377</v>
      </c>
      <c r="C398" s="9" t="s">
        <v>303</v>
      </c>
      <c r="D398" s="190">
        <v>8</v>
      </c>
      <c r="E398" s="191">
        <v>80</v>
      </c>
      <c r="F398" s="192">
        <v>6</v>
      </c>
      <c r="G398" s="191">
        <v>100</v>
      </c>
      <c r="H398" s="189" t="s">
        <v>1224</v>
      </c>
      <c r="I398" s="193" t="s">
        <v>1225</v>
      </c>
      <c r="J398" s="82" t="s">
        <v>305</v>
      </c>
      <c r="K398" s="83" t="s">
        <v>184</v>
      </c>
      <c r="O398" s="84"/>
      <c r="P398" s="84"/>
      <c r="Q398" s="84"/>
      <c r="R398" s="84"/>
      <c r="S398" s="84"/>
      <c r="T398" s="84"/>
      <c r="U398" s="84"/>
      <c r="V398" s="84"/>
      <c r="W398" s="84"/>
      <c r="X398" s="84"/>
      <c r="Y398" s="84"/>
      <c r="Z398" s="84"/>
    </row>
    <row r="399" spans="1:26" ht="15.75" customHeight="1" x14ac:dyDescent="0.25">
      <c r="A399" s="85" t="s">
        <v>1226</v>
      </c>
      <c r="B399" s="189" t="s">
        <v>377</v>
      </c>
      <c r="C399" s="9" t="s">
        <v>305</v>
      </c>
      <c r="D399" s="190" t="s">
        <v>304</v>
      </c>
      <c r="E399" s="191" t="s">
        <v>305</v>
      </c>
      <c r="F399" s="192" t="s">
        <v>304</v>
      </c>
      <c r="G399" s="191" t="s">
        <v>305</v>
      </c>
      <c r="H399" s="189" t="s">
        <v>1227</v>
      </c>
      <c r="I399" s="193" t="s">
        <v>1227</v>
      </c>
      <c r="J399" s="82" t="s">
        <v>305</v>
      </c>
      <c r="K399" s="83" t="s">
        <v>184</v>
      </c>
      <c r="O399" s="84"/>
      <c r="P399" s="84"/>
      <c r="Q399" s="84"/>
      <c r="R399" s="84"/>
      <c r="S399" s="84"/>
      <c r="T399" s="84"/>
      <c r="U399" s="84"/>
      <c r="V399" s="84"/>
      <c r="W399" s="84"/>
      <c r="X399" s="84"/>
      <c r="Y399" s="84"/>
      <c r="Z399" s="84"/>
    </row>
    <row r="400" spans="1:26" ht="15.75" customHeight="1" x14ac:dyDescent="0.25">
      <c r="A400" s="85" t="s">
        <v>1228</v>
      </c>
      <c r="B400" s="189" t="s">
        <v>335</v>
      </c>
      <c r="C400" s="9" t="s">
        <v>303</v>
      </c>
      <c r="D400" s="190">
        <v>15</v>
      </c>
      <c r="E400" s="191">
        <v>150</v>
      </c>
      <c r="F400" s="192">
        <v>8</v>
      </c>
      <c r="G400" s="191">
        <v>90</v>
      </c>
      <c r="H400" s="189" t="s">
        <v>482</v>
      </c>
      <c r="I400" s="193" t="s">
        <v>483</v>
      </c>
      <c r="J400" s="82" t="s">
        <v>305</v>
      </c>
      <c r="K400" s="83" t="s">
        <v>184</v>
      </c>
      <c r="O400" s="84"/>
      <c r="P400" s="84"/>
      <c r="Q400" s="84"/>
      <c r="R400" s="84"/>
      <c r="S400" s="84"/>
      <c r="T400" s="84"/>
      <c r="U400" s="84"/>
      <c r="V400" s="84"/>
      <c r="W400" s="84"/>
      <c r="X400" s="84"/>
      <c r="Y400" s="84"/>
      <c r="Z400" s="84"/>
    </row>
    <row r="401" spans="1:26" ht="15.75" customHeight="1" x14ac:dyDescent="0.25">
      <c r="A401" s="85" t="s">
        <v>1229</v>
      </c>
      <c r="B401" s="189" t="s">
        <v>335</v>
      </c>
      <c r="C401" s="9" t="s">
        <v>314</v>
      </c>
      <c r="D401" s="190">
        <v>10</v>
      </c>
      <c r="E401" s="191">
        <v>100</v>
      </c>
      <c r="F401" s="192">
        <v>6</v>
      </c>
      <c r="G401" s="191">
        <v>100</v>
      </c>
      <c r="H401" s="189" t="s">
        <v>1230</v>
      </c>
      <c r="I401" s="193" t="s">
        <v>1231</v>
      </c>
      <c r="J401" s="82" t="s">
        <v>305</v>
      </c>
      <c r="K401" s="83" t="s">
        <v>184</v>
      </c>
      <c r="O401" s="84"/>
      <c r="P401" s="84"/>
      <c r="Q401" s="84"/>
      <c r="R401" s="84"/>
      <c r="S401" s="84"/>
      <c r="T401" s="84"/>
      <c r="U401" s="84"/>
      <c r="V401" s="84"/>
      <c r="W401" s="84"/>
      <c r="X401" s="84"/>
      <c r="Y401" s="84"/>
      <c r="Z401" s="84"/>
    </row>
    <row r="402" spans="1:26" ht="15.75" customHeight="1" x14ac:dyDescent="0.25">
      <c r="A402" s="85" t="s">
        <v>1232</v>
      </c>
      <c r="B402" s="189" t="s">
        <v>335</v>
      </c>
      <c r="C402" s="9" t="s">
        <v>314</v>
      </c>
      <c r="D402" s="190">
        <v>8</v>
      </c>
      <c r="E402" s="191">
        <v>80</v>
      </c>
      <c r="F402" s="192">
        <v>8</v>
      </c>
      <c r="G402" s="191">
        <v>90</v>
      </c>
      <c r="H402" s="189" t="s">
        <v>353</v>
      </c>
      <c r="I402" s="193" t="s">
        <v>354</v>
      </c>
      <c r="J402" s="82">
        <v>10</v>
      </c>
      <c r="K402" s="83">
        <v>19</v>
      </c>
      <c r="O402" s="84"/>
      <c r="P402" s="84"/>
      <c r="Q402" s="84"/>
      <c r="R402" s="84"/>
      <c r="S402" s="84"/>
      <c r="T402" s="84"/>
      <c r="U402" s="84"/>
      <c r="V402" s="84"/>
      <c r="W402" s="84"/>
      <c r="X402" s="84"/>
      <c r="Y402" s="84"/>
      <c r="Z402" s="84"/>
    </row>
    <row r="403" spans="1:26" ht="15.75" customHeight="1" x14ac:dyDescent="0.25">
      <c r="A403" s="85" t="s">
        <v>1233</v>
      </c>
      <c r="B403" s="189" t="s">
        <v>335</v>
      </c>
      <c r="C403" s="9" t="s">
        <v>303</v>
      </c>
      <c r="D403" s="190">
        <v>9</v>
      </c>
      <c r="E403" s="191">
        <v>90</v>
      </c>
      <c r="F403" s="192">
        <v>6</v>
      </c>
      <c r="G403" s="191">
        <v>100</v>
      </c>
      <c r="H403" s="189"/>
      <c r="I403" s="193" t="s">
        <v>184</v>
      </c>
      <c r="J403" s="82" t="s">
        <v>305</v>
      </c>
      <c r="K403" s="83" t="s">
        <v>184</v>
      </c>
      <c r="O403" s="84"/>
      <c r="P403" s="84"/>
      <c r="Q403" s="84"/>
      <c r="R403" s="84"/>
      <c r="S403" s="84"/>
      <c r="T403" s="84"/>
      <c r="U403" s="84"/>
      <c r="V403" s="84"/>
      <c r="W403" s="84"/>
      <c r="X403" s="84"/>
      <c r="Y403" s="84"/>
      <c r="Z403" s="84"/>
    </row>
    <row r="404" spans="1:26" ht="15.75" customHeight="1" x14ac:dyDescent="0.25">
      <c r="A404" s="85" t="s">
        <v>1234</v>
      </c>
      <c r="B404" s="189" t="s">
        <v>403</v>
      </c>
      <c r="C404" s="9" t="s">
        <v>314</v>
      </c>
      <c r="D404" s="190">
        <v>10</v>
      </c>
      <c r="E404" s="191">
        <v>100</v>
      </c>
      <c r="F404" s="192">
        <v>24.4</v>
      </c>
      <c r="G404" s="191">
        <v>8</v>
      </c>
      <c r="H404" s="189" t="s">
        <v>1235</v>
      </c>
      <c r="I404" s="193" t="s">
        <v>1236</v>
      </c>
      <c r="J404" s="82">
        <v>100</v>
      </c>
      <c r="K404" s="83">
        <v>1</v>
      </c>
      <c r="O404" s="84"/>
      <c r="P404" s="84"/>
      <c r="Q404" s="84"/>
      <c r="R404" s="84"/>
      <c r="S404" s="84"/>
      <c r="T404" s="84"/>
      <c r="U404" s="84"/>
      <c r="V404" s="84"/>
      <c r="W404" s="84"/>
      <c r="X404" s="84"/>
      <c r="Y404" s="84"/>
      <c r="Z404" s="84"/>
    </row>
    <row r="405" spans="1:26" ht="15.75" customHeight="1" x14ac:dyDescent="0.25">
      <c r="A405" s="85" t="s">
        <v>1237</v>
      </c>
      <c r="B405" s="189" t="s">
        <v>348</v>
      </c>
      <c r="C405" s="9" t="s">
        <v>303</v>
      </c>
      <c r="D405" s="190">
        <v>8</v>
      </c>
      <c r="E405" s="191">
        <v>80</v>
      </c>
      <c r="F405" s="192">
        <v>24.4</v>
      </c>
      <c r="G405" s="191">
        <v>8</v>
      </c>
      <c r="H405" s="189" t="s">
        <v>1230</v>
      </c>
      <c r="I405" s="193" t="s">
        <v>1230</v>
      </c>
      <c r="J405" s="82" t="s">
        <v>305</v>
      </c>
      <c r="K405" s="83" t="s">
        <v>184</v>
      </c>
      <c r="O405" s="84"/>
      <c r="P405" s="84"/>
      <c r="Q405" s="84"/>
      <c r="R405" s="84"/>
      <c r="S405" s="84"/>
      <c r="T405" s="84"/>
      <c r="U405" s="84"/>
      <c r="V405" s="84"/>
      <c r="W405" s="84"/>
      <c r="X405" s="84"/>
      <c r="Y405" s="84"/>
      <c r="Z405" s="84"/>
    </row>
    <row r="406" spans="1:26" ht="15.75" customHeight="1" x14ac:dyDescent="0.25">
      <c r="A406" s="85" t="s">
        <v>1238</v>
      </c>
      <c r="B406" s="189" t="s">
        <v>348</v>
      </c>
      <c r="C406" s="9" t="s">
        <v>322</v>
      </c>
      <c r="D406" s="190" t="s">
        <v>304</v>
      </c>
      <c r="E406" s="191" t="s">
        <v>305</v>
      </c>
      <c r="F406" s="192">
        <v>14</v>
      </c>
      <c r="G406" s="191">
        <v>60</v>
      </c>
      <c r="H406" s="189" t="s">
        <v>1117</v>
      </c>
      <c r="I406" s="193" t="s">
        <v>1118</v>
      </c>
      <c r="J406" s="82" t="s">
        <v>305</v>
      </c>
      <c r="K406" s="83" t="s">
        <v>184</v>
      </c>
      <c r="O406" s="84"/>
      <c r="P406" s="84"/>
      <c r="Q406" s="84"/>
      <c r="R406" s="84"/>
      <c r="S406" s="84"/>
      <c r="T406" s="84"/>
      <c r="U406" s="84"/>
      <c r="V406" s="84"/>
      <c r="W406" s="84"/>
      <c r="X406" s="84"/>
      <c r="Y406" s="84"/>
      <c r="Z406" s="84"/>
    </row>
    <row r="407" spans="1:26" ht="15.75" customHeight="1" x14ac:dyDescent="0.25">
      <c r="A407" s="85" t="s">
        <v>1239</v>
      </c>
      <c r="B407" s="189" t="s">
        <v>419</v>
      </c>
      <c r="C407" s="9" t="s">
        <v>314</v>
      </c>
      <c r="D407" s="190">
        <v>3</v>
      </c>
      <c r="E407" s="191">
        <v>30</v>
      </c>
      <c r="F407" s="192">
        <v>8</v>
      </c>
      <c r="G407" s="191">
        <v>90</v>
      </c>
      <c r="H407" s="189" t="s">
        <v>1240</v>
      </c>
      <c r="I407" s="193" t="s">
        <v>1241</v>
      </c>
      <c r="J407" s="82" t="s">
        <v>305</v>
      </c>
      <c r="K407" s="83" t="s">
        <v>184</v>
      </c>
      <c r="O407" s="84"/>
      <c r="P407" s="84"/>
      <c r="Q407" s="84"/>
      <c r="R407" s="84"/>
      <c r="S407" s="84"/>
      <c r="T407" s="84"/>
      <c r="U407" s="84"/>
      <c r="V407" s="84"/>
      <c r="W407" s="84"/>
      <c r="X407" s="84"/>
      <c r="Y407" s="84"/>
      <c r="Z407" s="84"/>
    </row>
    <row r="408" spans="1:26" ht="15.75" customHeight="1" x14ac:dyDescent="0.25">
      <c r="A408" s="85" t="s">
        <v>1242</v>
      </c>
      <c r="B408" s="189" t="s">
        <v>419</v>
      </c>
      <c r="C408" s="9" t="s">
        <v>303</v>
      </c>
      <c r="D408" s="190">
        <v>9</v>
      </c>
      <c r="E408" s="191">
        <v>90</v>
      </c>
      <c r="F408" s="192">
        <v>6</v>
      </c>
      <c r="G408" s="191">
        <v>100</v>
      </c>
      <c r="H408" s="189" t="s">
        <v>492</v>
      </c>
      <c r="I408" s="193" t="s">
        <v>493</v>
      </c>
      <c r="J408" s="82">
        <v>10</v>
      </c>
      <c r="K408" s="83">
        <v>19</v>
      </c>
      <c r="O408" s="84"/>
      <c r="P408" s="84"/>
      <c r="Q408" s="84"/>
      <c r="R408" s="84"/>
      <c r="S408" s="84"/>
      <c r="T408" s="84"/>
      <c r="U408" s="84"/>
      <c r="V408" s="84"/>
      <c r="W408" s="84"/>
      <c r="X408" s="84"/>
      <c r="Y408" s="84"/>
      <c r="Z408" s="84"/>
    </row>
    <row r="409" spans="1:26" ht="15.75" customHeight="1" x14ac:dyDescent="0.25">
      <c r="A409" s="85" t="s">
        <v>1243</v>
      </c>
      <c r="B409" s="189" t="s">
        <v>419</v>
      </c>
      <c r="C409" s="9" t="s">
        <v>303</v>
      </c>
      <c r="D409" s="190">
        <v>14</v>
      </c>
      <c r="E409" s="191">
        <v>140</v>
      </c>
      <c r="F409" s="192">
        <v>8</v>
      </c>
      <c r="G409" s="191">
        <v>90</v>
      </c>
      <c r="H409" s="189" t="s">
        <v>1244</v>
      </c>
      <c r="I409" s="193" t="s">
        <v>1245</v>
      </c>
      <c r="J409" s="82">
        <v>30</v>
      </c>
      <c r="K409" s="83">
        <v>15</v>
      </c>
      <c r="O409" s="84"/>
      <c r="P409" s="84"/>
      <c r="Q409" s="84"/>
      <c r="R409" s="84"/>
      <c r="S409" s="84"/>
      <c r="T409" s="84"/>
      <c r="U409" s="84"/>
      <c r="V409" s="84"/>
      <c r="W409" s="84"/>
      <c r="X409" s="84"/>
      <c r="Y409" s="84"/>
      <c r="Z409" s="84"/>
    </row>
    <row r="410" spans="1:26" ht="15.75" customHeight="1" x14ac:dyDescent="0.25">
      <c r="A410" s="85" t="s">
        <v>1246</v>
      </c>
      <c r="B410" s="189" t="s">
        <v>419</v>
      </c>
      <c r="C410" s="9" t="s">
        <v>314</v>
      </c>
      <c r="D410" s="190">
        <v>7</v>
      </c>
      <c r="E410" s="191">
        <v>65</v>
      </c>
      <c r="F410" s="192">
        <v>7</v>
      </c>
      <c r="G410" s="191">
        <v>95</v>
      </c>
      <c r="H410" s="189" t="s">
        <v>1247</v>
      </c>
      <c r="I410" s="193" t="s">
        <v>1248</v>
      </c>
      <c r="J410" s="82">
        <v>10</v>
      </c>
      <c r="K410" s="83">
        <v>19</v>
      </c>
      <c r="O410" s="84"/>
      <c r="P410" s="84"/>
      <c r="Q410" s="84"/>
      <c r="R410" s="84"/>
      <c r="S410" s="84"/>
      <c r="T410" s="84"/>
      <c r="U410" s="84"/>
      <c r="V410" s="84"/>
      <c r="W410" s="84"/>
      <c r="X410" s="84"/>
      <c r="Y410" s="84"/>
      <c r="Z410" s="84"/>
    </row>
    <row r="411" spans="1:26" ht="15.75" customHeight="1" x14ac:dyDescent="0.25">
      <c r="A411" s="85" t="s">
        <v>1249</v>
      </c>
      <c r="B411" s="189" t="s">
        <v>419</v>
      </c>
      <c r="C411" s="9" t="s">
        <v>314</v>
      </c>
      <c r="D411" s="190">
        <v>10</v>
      </c>
      <c r="E411" s="191">
        <v>100</v>
      </c>
      <c r="F411" s="192">
        <v>8</v>
      </c>
      <c r="G411" s="191">
        <v>90</v>
      </c>
      <c r="H411" s="189" t="s">
        <v>1250</v>
      </c>
      <c r="I411" s="193" t="s">
        <v>1251</v>
      </c>
      <c r="J411" s="82">
        <v>100</v>
      </c>
      <c r="K411" s="83">
        <v>1</v>
      </c>
      <c r="O411" s="84"/>
      <c r="P411" s="84"/>
      <c r="Q411" s="84"/>
      <c r="R411" s="84"/>
      <c r="S411" s="84"/>
      <c r="T411" s="84"/>
      <c r="U411" s="84"/>
      <c r="V411" s="84"/>
      <c r="W411" s="84"/>
      <c r="X411" s="84"/>
      <c r="Y411" s="84"/>
      <c r="Z411" s="84"/>
    </row>
    <row r="412" spans="1:26" ht="15.75" customHeight="1" x14ac:dyDescent="0.25">
      <c r="A412" s="85" t="s">
        <v>1252</v>
      </c>
      <c r="B412" s="189" t="s">
        <v>419</v>
      </c>
      <c r="C412" s="9" t="s">
        <v>314</v>
      </c>
      <c r="D412" s="190">
        <v>8</v>
      </c>
      <c r="E412" s="191">
        <v>75</v>
      </c>
      <c r="F412" s="192">
        <v>6</v>
      </c>
      <c r="G412" s="191">
        <v>100</v>
      </c>
      <c r="H412" s="189" t="s">
        <v>492</v>
      </c>
      <c r="I412" s="193" t="s">
        <v>493</v>
      </c>
      <c r="J412" s="82">
        <v>10</v>
      </c>
      <c r="K412" s="83">
        <v>19</v>
      </c>
      <c r="O412" s="84"/>
      <c r="P412" s="84"/>
      <c r="Q412" s="84"/>
      <c r="R412" s="84"/>
      <c r="S412" s="84"/>
      <c r="T412" s="84"/>
      <c r="U412" s="84"/>
      <c r="V412" s="84"/>
      <c r="W412" s="84"/>
      <c r="X412" s="84"/>
      <c r="Y412" s="84"/>
      <c r="Z412" s="84"/>
    </row>
    <row r="413" spans="1:26" ht="15.75" customHeight="1" x14ac:dyDescent="0.25">
      <c r="A413" s="85" t="s">
        <v>1253</v>
      </c>
      <c r="B413" s="189" t="s">
        <v>419</v>
      </c>
      <c r="C413" s="9" t="s">
        <v>314</v>
      </c>
      <c r="D413" s="190">
        <v>4</v>
      </c>
      <c r="E413" s="191">
        <v>40</v>
      </c>
      <c r="F413" s="192">
        <v>6</v>
      </c>
      <c r="G413" s="191">
        <v>100</v>
      </c>
      <c r="H413" s="189" t="s">
        <v>315</v>
      </c>
      <c r="I413" s="193" t="s">
        <v>316</v>
      </c>
      <c r="J413" s="82" t="s">
        <v>305</v>
      </c>
      <c r="K413" s="83" t="s">
        <v>184</v>
      </c>
      <c r="O413" s="84"/>
      <c r="P413" s="84"/>
      <c r="Q413" s="84"/>
      <c r="R413" s="84"/>
      <c r="S413" s="84"/>
      <c r="T413" s="84"/>
      <c r="U413" s="84"/>
      <c r="V413" s="84"/>
      <c r="W413" s="84"/>
      <c r="X413" s="84"/>
      <c r="Y413" s="84"/>
      <c r="Z413" s="84"/>
    </row>
    <row r="414" spans="1:26" ht="15.75" customHeight="1" x14ac:dyDescent="0.25">
      <c r="A414" s="85" t="s">
        <v>1254</v>
      </c>
      <c r="B414" s="189" t="s">
        <v>419</v>
      </c>
      <c r="C414" s="9" t="s">
        <v>314</v>
      </c>
      <c r="D414" s="190">
        <v>8</v>
      </c>
      <c r="E414" s="191">
        <v>80</v>
      </c>
      <c r="F414" s="192">
        <v>6</v>
      </c>
      <c r="G414" s="191">
        <v>100</v>
      </c>
      <c r="H414" s="189" t="s">
        <v>1255</v>
      </c>
      <c r="I414" s="193" t="s">
        <v>1256</v>
      </c>
      <c r="J414" s="82" t="s">
        <v>305</v>
      </c>
      <c r="K414" s="83" t="s">
        <v>184</v>
      </c>
      <c r="O414" s="84"/>
      <c r="P414" s="84"/>
      <c r="Q414" s="84"/>
      <c r="R414" s="84"/>
      <c r="S414" s="84"/>
      <c r="T414" s="84"/>
      <c r="U414" s="84"/>
      <c r="V414" s="84"/>
      <c r="W414" s="84"/>
      <c r="X414" s="84"/>
      <c r="Y414" s="84"/>
      <c r="Z414" s="84"/>
    </row>
    <row r="415" spans="1:26" ht="15.75" customHeight="1" x14ac:dyDescent="0.25">
      <c r="A415" s="85" t="s">
        <v>1257</v>
      </c>
      <c r="B415" s="189" t="s">
        <v>419</v>
      </c>
      <c r="C415" s="9" t="s">
        <v>314</v>
      </c>
      <c r="D415" s="190">
        <v>9</v>
      </c>
      <c r="E415" s="191">
        <v>85</v>
      </c>
      <c r="F415" s="192">
        <v>8</v>
      </c>
      <c r="G415" s="191">
        <v>90</v>
      </c>
      <c r="H415" s="189" t="s">
        <v>353</v>
      </c>
      <c r="I415" s="193" t="s">
        <v>354</v>
      </c>
      <c r="J415" s="82">
        <v>30</v>
      </c>
      <c r="K415" s="83">
        <v>15</v>
      </c>
      <c r="O415" s="84"/>
      <c r="P415" s="84"/>
      <c r="Q415" s="84"/>
      <c r="R415" s="84"/>
      <c r="S415" s="84"/>
      <c r="T415" s="84"/>
      <c r="U415" s="84"/>
      <c r="V415" s="84"/>
      <c r="W415" s="84"/>
      <c r="X415" s="84"/>
      <c r="Y415" s="84"/>
      <c r="Z415" s="84"/>
    </row>
    <row r="416" spans="1:26" ht="15.75" customHeight="1" x14ac:dyDescent="0.25">
      <c r="A416" s="85" t="s">
        <v>1258</v>
      </c>
      <c r="B416" s="189" t="s">
        <v>419</v>
      </c>
      <c r="C416" s="9" t="s">
        <v>314</v>
      </c>
      <c r="D416" s="190">
        <v>3</v>
      </c>
      <c r="E416" s="191">
        <v>25</v>
      </c>
      <c r="F416" s="192">
        <v>6</v>
      </c>
      <c r="G416" s="191">
        <v>100</v>
      </c>
      <c r="H416" s="189" t="s">
        <v>387</v>
      </c>
      <c r="I416" s="193" t="s">
        <v>388</v>
      </c>
      <c r="J416" s="82" t="s">
        <v>305</v>
      </c>
      <c r="K416" s="83" t="s">
        <v>184</v>
      </c>
      <c r="O416" s="84"/>
      <c r="P416" s="84"/>
      <c r="Q416" s="84"/>
      <c r="R416" s="84"/>
      <c r="S416" s="84"/>
      <c r="T416" s="84"/>
      <c r="U416" s="84"/>
      <c r="V416" s="84"/>
      <c r="W416" s="84"/>
      <c r="X416" s="84"/>
      <c r="Y416" s="84"/>
      <c r="Z416" s="84"/>
    </row>
    <row r="417" spans="1:26" ht="15.75" customHeight="1" x14ac:dyDescent="0.25">
      <c r="A417" s="85" t="s">
        <v>1259</v>
      </c>
      <c r="B417" s="189" t="s">
        <v>419</v>
      </c>
      <c r="C417" s="9" t="s">
        <v>303</v>
      </c>
      <c r="D417" s="190">
        <v>6</v>
      </c>
      <c r="E417" s="191">
        <v>55</v>
      </c>
      <c r="F417" s="192">
        <v>7</v>
      </c>
      <c r="G417" s="191">
        <v>95</v>
      </c>
      <c r="H417" s="189" t="s">
        <v>556</v>
      </c>
      <c r="I417" s="193" t="s">
        <v>557</v>
      </c>
      <c r="J417" s="82">
        <v>100</v>
      </c>
      <c r="K417" s="83">
        <v>1</v>
      </c>
      <c r="O417" s="84"/>
      <c r="P417" s="84"/>
      <c r="Q417" s="84"/>
      <c r="R417" s="84"/>
      <c r="S417" s="84"/>
      <c r="T417" s="84"/>
      <c r="U417" s="84"/>
      <c r="V417" s="84"/>
      <c r="W417" s="84"/>
      <c r="X417" s="84"/>
      <c r="Y417" s="84"/>
      <c r="Z417" s="84"/>
    </row>
    <row r="418" spans="1:26" ht="15.75" customHeight="1" x14ac:dyDescent="0.25">
      <c r="A418" s="85" t="s">
        <v>1260</v>
      </c>
      <c r="B418" s="189" t="s">
        <v>348</v>
      </c>
      <c r="C418" s="9" t="s">
        <v>322</v>
      </c>
      <c r="D418" s="190" t="s">
        <v>304</v>
      </c>
      <c r="E418" s="191" t="s">
        <v>305</v>
      </c>
      <c r="F418" s="192" t="s">
        <v>304</v>
      </c>
      <c r="G418" s="191" t="s">
        <v>305</v>
      </c>
      <c r="H418" s="189" t="s">
        <v>1261</v>
      </c>
      <c r="I418" s="193" t="s">
        <v>1262</v>
      </c>
      <c r="J418" s="82" t="s">
        <v>305</v>
      </c>
      <c r="K418" s="83" t="s">
        <v>184</v>
      </c>
      <c r="O418" s="84"/>
      <c r="P418" s="84"/>
      <c r="Q418" s="84"/>
      <c r="R418" s="84"/>
      <c r="S418" s="84"/>
      <c r="T418" s="84"/>
      <c r="U418" s="84"/>
      <c r="V418" s="84"/>
      <c r="W418" s="84"/>
      <c r="X418" s="84"/>
      <c r="Y418" s="84"/>
      <c r="Z418" s="84"/>
    </row>
    <row r="419" spans="1:26" ht="15.75" customHeight="1" x14ac:dyDescent="0.25">
      <c r="A419" s="85" t="s">
        <v>1263</v>
      </c>
      <c r="B419" s="189" t="s">
        <v>390</v>
      </c>
      <c r="C419" s="9" t="s">
        <v>303</v>
      </c>
      <c r="D419" s="190">
        <v>6</v>
      </c>
      <c r="E419" s="191">
        <v>60</v>
      </c>
      <c r="F419" s="192">
        <v>6</v>
      </c>
      <c r="G419" s="191">
        <v>100</v>
      </c>
      <c r="H419" s="189" t="s">
        <v>1264</v>
      </c>
      <c r="I419" s="193" t="s">
        <v>1265</v>
      </c>
      <c r="J419" s="82" t="s">
        <v>305</v>
      </c>
      <c r="K419" s="83" t="s">
        <v>184</v>
      </c>
      <c r="O419" s="84"/>
      <c r="P419" s="84"/>
      <c r="Q419" s="84"/>
      <c r="R419" s="84"/>
      <c r="S419" s="84"/>
      <c r="T419" s="84"/>
      <c r="U419" s="84"/>
      <c r="V419" s="84"/>
      <c r="W419" s="84"/>
      <c r="X419" s="84"/>
      <c r="Y419" s="84"/>
      <c r="Z419" s="84"/>
    </row>
    <row r="420" spans="1:26" ht="15.75" customHeight="1" x14ac:dyDescent="0.25">
      <c r="A420" s="85" t="s">
        <v>1266</v>
      </c>
      <c r="B420" s="189" t="s">
        <v>407</v>
      </c>
      <c r="C420" s="9" t="s">
        <v>303</v>
      </c>
      <c r="D420" s="190">
        <v>6</v>
      </c>
      <c r="E420" s="191">
        <v>60</v>
      </c>
      <c r="F420" s="192">
        <v>6</v>
      </c>
      <c r="G420" s="191">
        <v>100</v>
      </c>
      <c r="H420" s="189" t="s">
        <v>443</v>
      </c>
      <c r="I420" s="193" t="s">
        <v>444</v>
      </c>
      <c r="J420" s="82" t="s">
        <v>305</v>
      </c>
      <c r="K420" s="83" t="s">
        <v>184</v>
      </c>
      <c r="O420" s="84"/>
      <c r="P420" s="84"/>
      <c r="Q420" s="84"/>
      <c r="R420" s="84"/>
      <c r="S420" s="84"/>
      <c r="T420" s="84"/>
      <c r="U420" s="84"/>
      <c r="V420" s="84"/>
      <c r="W420" s="84"/>
      <c r="X420" s="84"/>
      <c r="Y420" s="84"/>
      <c r="Z420" s="84"/>
    </row>
    <row r="421" spans="1:26" ht="15.75" customHeight="1" x14ac:dyDescent="0.25">
      <c r="A421" s="85" t="s">
        <v>1267</v>
      </c>
      <c r="B421" s="189" t="s">
        <v>390</v>
      </c>
      <c r="C421" s="9" t="s">
        <v>303</v>
      </c>
      <c r="D421" s="190">
        <v>10</v>
      </c>
      <c r="E421" s="191">
        <v>100</v>
      </c>
      <c r="F421" s="192">
        <v>16</v>
      </c>
      <c r="G421" s="191">
        <v>50</v>
      </c>
      <c r="H421" s="189" t="s">
        <v>1268</v>
      </c>
      <c r="I421" s="193" t="s">
        <v>1269</v>
      </c>
      <c r="J421" s="82">
        <v>100</v>
      </c>
      <c r="K421" s="83">
        <v>1</v>
      </c>
      <c r="O421" s="84"/>
      <c r="P421" s="84"/>
      <c r="Q421" s="84"/>
      <c r="R421" s="84"/>
      <c r="S421" s="84"/>
      <c r="T421" s="84"/>
      <c r="U421" s="84"/>
      <c r="V421" s="84"/>
      <c r="W421" s="84"/>
      <c r="X421" s="84"/>
      <c r="Y421" s="84"/>
      <c r="Z421" s="84"/>
    </row>
    <row r="422" spans="1:26" ht="15.75" customHeight="1" x14ac:dyDescent="0.25">
      <c r="A422" s="85" t="s">
        <v>1270</v>
      </c>
      <c r="B422" s="189" t="s">
        <v>390</v>
      </c>
      <c r="C422" s="9" t="s">
        <v>305</v>
      </c>
      <c r="D422" s="190" t="s">
        <v>304</v>
      </c>
      <c r="E422" s="191" t="s">
        <v>305</v>
      </c>
      <c r="F422" s="192" t="s">
        <v>304</v>
      </c>
      <c r="G422" s="191" t="s">
        <v>305</v>
      </c>
      <c r="H422" s="189" t="s">
        <v>1271</v>
      </c>
      <c r="I422" s="193" t="s">
        <v>1271</v>
      </c>
      <c r="J422" s="82" t="s">
        <v>305</v>
      </c>
      <c r="K422" s="83" t="s">
        <v>184</v>
      </c>
      <c r="O422" s="84"/>
      <c r="P422" s="84"/>
      <c r="Q422" s="84"/>
      <c r="R422" s="84"/>
      <c r="S422" s="84"/>
      <c r="T422" s="84"/>
      <c r="U422" s="84"/>
      <c r="V422" s="84"/>
      <c r="W422" s="84"/>
      <c r="X422" s="84"/>
      <c r="Y422" s="84"/>
      <c r="Z422" s="84"/>
    </row>
    <row r="423" spans="1:26" ht="15.75" customHeight="1" x14ac:dyDescent="0.25">
      <c r="A423" s="85" t="s">
        <v>1272</v>
      </c>
      <c r="B423" s="189" t="s">
        <v>411</v>
      </c>
      <c r="C423" s="9" t="s">
        <v>303</v>
      </c>
      <c r="D423" s="190">
        <v>2</v>
      </c>
      <c r="E423" s="191">
        <v>20</v>
      </c>
      <c r="F423" s="192">
        <v>6</v>
      </c>
      <c r="G423" s="191">
        <v>100</v>
      </c>
      <c r="H423" s="189" t="s">
        <v>474</v>
      </c>
      <c r="I423" s="193" t="s">
        <v>475</v>
      </c>
      <c r="J423" s="82">
        <v>100</v>
      </c>
      <c r="K423" s="83">
        <v>1</v>
      </c>
      <c r="O423" s="84"/>
      <c r="P423" s="84"/>
      <c r="Q423" s="84"/>
      <c r="R423" s="84"/>
      <c r="S423" s="84"/>
      <c r="T423" s="84"/>
      <c r="U423" s="84"/>
      <c r="V423" s="84"/>
      <c r="W423" s="84"/>
      <c r="X423" s="84"/>
      <c r="Y423" s="84"/>
      <c r="Z423" s="84"/>
    </row>
    <row r="424" spans="1:26" ht="15.75" customHeight="1" x14ac:dyDescent="0.25">
      <c r="A424" s="85" t="s">
        <v>1273</v>
      </c>
      <c r="B424" s="189" t="s">
        <v>309</v>
      </c>
      <c r="C424" s="9" t="s">
        <v>322</v>
      </c>
      <c r="D424" s="190" t="s">
        <v>304</v>
      </c>
      <c r="E424" s="191" t="s">
        <v>305</v>
      </c>
      <c r="F424" s="192" t="s">
        <v>304</v>
      </c>
      <c r="G424" s="191" t="s">
        <v>305</v>
      </c>
      <c r="H424" s="189" t="s">
        <v>1274</v>
      </c>
      <c r="I424" s="193" t="s">
        <v>1274</v>
      </c>
      <c r="J424" s="82" t="s">
        <v>305</v>
      </c>
      <c r="K424" s="83" t="s">
        <v>184</v>
      </c>
      <c r="O424" s="84"/>
      <c r="P424" s="84"/>
      <c r="Q424" s="84"/>
      <c r="R424" s="84"/>
      <c r="S424" s="84"/>
      <c r="T424" s="84"/>
      <c r="U424" s="84"/>
      <c r="V424" s="84"/>
      <c r="W424" s="84"/>
      <c r="X424" s="84"/>
      <c r="Y424" s="84"/>
      <c r="Z424" s="84"/>
    </row>
    <row r="425" spans="1:26" ht="15.75" customHeight="1" x14ac:dyDescent="0.25">
      <c r="A425" s="85" t="s">
        <v>1275</v>
      </c>
      <c r="B425" s="189" t="s">
        <v>348</v>
      </c>
      <c r="C425" s="9" t="s">
        <v>322</v>
      </c>
      <c r="D425" s="190" t="s">
        <v>304</v>
      </c>
      <c r="E425" s="191" t="s">
        <v>305</v>
      </c>
      <c r="F425" s="192" t="s">
        <v>304</v>
      </c>
      <c r="G425" s="191" t="s">
        <v>305</v>
      </c>
      <c r="H425" s="189" t="s">
        <v>1276</v>
      </c>
      <c r="I425" s="193" t="s">
        <v>1277</v>
      </c>
      <c r="J425" s="82" t="s">
        <v>305</v>
      </c>
      <c r="K425" s="83" t="s">
        <v>184</v>
      </c>
      <c r="O425" s="84"/>
      <c r="P425" s="84"/>
      <c r="Q425" s="84"/>
      <c r="R425" s="84"/>
      <c r="S425" s="84"/>
      <c r="T425" s="84"/>
      <c r="U425" s="84"/>
      <c r="V425" s="84"/>
      <c r="W425" s="84"/>
      <c r="X425" s="84"/>
      <c r="Y425" s="84"/>
      <c r="Z425" s="84"/>
    </row>
    <row r="426" spans="1:26" ht="15.75" customHeight="1" x14ac:dyDescent="0.25">
      <c r="A426" s="85" t="s">
        <v>1278</v>
      </c>
      <c r="B426" s="189" t="s">
        <v>302</v>
      </c>
      <c r="C426" s="9" t="s">
        <v>322</v>
      </c>
      <c r="D426" s="190" t="s">
        <v>304</v>
      </c>
      <c r="E426" s="191" t="s">
        <v>305</v>
      </c>
      <c r="F426" s="192" t="s">
        <v>304</v>
      </c>
      <c r="G426" s="191" t="s">
        <v>305</v>
      </c>
      <c r="H426" s="189" t="s">
        <v>1279</v>
      </c>
      <c r="I426" s="193" t="s">
        <v>1280</v>
      </c>
      <c r="J426" s="82" t="s">
        <v>305</v>
      </c>
      <c r="K426" s="83" t="s">
        <v>184</v>
      </c>
      <c r="O426" s="84"/>
      <c r="P426" s="84"/>
      <c r="Q426" s="84"/>
      <c r="R426" s="84"/>
      <c r="S426" s="84"/>
      <c r="T426" s="84"/>
      <c r="U426" s="84"/>
      <c r="V426" s="84"/>
      <c r="W426" s="84"/>
      <c r="X426" s="84"/>
      <c r="Y426" s="84"/>
      <c r="Z426" s="84"/>
    </row>
    <row r="427" spans="1:26" ht="15.75" customHeight="1" x14ac:dyDescent="0.25">
      <c r="A427" s="85" t="s">
        <v>234</v>
      </c>
      <c r="B427" s="189" t="s">
        <v>367</v>
      </c>
      <c r="C427" s="9" t="s">
        <v>322</v>
      </c>
      <c r="D427" s="190" t="s">
        <v>304</v>
      </c>
      <c r="E427" s="191" t="s">
        <v>305</v>
      </c>
      <c r="F427" s="192" t="s">
        <v>304</v>
      </c>
      <c r="G427" s="191" t="s">
        <v>305</v>
      </c>
      <c r="H427" s="189" t="s">
        <v>323</v>
      </c>
      <c r="I427" s="193" t="s">
        <v>447</v>
      </c>
      <c r="J427" s="82" t="s">
        <v>305</v>
      </c>
      <c r="K427" s="83" t="s">
        <v>184</v>
      </c>
      <c r="O427" s="84"/>
      <c r="P427" s="84"/>
      <c r="Q427" s="84"/>
      <c r="R427" s="84"/>
      <c r="S427" s="84"/>
      <c r="T427" s="84"/>
      <c r="U427" s="84"/>
      <c r="V427" s="84"/>
      <c r="W427" s="84"/>
      <c r="X427" s="84"/>
      <c r="Y427" s="84"/>
      <c r="Z427" s="84"/>
    </row>
    <row r="428" spans="1:26" ht="15.75" customHeight="1" x14ac:dyDescent="0.25">
      <c r="A428" s="85" t="s">
        <v>1281</v>
      </c>
      <c r="B428" s="189" t="s">
        <v>367</v>
      </c>
      <c r="C428" s="9" t="s">
        <v>314</v>
      </c>
      <c r="D428" s="190">
        <v>8</v>
      </c>
      <c r="E428" s="191">
        <v>80</v>
      </c>
      <c r="F428" s="192">
        <v>6</v>
      </c>
      <c r="G428" s="191">
        <v>100</v>
      </c>
      <c r="H428" s="189" t="s">
        <v>353</v>
      </c>
      <c r="I428" s="193" t="s">
        <v>354</v>
      </c>
      <c r="J428" s="82">
        <v>30</v>
      </c>
      <c r="K428" s="83">
        <v>15</v>
      </c>
      <c r="O428" s="84"/>
      <c r="P428" s="84"/>
      <c r="Q428" s="84"/>
      <c r="R428" s="84"/>
      <c r="S428" s="84"/>
      <c r="T428" s="84"/>
      <c r="U428" s="84"/>
      <c r="V428" s="84"/>
      <c r="W428" s="84"/>
      <c r="X428" s="84"/>
      <c r="Y428" s="84"/>
      <c r="Z428" s="84"/>
    </row>
    <row r="429" spans="1:26" ht="15.75" customHeight="1" x14ac:dyDescent="0.25">
      <c r="A429" s="85" t="s">
        <v>1282</v>
      </c>
      <c r="B429" s="189" t="s">
        <v>367</v>
      </c>
      <c r="C429" s="9" t="s">
        <v>314</v>
      </c>
      <c r="D429" s="190">
        <v>10</v>
      </c>
      <c r="E429" s="191">
        <v>100</v>
      </c>
      <c r="F429" s="192">
        <v>11</v>
      </c>
      <c r="G429" s="191">
        <v>75</v>
      </c>
      <c r="H429" s="189" t="s">
        <v>689</v>
      </c>
      <c r="I429" s="193" t="s">
        <v>690</v>
      </c>
      <c r="J429" s="82">
        <v>30</v>
      </c>
      <c r="K429" s="83">
        <v>15</v>
      </c>
      <c r="O429" s="84"/>
      <c r="P429" s="84"/>
      <c r="Q429" s="84"/>
      <c r="R429" s="84"/>
      <c r="S429" s="84"/>
      <c r="T429" s="84"/>
      <c r="U429" s="84"/>
      <c r="V429" s="84"/>
      <c r="W429" s="84"/>
      <c r="X429" s="84"/>
      <c r="Y429" s="84"/>
      <c r="Z429" s="84"/>
    </row>
    <row r="430" spans="1:26" ht="15.75" customHeight="1" x14ac:dyDescent="0.25">
      <c r="A430" s="85" t="s">
        <v>1283</v>
      </c>
      <c r="B430" s="189"/>
      <c r="C430" s="9" t="s">
        <v>305</v>
      </c>
      <c r="D430" s="190" t="s">
        <v>304</v>
      </c>
      <c r="E430" s="191" t="s">
        <v>305</v>
      </c>
      <c r="F430" s="192" t="s">
        <v>304</v>
      </c>
      <c r="G430" s="191" t="s">
        <v>305</v>
      </c>
      <c r="H430" s="189" t="s">
        <v>1284</v>
      </c>
      <c r="I430" s="193" t="s">
        <v>1285</v>
      </c>
      <c r="J430" s="82" t="s">
        <v>305</v>
      </c>
      <c r="K430" s="83" t="s">
        <v>184</v>
      </c>
      <c r="O430" s="84"/>
      <c r="P430" s="84"/>
      <c r="Q430" s="84"/>
      <c r="R430" s="84"/>
      <c r="S430" s="84"/>
      <c r="T430" s="84"/>
      <c r="U430" s="84"/>
      <c r="V430" s="84"/>
      <c r="W430" s="84"/>
      <c r="X430" s="84"/>
      <c r="Y430" s="84"/>
      <c r="Z430" s="84"/>
    </row>
    <row r="431" spans="1:26" ht="15.75" customHeight="1" x14ac:dyDescent="0.25">
      <c r="A431" s="85" t="s">
        <v>1286</v>
      </c>
      <c r="B431" s="189" t="s">
        <v>403</v>
      </c>
      <c r="C431" s="9" t="s">
        <v>314</v>
      </c>
      <c r="D431" s="190">
        <v>8</v>
      </c>
      <c r="E431" s="191">
        <v>80</v>
      </c>
      <c r="F431" s="192">
        <v>6</v>
      </c>
      <c r="G431" s="191">
        <v>100</v>
      </c>
      <c r="H431" s="189" t="s">
        <v>1287</v>
      </c>
      <c r="I431" s="193" t="s">
        <v>1288</v>
      </c>
      <c r="J431" s="82" t="s">
        <v>305</v>
      </c>
      <c r="K431" s="83" t="s">
        <v>184</v>
      </c>
      <c r="O431" s="84"/>
      <c r="P431" s="84"/>
      <c r="Q431" s="84"/>
      <c r="R431" s="84"/>
      <c r="S431" s="84"/>
      <c r="T431" s="84"/>
      <c r="U431" s="84"/>
      <c r="V431" s="84"/>
      <c r="W431" s="84"/>
      <c r="X431" s="84"/>
      <c r="Y431" s="84"/>
      <c r="Z431" s="84"/>
    </row>
    <row r="432" spans="1:26" ht="15.75" customHeight="1" x14ac:dyDescent="0.25">
      <c r="A432" s="85" t="s">
        <v>1289</v>
      </c>
      <c r="B432" s="189" t="s">
        <v>377</v>
      </c>
      <c r="C432" s="9" t="s">
        <v>314</v>
      </c>
      <c r="D432" s="190">
        <v>6</v>
      </c>
      <c r="E432" s="191">
        <v>60</v>
      </c>
      <c r="F432" s="192">
        <v>6</v>
      </c>
      <c r="G432" s="191">
        <v>100</v>
      </c>
      <c r="H432" s="189" t="s">
        <v>1290</v>
      </c>
      <c r="I432" s="193" t="s">
        <v>316</v>
      </c>
      <c r="J432" s="82" t="s">
        <v>305</v>
      </c>
      <c r="K432" s="83" t="s">
        <v>184</v>
      </c>
      <c r="O432" s="84"/>
      <c r="P432" s="84"/>
      <c r="Q432" s="84"/>
      <c r="R432" s="84"/>
      <c r="S432" s="84"/>
      <c r="T432" s="84"/>
      <c r="U432" s="84"/>
      <c r="V432" s="84"/>
      <c r="W432" s="84"/>
      <c r="X432" s="84"/>
      <c r="Y432" s="84"/>
      <c r="Z432" s="84"/>
    </row>
    <row r="433" spans="1:26" ht="15.75" customHeight="1" x14ac:dyDescent="0.25">
      <c r="A433" s="85" t="s">
        <v>1291</v>
      </c>
      <c r="B433" s="189" t="s">
        <v>335</v>
      </c>
      <c r="C433" s="9" t="s">
        <v>303</v>
      </c>
      <c r="D433" s="190">
        <v>10</v>
      </c>
      <c r="E433" s="191">
        <v>100</v>
      </c>
      <c r="F433" s="192">
        <v>6</v>
      </c>
      <c r="G433" s="191">
        <v>100</v>
      </c>
      <c r="H433" s="189" t="s">
        <v>1292</v>
      </c>
      <c r="I433" s="193" t="s">
        <v>1292</v>
      </c>
      <c r="J433" s="82" t="s">
        <v>305</v>
      </c>
      <c r="K433" s="83" t="s">
        <v>184</v>
      </c>
      <c r="O433" s="84"/>
      <c r="P433" s="84"/>
      <c r="Q433" s="84"/>
      <c r="R433" s="84"/>
      <c r="S433" s="84"/>
      <c r="T433" s="84"/>
      <c r="U433" s="84"/>
      <c r="V433" s="84"/>
      <c r="W433" s="84"/>
      <c r="X433" s="84"/>
      <c r="Y433" s="84"/>
      <c r="Z433" s="84"/>
    </row>
    <row r="434" spans="1:26" ht="15.75" customHeight="1" x14ac:dyDescent="0.25">
      <c r="A434" s="85" t="s">
        <v>1293</v>
      </c>
      <c r="B434" s="189" t="s">
        <v>356</v>
      </c>
      <c r="C434" s="9" t="s">
        <v>314</v>
      </c>
      <c r="D434" s="190">
        <v>10</v>
      </c>
      <c r="E434" s="191">
        <v>100</v>
      </c>
      <c r="F434" s="192">
        <v>7</v>
      </c>
      <c r="G434" s="191">
        <v>95</v>
      </c>
      <c r="H434" s="189" t="s">
        <v>1206</v>
      </c>
      <c r="I434" s="193" t="s">
        <v>1207</v>
      </c>
      <c r="J434" s="82" t="s">
        <v>305</v>
      </c>
      <c r="K434" s="83" t="s">
        <v>184</v>
      </c>
      <c r="O434" s="84"/>
      <c r="P434" s="84"/>
      <c r="Q434" s="84"/>
      <c r="R434" s="84"/>
      <c r="S434" s="84"/>
      <c r="T434" s="84"/>
      <c r="U434" s="84"/>
      <c r="V434" s="84"/>
      <c r="W434" s="84"/>
      <c r="X434" s="84"/>
      <c r="Y434" s="84"/>
      <c r="Z434" s="84"/>
    </row>
    <row r="435" spans="1:26" ht="15.75" customHeight="1" x14ac:dyDescent="0.25">
      <c r="A435" s="85" t="s">
        <v>1294</v>
      </c>
      <c r="B435" s="189" t="s">
        <v>309</v>
      </c>
      <c r="C435" s="9" t="s">
        <v>322</v>
      </c>
      <c r="D435" s="190" t="s">
        <v>304</v>
      </c>
      <c r="E435" s="191" t="s">
        <v>305</v>
      </c>
      <c r="F435" s="192" t="s">
        <v>304</v>
      </c>
      <c r="G435" s="191" t="s">
        <v>305</v>
      </c>
      <c r="H435" s="189" t="s">
        <v>1295</v>
      </c>
      <c r="I435" s="193" t="s">
        <v>1295</v>
      </c>
      <c r="J435" s="82" t="s">
        <v>305</v>
      </c>
      <c r="K435" s="83" t="s">
        <v>184</v>
      </c>
      <c r="O435" s="84"/>
      <c r="P435" s="84"/>
      <c r="Q435" s="84"/>
      <c r="R435" s="84"/>
      <c r="S435" s="84"/>
      <c r="T435" s="84"/>
      <c r="U435" s="84"/>
      <c r="V435" s="84"/>
      <c r="W435" s="84"/>
      <c r="X435" s="84"/>
      <c r="Y435" s="84"/>
      <c r="Z435" s="84"/>
    </row>
    <row r="436" spans="1:26" ht="15.75" customHeight="1" x14ac:dyDescent="0.25">
      <c r="A436" s="85" t="s">
        <v>1296</v>
      </c>
      <c r="B436" s="189" t="s">
        <v>356</v>
      </c>
      <c r="C436" s="9" t="s">
        <v>314</v>
      </c>
      <c r="D436" s="190">
        <v>5</v>
      </c>
      <c r="E436" s="191">
        <v>50</v>
      </c>
      <c r="F436" s="192">
        <v>6</v>
      </c>
      <c r="G436" s="191">
        <v>100</v>
      </c>
      <c r="H436" s="189" t="s">
        <v>342</v>
      </c>
      <c r="I436" s="193" t="s">
        <v>343</v>
      </c>
      <c r="J436" s="82" t="s">
        <v>305</v>
      </c>
      <c r="K436" s="83" t="s">
        <v>184</v>
      </c>
      <c r="O436" s="84"/>
      <c r="P436" s="84"/>
      <c r="Q436" s="84"/>
      <c r="R436" s="84"/>
      <c r="S436" s="84"/>
      <c r="T436" s="84"/>
      <c r="U436" s="84"/>
      <c r="V436" s="84"/>
      <c r="W436" s="84"/>
      <c r="X436" s="84"/>
      <c r="Y436" s="84"/>
      <c r="Z436" s="84"/>
    </row>
    <row r="437" spans="1:26" ht="15.75" customHeight="1" x14ac:dyDescent="0.25">
      <c r="A437" s="85" t="s">
        <v>1297</v>
      </c>
      <c r="B437" s="189" t="s">
        <v>348</v>
      </c>
      <c r="C437" s="9" t="s">
        <v>322</v>
      </c>
      <c r="D437" s="190" t="s">
        <v>304</v>
      </c>
      <c r="E437" s="191" t="s">
        <v>305</v>
      </c>
      <c r="F437" s="192">
        <v>10</v>
      </c>
      <c r="G437" s="191">
        <v>80</v>
      </c>
      <c r="H437" s="189" t="s">
        <v>921</v>
      </c>
      <c r="I437" s="193" t="s">
        <v>922</v>
      </c>
      <c r="J437" s="82" t="s">
        <v>305</v>
      </c>
      <c r="K437" s="83" t="s">
        <v>184</v>
      </c>
      <c r="O437" s="84"/>
      <c r="P437" s="84"/>
      <c r="Q437" s="84"/>
      <c r="R437" s="84"/>
      <c r="S437" s="84"/>
      <c r="T437" s="84"/>
      <c r="U437" s="84"/>
      <c r="V437" s="84"/>
      <c r="W437" s="84"/>
      <c r="X437" s="84"/>
      <c r="Y437" s="84"/>
      <c r="Z437" s="84"/>
    </row>
    <row r="438" spans="1:26" ht="15.75" customHeight="1" x14ac:dyDescent="0.25">
      <c r="A438" s="85" t="s">
        <v>1298</v>
      </c>
      <c r="B438" s="189" t="s">
        <v>367</v>
      </c>
      <c r="C438" s="9" t="s">
        <v>322</v>
      </c>
      <c r="D438" s="190" t="s">
        <v>304</v>
      </c>
      <c r="E438" s="191" t="s">
        <v>305</v>
      </c>
      <c r="F438" s="192" t="s">
        <v>304</v>
      </c>
      <c r="G438" s="191" t="s">
        <v>305</v>
      </c>
      <c r="H438" s="189" t="s">
        <v>1299</v>
      </c>
      <c r="I438" s="193" t="s">
        <v>1300</v>
      </c>
      <c r="J438" s="82" t="s">
        <v>305</v>
      </c>
      <c r="K438" s="83" t="s">
        <v>184</v>
      </c>
      <c r="O438" s="84"/>
      <c r="P438" s="84"/>
      <c r="Q438" s="84"/>
      <c r="R438" s="84"/>
      <c r="S438" s="84"/>
      <c r="T438" s="84"/>
      <c r="U438" s="84"/>
      <c r="V438" s="84"/>
      <c r="W438" s="84"/>
      <c r="X438" s="84"/>
      <c r="Y438" s="84"/>
      <c r="Z438" s="84"/>
    </row>
    <row r="439" spans="1:26" ht="15.75" customHeight="1" x14ac:dyDescent="0.25">
      <c r="A439" s="85" t="s">
        <v>1301</v>
      </c>
      <c r="B439" s="189" t="s">
        <v>403</v>
      </c>
      <c r="C439" s="9" t="s">
        <v>314</v>
      </c>
      <c r="D439" s="190">
        <v>7</v>
      </c>
      <c r="E439" s="191">
        <v>65</v>
      </c>
      <c r="F439" s="192">
        <v>6</v>
      </c>
      <c r="G439" s="191">
        <v>100</v>
      </c>
      <c r="H439" s="189" t="s">
        <v>1302</v>
      </c>
      <c r="I439" s="193" t="s">
        <v>1303</v>
      </c>
      <c r="J439" s="82" t="s">
        <v>305</v>
      </c>
      <c r="K439" s="83" t="s">
        <v>184</v>
      </c>
      <c r="O439" s="84"/>
      <c r="P439" s="84"/>
      <c r="Q439" s="84"/>
      <c r="R439" s="84"/>
      <c r="S439" s="84"/>
      <c r="T439" s="84"/>
      <c r="U439" s="84"/>
      <c r="V439" s="84"/>
      <c r="W439" s="84"/>
      <c r="X439" s="84"/>
      <c r="Y439" s="84"/>
      <c r="Z439" s="84"/>
    </row>
    <row r="440" spans="1:26" ht="15.75" customHeight="1" x14ac:dyDescent="0.25">
      <c r="A440" s="85" t="s">
        <v>1304</v>
      </c>
      <c r="B440" s="189" t="s">
        <v>403</v>
      </c>
      <c r="C440" s="9" t="s">
        <v>314</v>
      </c>
      <c r="D440" s="190">
        <v>9</v>
      </c>
      <c r="E440" s="191">
        <v>85</v>
      </c>
      <c r="F440" s="192">
        <v>24.4</v>
      </c>
      <c r="G440" s="191">
        <v>8</v>
      </c>
      <c r="H440" s="189" t="s">
        <v>1305</v>
      </c>
      <c r="I440" s="193" t="s">
        <v>1305</v>
      </c>
      <c r="J440" s="82" t="s">
        <v>305</v>
      </c>
      <c r="K440" s="83" t="s">
        <v>184</v>
      </c>
      <c r="O440" s="84"/>
      <c r="P440" s="84"/>
      <c r="Q440" s="84"/>
      <c r="R440" s="84"/>
      <c r="S440" s="84"/>
      <c r="T440" s="84"/>
      <c r="U440" s="84"/>
      <c r="V440" s="84"/>
      <c r="W440" s="84"/>
      <c r="X440" s="84"/>
      <c r="Y440" s="84"/>
      <c r="Z440" s="84"/>
    </row>
    <row r="441" spans="1:26" ht="15.75" customHeight="1" x14ac:dyDescent="0.25">
      <c r="A441" s="85" t="s">
        <v>1306</v>
      </c>
      <c r="B441" s="189" t="s">
        <v>515</v>
      </c>
      <c r="C441" s="9" t="s">
        <v>314</v>
      </c>
      <c r="D441" s="190">
        <v>9</v>
      </c>
      <c r="E441" s="191">
        <v>90</v>
      </c>
      <c r="F441" s="192">
        <v>6</v>
      </c>
      <c r="G441" s="191">
        <v>100</v>
      </c>
      <c r="H441" s="189"/>
      <c r="I441" s="193" t="s">
        <v>184</v>
      </c>
      <c r="J441" s="82" t="s">
        <v>305</v>
      </c>
      <c r="K441" s="83" t="s">
        <v>184</v>
      </c>
      <c r="O441" s="84"/>
      <c r="P441" s="84"/>
      <c r="Q441" s="84"/>
      <c r="R441" s="84"/>
      <c r="S441" s="84"/>
      <c r="T441" s="84"/>
      <c r="U441" s="84"/>
      <c r="V441" s="84"/>
      <c r="W441" s="84"/>
      <c r="X441" s="84"/>
      <c r="Y441" s="84"/>
      <c r="Z441" s="84"/>
    </row>
    <row r="442" spans="1:26" ht="15.75" customHeight="1" x14ac:dyDescent="0.25">
      <c r="A442" s="85" t="s">
        <v>1307</v>
      </c>
      <c r="B442" s="189" t="s">
        <v>335</v>
      </c>
      <c r="C442" s="9" t="s">
        <v>322</v>
      </c>
      <c r="D442" s="190" t="s">
        <v>304</v>
      </c>
      <c r="E442" s="191" t="s">
        <v>305</v>
      </c>
      <c r="F442" s="192" t="s">
        <v>304</v>
      </c>
      <c r="G442" s="191" t="s">
        <v>305</v>
      </c>
      <c r="H442" s="189" t="s">
        <v>1308</v>
      </c>
      <c r="I442" s="193" t="s">
        <v>1309</v>
      </c>
      <c r="J442" s="82" t="s">
        <v>305</v>
      </c>
      <c r="K442" s="83" t="s">
        <v>184</v>
      </c>
      <c r="O442" s="84"/>
      <c r="P442" s="84"/>
      <c r="Q442" s="84"/>
      <c r="R442" s="84"/>
      <c r="S442" s="84"/>
      <c r="T442" s="84"/>
      <c r="U442" s="84"/>
      <c r="V442" s="84"/>
      <c r="W442" s="84"/>
      <c r="X442" s="84"/>
      <c r="Y442" s="84"/>
      <c r="Z442" s="84"/>
    </row>
    <row r="443" spans="1:26" ht="15.75" customHeight="1" x14ac:dyDescent="0.25">
      <c r="A443" s="85" t="s">
        <v>1310</v>
      </c>
      <c r="B443" s="189" t="s">
        <v>403</v>
      </c>
      <c r="C443" s="9" t="s">
        <v>314</v>
      </c>
      <c r="D443" s="190">
        <v>8</v>
      </c>
      <c r="E443" s="191">
        <v>75</v>
      </c>
      <c r="F443" s="192">
        <v>6</v>
      </c>
      <c r="G443" s="191">
        <v>100</v>
      </c>
      <c r="H443" s="189" t="s">
        <v>1311</v>
      </c>
      <c r="I443" s="193" t="s">
        <v>1311</v>
      </c>
      <c r="J443" s="82" t="s">
        <v>305</v>
      </c>
      <c r="K443" s="83" t="s">
        <v>184</v>
      </c>
      <c r="O443" s="84"/>
      <c r="P443" s="84"/>
      <c r="Q443" s="84"/>
      <c r="R443" s="84"/>
      <c r="S443" s="84"/>
      <c r="T443" s="84"/>
      <c r="U443" s="84"/>
      <c r="V443" s="84"/>
      <c r="W443" s="84"/>
      <c r="X443" s="84"/>
      <c r="Y443" s="84"/>
      <c r="Z443" s="84"/>
    </row>
    <row r="444" spans="1:26" ht="15.75" customHeight="1" x14ac:dyDescent="0.25">
      <c r="A444" s="85" t="s">
        <v>1312</v>
      </c>
      <c r="B444" s="189" t="s">
        <v>335</v>
      </c>
      <c r="C444" s="9" t="s">
        <v>314</v>
      </c>
      <c r="D444" s="190">
        <v>14</v>
      </c>
      <c r="E444" s="191">
        <v>140</v>
      </c>
      <c r="F444" s="192">
        <v>6</v>
      </c>
      <c r="G444" s="191">
        <v>100</v>
      </c>
      <c r="H444" s="189" t="s">
        <v>1313</v>
      </c>
      <c r="I444" s="193" t="s">
        <v>1313</v>
      </c>
      <c r="J444" s="82" t="s">
        <v>305</v>
      </c>
      <c r="K444" s="83" t="s">
        <v>184</v>
      </c>
      <c r="O444" s="84"/>
      <c r="P444" s="84"/>
      <c r="Q444" s="84"/>
      <c r="R444" s="84"/>
      <c r="S444" s="84"/>
      <c r="T444" s="84"/>
      <c r="U444" s="84"/>
      <c r="V444" s="84"/>
      <c r="W444" s="84"/>
      <c r="X444" s="84"/>
      <c r="Y444" s="84"/>
      <c r="Z444" s="84"/>
    </row>
    <row r="445" spans="1:26" ht="15.75" customHeight="1" x14ac:dyDescent="0.25">
      <c r="A445" s="85" t="s">
        <v>1314</v>
      </c>
      <c r="B445" s="189" t="s">
        <v>407</v>
      </c>
      <c r="C445" s="9" t="s">
        <v>314</v>
      </c>
      <c r="D445" s="190">
        <v>5</v>
      </c>
      <c r="E445" s="191">
        <v>50</v>
      </c>
      <c r="F445" s="192">
        <v>6</v>
      </c>
      <c r="G445" s="191">
        <v>100</v>
      </c>
      <c r="H445" s="189" t="s">
        <v>1315</v>
      </c>
      <c r="I445" s="193" t="s">
        <v>1316</v>
      </c>
      <c r="J445" s="82" t="s">
        <v>305</v>
      </c>
      <c r="K445" s="83" t="s">
        <v>184</v>
      </c>
      <c r="O445" s="84"/>
      <c r="P445" s="84"/>
      <c r="Q445" s="84"/>
      <c r="R445" s="84"/>
      <c r="S445" s="84"/>
      <c r="T445" s="84"/>
      <c r="U445" s="84"/>
      <c r="V445" s="84"/>
      <c r="W445" s="84"/>
      <c r="X445" s="84"/>
      <c r="Y445" s="84"/>
      <c r="Z445" s="84"/>
    </row>
    <row r="446" spans="1:26" ht="15.75" customHeight="1" x14ac:dyDescent="0.25">
      <c r="A446" s="85" t="s">
        <v>1317</v>
      </c>
      <c r="B446" s="189" t="s">
        <v>390</v>
      </c>
      <c r="C446" s="9" t="s">
        <v>303</v>
      </c>
      <c r="D446" s="190">
        <v>8</v>
      </c>
      <c r="E446" s="191">
        <v>80</v>
      </c>
      <c r="F446" s="192">
        <v>6</v>
      </c>
      <c r="G446" s="191">
        <v>100</v>
      </c>
      <c r="H446" s="189" t="s">
        <v>502</v>
      </c>
      <c r="I446" s="193" t="s">
        <v>503</v>
      </c>
      <c r="J446" s="82">
        <v>30</v>
      </c>
      <c r="K446" s="83">
        <v>15</v>
      </c>
      <c r="O446" s="84"/>
      <c r="P446" s="84"/>
      <c r="Q446" s="84"/>
      <c r="R446" s="84"/>
      <c r="S446" s="84"/>
      <c r="T446" s="84"/>
      <c r="U446" s="84"/>
      <c r="V446" s="84"/>
      <c r="W446" s="84"/>
      <c r="X446" s="84"/>
      <c r="Y446" s="84"/>
      <c r="Z446" s="84"/>
    </row>
    <row r="447" spans="1:26" ht="15.75" customHeight="1" x14ac:dyDescent="0.25">
      <c r="A447" s="85" t="s">
        <v>1318</v>
      </c>
      <c r="B447" s="189" t="s">
        <v>309</v>
      </c>
      <c r="C447" s="9" t="s">
        <v>314</v>
      </c>
      <c r="D447" s="190">
        <v>9</v>
      </c>
      <c r="E447" s="191">
        <v>90</v>
      </c>
      <c r="F447" s="192">
        <v>6</v>
      </c>
      <c r="G447" s="191">
        <v>100</v>
      </c>
      <c r="H447" s="189" t="s">
        <v>342</v>
      </c>
      <c r="I447" s="193" t="s">
        <v>343</v>
      </c>
      <c r="J447" s="82" t="s">
        <v>305</v>
      </c>
      <c r="K447" s="83" t="s">
        <v>184</v>
      </c>
      <c r="O447" s="84"/>
      <c r="P447" s="84"/>
      <c r="Q447" s="84"/>
      <c r="R447" s="84"/>
      <c r="S447" s="84"/>
      <c r="T447" s="84"/>
      <c r="U447" s="84"/>
      <c r="V447" s="84"/>
      <c r="W447" s="84"/>
      <c r="X447" s="84"/>
      <c r="Y447" s="84"/>
      <c r="Z447" s="84"/>
    </row>
    <row r="448" spans="1:26" ht="15.75" customHeight="1" x14ac:dyDescent="0.25">
      <c r="A448" s="85" t="s">
        <v>1319</v>
      </c>
      <c r="B448" s="189" t="s">
        <v>309</v>
      </c>
      <c r="C448" s="9" t="s">
        <v>303</v>
      </c>
      <c r="D448" s="190">
        <v>13</v>
      </c>
      <c r="E448" s="191">
        <v>130</v>
      </c>
      <c r="F448" s="192">
        <v>8</v>
      </c>
      <c r="G448" s="191">
        <v>90</v>
      </c>
      <c r="H448" s="189" t="s">
        <v>759</v>
      </c>
      <c r="I448" s="193" t="s">
        <v>760</v>
      </c>
      <c r="J448" s="82">
        <v>100</v>
      </c>
      <c r="K448" s="83">
        <v>1</v>
      </c>
      <c r="O448" s="84"/>
      <c r="P448" s="84"/>
      <c r="Q448" s="84"/>
      <c r="R448" s="84"/>
      <c r="S448" s="84"/>
      <c r="T448" s="84"/>
      <c r="U448" s="84"/>
      <c r="V448" s="84"/>
      <c r="W448" s="84"/>
      <c r="X448" s="84"/>
      <c r="Y448" s="84"/>
      <c r="Z448" s="84"/>
    </row>
    <row r="449" spans="1:26" ht="15.75" customHeight="1" x14ac:dyDescent="0.25">
      <c r="A449" s="85" t="s">
        <v>1320</v>
      </c>
      <c r="B449" s="189" t="s">
        <v>309</v>
      </c>
      <c r="C449" s="9" t="s">
        <v>303</v>
      </c>
      <c r="D449" s="190">
        <v>7</v>
      </c>
      <c r="E449" s="191">
        <v>65</v>
      </c>
      <c r="F449" s="192">
        <v>8</v>
      </c>
      <c r="G449" s="191">
        <v>90</v>
      </c>
      <c r="H449" s="189" t="s">
        <v>1321</v>
      </c>
      <c r="I449" s="193" t="s">
        <v>1322</v>
      </c>
      <c r="J449" s="82">
        <v>50</v>
      </c>
      <c r="K449" s="83">
        <v>11</v>
      </c>
      <c r="O449" s="84"/>
      <c r="P449" s="84"/>
      <c r="Q449" s="84"/>
      <c r="R449" s="84"/>
      <c r="S449" s="84"/>
      <c r="T449" s="84"/>
      <c r="U449" s="84"/>
      <c r="V449" s="84"/>
      <c r="W449" s="84"/>
      <c r="X449" s="84"/>
      <c r="Y449" s="84"/>
      <c r="Z449" s="84"/>
    </row>
    <row r="450" spans="1:26" ht="15.75" customHeight="1" x14ac:dyDescent="0.25">
      <c r="A450" s="85" t="s">
        <v>1323</v>
      </c>
      <c r="B450" s="189" t="s">
        <v>309</v>
      </c>
      <c r="C450" s="9" t="s">
        <v>314</v>
      </c>
      <c r="D450" s="190">
        <v>4</v>
      </c>
      <c r="E450" s="191">
        <v>40</v>
      </c>
      <c r="F450" s="192">
        <v>6</v>
      </c>
      <c r="G450" s="191">
        <v>100</v>
      </c>
      <c r="H450" s="189" t="s">
        <v>1324</v>
      </c>
      <c r="I450" s="193" t="s">
        <v>1324</v>
      </c>
      <c r="J450" s="82" t="s">
        <v>305</v>
      </c>
      <c r="K450" s="83" t="s">
        <v>184</v>
      </c>
      <c r="O450" s="84"/>
      <c r="P450" s="84"/>
      <c r="Q450" s="84"/>
      <c r="R450" s="84"/>
      <c r="S450" s="84"/>
      <c r="T450" s="84"/>
      <c r="U450" s="84"/>
      <c r="V450" s="84"/>
      <c r="W450" s="84"/>
      <c r="X450" s="84"/>
      <c r="Y450" s="84"/>
      <c r="Z450" s="84"/>
    </row>
    <row r="451" spans="1:26" ht="15.75" customHeight="1" x14ac:dyDescent="0.25">
      <c r="A451" s="85" t="s">
        <v>1325</v>
      </c>
      <c r="B451" s="189" t="s">
        <v>411</v>
      </c>
      <c r="C451" s="9" t="s">
        <v>314</v>
      </c>
      <c r="D451" s="190">
        <v>8</v>
      </c>
      <c r="E451" s="191">
        <v>80</v>
      </c>
      <c r="F451" s="192">
        <v>6</v>
      </c>
      <c r="G451" s="191">
        <v>100</v>
      </c>
      <c r="H451" s="189" t="s">
        <v>310</v>
      </c>
      <c r="I451" s="193" t="s">
        <v>311</v>
      </c>
      <c r="J451" s="82" t="s">
        <v>305</v>
      </c>
      <c r="K451" s="83" t="s">
        <v>184</v>
      </c>
      <c r="O451" s="84"/>
      <c r="P451" s="84"/>
      <c r="Q451" s="84"/>
      <c r="R451" s="84"/>
      <c r="S451" s="84"/>
      <c r="T451" s="84"/>
      <c r="U451" s="84"/>
      <c r="V451" s="84"/>
      <c r="W451" s="84"/>
      <c r="X451" s="84"/>
      <c r="Y451" s="84"/>
      <c r="Z451" s="84"/>
    </row>
    <row r="452" spans="1:26" ht="15.75" customHeight="1" x14ac:dyDescent="0.25">
      <c r="A452" s="85" t="s">
        <v>145</v>
      </c>
      <c r="B452" s="189" t="s">
        <v>309</v>
      </c>
      <c r="C452" s="9" t="s">
        <v>322</v>
      </c>
      <c r="D452" s="190" t="s">
        <v>304</v>
      </c>
      <c r="E452" s="191" t="s">
        <v>305</v>
      </c>
      <c r="F452" s="192">
        <v>8</v>
      </c>
      <c r="G452" s="191">
        <v>90</v>
      </c>
      <c r="H452" s="189" t="s">
        <v>1326</v>
      </c>
      <c r="I452" s="193" t="s">
        <v>1327</v>
      </c>
      <c r="J452" s="82" t="s">
        <v>305</v>
      </c>
      <c r="K452" s="83" t="s">
        <v>184</v>
      </c>
      <c r="O452" s="84"/>
      <c r="P452" s="84"/>
      <c r="Q452" s="84"/>
      <c r="R452" s="84"/>
      <c r="S452" s="84"/>
      <c r="T452" s="84"/>
      <c r="U452" s="84"/>
      <c r="V452" s="84"/>
      <c r="W452" s="84"/>
      <c r="X452" s="84"/>
      <c r="Y452" s="84"/>
      <c r="Z452" s="84"/>
    </row>
    <row r="453" spans="1:26" ht="15.75" customHeight="1" x14ac:dyDescent="0.25">
      <c r="A453" s="85" t="s">
        <v>1328</v>
      </c>
      <c r="B453" s="189" t="s">
        <v>335</v>
      </c>
      <c r="C453" s="9" t="s">
        <v>322</v>
      </c>
      <c r="D453" s="190" t="s">
        <v>304</v>
      </c>
      <c r="E453" s="191" t="s">
        <v>305</v>
      </c>
      <c r="F453" s="192">
        <v>6</v>
      </c>
      <c r="G453" s="191">
        <v>100</v>
      </c>
      <c r="H453" s="189" t="s">
        <v>1329</v>
      </c>
      <c r="I453" s="193" t="s">
        <v>1126</v>
      </c>
      <c r="J453" s="82">
        <v>100</v>
      </c>
      <c r="K453" s="83">
        <v>1</v>
      </c>
      <c r="O453" s="84"/>
      <c r="P453" s="84"/>
      <c r="Q453" s="84"/>
      <c r="R453" s="84"/>
      <c r="S453" s="84"/>
      <c r="T453" s="84"/>
      <c r="U453" s="84"/>
      <c r="V453" s="84"/>
      <c r="W453" s="84"/>
      <c r="X453" s="84"/>
      <c r="Y453" s="84"/>
      <c r="Z453" s="84"/>
    </row>
    <row r="454" spans="1:26" ht="15.75" customHeight="1" x14ac:dyDescent="0.25">
      <c r="A454" s="85" t="s">
        <v>1330</v>
      </c>
      <c r="B454" s="189" t="s">
        <v>359</v>
      </c>
      <c r="C454" s="9" t="s">
        <v>314</v>
      </c>
      <c r="D454" s="190">
        <v>19</v>
      </c>
      <c r="E454" s="191">
        <v>190</v>
      </c>
      <c r="F454" s="192" t="s">
        <v>304</v>
      </c>
      <c r="G454" s="191" t="s">
        <v>305</v>
      </c>
      <c r="H454" s="189" t="s">
        <v>1331</v>
      </c>
      <c r="I454" s="193" t="s">
        <v>1331</v>
      </c>
      <c r="J454" s="82" t="s">
        <v>305</v>
      </c>
      <c r="K454" s="83" t="s">
        <v>184</v>
      </c>
      <c r="O454" s="84"/>
      <c r="P454" s="84"/>
      <c r="Q454" s="84"/>
      <c r="R454" s="84"/>
      <c r="S454" s="84"/>
      <c r="T454" s="84"/>
      <c r="U454" s="84"/>
      <c r="V454" s="84"/>
      <c r="W454" s="84"/>
      <c r="X454" s="84"/>
      <c r="Y454" s="84"/>
      <c r="Z454" s="84"/>
    </row>
    <row r="455" spans="1:26" ht="15.75" customHeight="1" x14ac:dyDescent="0.25">
      <c r="A455" s="85" t="s">
        <v>1332</v>
      </c>
      <c r="B455" s="189" t="s">
        <v>407</v>
      </c>
      <c r="C455" s="9" t="s">
        <v>314</v>
      </c>
      <c r="D455" s="190">
        <v>3</v>
      </c>
      <c r="E455" s="191">
        <v>30</v>
      </c>
      <c r="F455" s="192">
        <v>6</v>
      </c>
      <c r="G455" s="191">
        <v>100</v>
      </c>
      <c r="H455" s="189" t="s">
        <v>508</v>
      </c>
      <c r="I455" s="193" t="s">
        <v>509</v>
      </c>
      <c r="J455" s="82">
        <v>30</v>
      </c>
      <c r="K455" s="83">
        <v>15</v>
      </c>
      <c r="O455" s="84"/>
      <c r="P455" s="84"/>
      <c r="Q455" s="84"/>
      <c r="R455" s="84"/>
      <c r="S455" s="84"/>
      <c r="T455" s="84"/>
      <c r="U455" s="84"/>
      <c r="V455" s="84"/>
      <c r="W455" s="84"/>
      <c r="X455" s="84"/>
      <c r="Y455" s="84"/>
      <c r="Z455" s="84"/>
    </row>
    <row r="456" spans="1:26" ht="15.75" customHeight="1" x14ac:dyDescent="0.25">
      <c r="A456" s="85" t="s">
        <v>1333</v>
      </c>
      <c r="B456" s="189" t="s">
        <v>377</v>
      </c>
      <c r="C456" s="9" t="s">
        <v>322</v>
      </c>
      <c r="D456" s="190" t="s">
        <v>304</v>
      </c>
      <c r="E456" s="191" t="s">
        <v>305</v>
      </c>
      <c r="F456" s="192" t="s">
        <v>304</v>
      </c>
      <c r="G456" s="191" t="s">
        <v>305</v>
      </c>
      <c r="H456" s="189" t="s">
        <v>1334</v>
      </c>
      <c r="I456" s="193" t="s">
        <v>1335</v>
      </c>
      <c r="J456" s="82" t="s">
        <v>305</v>
      </c>
      <c r="K456" s="83" t="s">
        <v>184</v>
      </c>
      <c r="O456" s="84"/>
      <c r="P456" s="84"/>
      <c r="Q456" s="84"/>
      <c r="R456" s="84"/>
      <c r="S456" s="84"/>
      <c r="T456" s="84"/>
      <c r="U456" s="84"/>
      <c r="V456" s="84"/>
      <c r="W456" s="84"/>
      <c r="X456" s="84"/>
      <c r="Y456" s="84"/>
      <c r="Z456" s="84"/>
    </row>
    <row r="457" spans="1:26" ht="15.75" customHeight="1" x14ac:dyDescent="0.25">
      <c r="A457" s="85" t="s">
        <v>1336</v>
      </c>
      <c r="B457" s="189" t="s">
        <v>359</v>
      </c>
      <c r="C457" s="9" t="s">
        <v>303</v>
      </c>
      <c r="D457" s="190">
        <v>14</v>
      </c>
      <c r="E457" s="191">
        <v>140</v>
      </c>
      <c r="F457" s="192">
        <v>8</v>
      </c>
      <c r="G457" s="191">
        <v>90</v>
      </c>
      <c r="H457" s="189" t="s">
        <v>527</v>
      </c>
      <c r="I457" s="193" t="s">
        <v>528</v>
      </c>
      <c r="J457" s="82" t="s">
        <v>305</v>
      </c>
      <c r="K457" s="83" t="s">
        <v>184</v>
      </c>
      <c r="O457" s="84"/>
      <c r="P457" s="84"/>
      <c r="Q457" s="84"/>
      <c r="R457" s="84"/>
      <c r="S457" s="84"/>
      <c r="T457" s="84"/>
      <c r="U457" s="84"/>
      <c r="V457" s="84"/>
      <c r="W457" s="84"/>
      <c r="X457" s="84"/>
      <c r="Y457" s="84"/>
      <c r="Z457" s="84"/>
    </row>
    <row r="458" spans="1:26" ht="15.75" customHeight="1" x14ac:dyDescent="0.25">
      <c r="A458" s="85" t="s">
        <v>1337</v>
      </c>
      <c r="B458" s="189" t="s">
        <v>348</v>
      </c>
      <c r="C458" s="9" t="s">
        <v>322</v>
      </c>
      <c r="D458" s="190" t="s">
        <v>304</v>
      </c>
      <c r="E458" s="191" t="s">
        <v>305</v>
      </c>
      <c r="F458" s="192" t="s">
        <v>304</v>
      </c>
      <c r="G458" s="191" t="s">
        <v>305</v>
      </c>
      <c r="H458" s="189" t="s">
        <v>1338</v>
      </c>
      <c r="I458" s="193" t="s">
        <v>1339</v>
      </c>
      <c r="J458" s="82" t="s">
        <v>305</v>
      </c>
      <c r="K458" s="83" t="s">
        <v>184</v>
      </c>
      <c r="O458" s="84"/>
      <c r="P458" s="84"/>
      <c r="Q458" s="84"/>
      <c r="R458" s="84"/>
      <c r="S458" s="84"/>
      <c r="T458" s="84"/>
      <c r="U458" s="84"/>
      <c r="V458" s="84"/>
      <c r="W458" s="84"/>
      <c r="X458" s="84"/>
      <c r="Y458" s="84"/>
      <c r="Z458" s="84"/>
    </row>
    <row r="459" spans="1:26" ht="15.75" customHeight="1" x14ac:dyDescent="0.25">
      <c r="A459" s="85" t="s">
        <v>1340</v>
      </c>
      <c r="B459" s="189" t="s">
        <v>348</v>
      </c>
      <c r="C459" s="9" t="s">
        <v>303</v>
      </c>
      <c r="D459" s="190">
        <v>20</v>
      </c>
      <c r="E459" s="191">
        <v>200</v>
      </c>
      <c r="F459" s="192" t="s">
        <v>304</v>
      </c>
      <c r="G459" s="191" t="s">
        <v>305</v>
      </c>
      <c r="H459" s="189" t="s">
        <v>1341</v>
      </c>
      <c r="I459" s="193" t="s">
        <v>1342</v>
      </c>
      <c r="J459" s="82" t="s">
        <v>305</v>
      </c>
      <c r="K459" s="83" t="s">
        <v>184</v>
      </c>
      <c r="O459" s="84"/>
      <c r="P459" s="84"/>
      <c r="Q459" s="84"/>
      <c r="R459" s="84"/>
      <c r="S459" s="84"/>
      <c r="T459" s="84"/>
      <c r="U459" s="84"/>
      <c r="V459" s="84"/>
      <c r="W459" s="84"/>
      <c r="X459" s="84"/>
      <c r="Y459" s="84"/>
      <c r="Z459" s="84"/>
    </row>
    <row r="460" spans="1:26" ht="15.75" customHeight="1" x14ac:dyDescent="0.25">
      <c r="A460" s="85" t="s">
        <v>1343</v>
      </c>
      <c r="B460" s="189" t="s">
        <v>377</v>
      </c>
      <c r="C460" s="9" t="s">
        <v>314</v>
      </c>
      <c r="D460" s="190">
        <v>9</v>
      </c>
      <c r="E460" s="191">
        <v>85</v>
      </c>
      <c r="F460" s="192">
        <v>6</v>
      </c>
      <c r="G460" s="191">
        <v>100</v>
      </c>
      <c r="H460" s="189" t="s">
        <v>689</v>
      </c>
      <c r="I460" s="193" t="s">
        <v>1344</v>
      </c>
      <c r="J460" s="82">
        <v>20</v>
      </c>
      <c r="K460" s="83">
        <v>17</v>
      </c>
      <c r="O460" s="84"/>
      <c r="P460" s="84"/>
      <c r="Q460" s="84"/>
      <c r="R460" s="84"/>
      <c r="S460" s="84"/>
      <c r="T460" s="84"/>
      <c r="U460" s="84"/>
      <c r="V460" s="84"/>
      <c r="W460" s="84"/>
      <c r="X460" s="84"/>
      <c r="Y460" s="84"/>
      <c r="Z460" s="84"/>
    </row>
    <row r="461" spans="1:26" ht="15.75" customHeight="1" x14ac:dyDescent="0.25">
      <c r="A461" s="85" t="s">
        <v>1345</v>
      </c>
      <c r="B461" s="189" t="s">
        <v>335</v>
      </c>
      <c r="C461" s="9" t="s">
        <v>322</v>
      </c>
      <c r="D461" s="190" t="s">
        <v>304</v>
      </c>
      <c r="E461" s="191" t="s">
        <v>305</v>
      </c>
      <c r="F461" s="192" t="s">
        <v>304</v>
      </c>
      <c r="G461" s="191" t="s">
        <v>305</v>
      </c>
      <c r="H461" s="189" t="s">
        <v>1346</v>
      </c>
      <c r="I461" s="193" t="s">
        <v>1347</v>
      </c>
      <c r="J461" s="82" t="s">
        <v>305</v>
      </c>
      <c r="K461" s="83" t="s">
        <v>184</v>
      </c>
      <c r="O461" s="84"/>
      <c r="P461" s="84"/>
      <c r="Q461" s="84"/>
      <c r="R461" s="84"/>
      <c r="S461" s="84"/>
      <c r="T461" s="84"/>
      <c r="U461" s="84"/>
      <c r="V461" s="84"/>
      <c r="W461" s="84"/>
      <c r="X461" s="84"/>
      <c r="Y461" s="84"/>
      <c r="Z461" s="84"/>
    </row>
    <row r="462" spans="1:26" ht="15.75" customHeight="1" x14ac:dyDescent="0.25">
      <c r="A462" s="85" t="s">
        <v>1348</v>
      </c>
      <c r="B462" s="189" t="s">
        <v>335</v>
      </c>
      <c r="C462" s="9" t="s">
        <v>322</v>
      </c>
      <c r="D462" s="190" t="s">
        <v>304</v>
      </c>
      <c r="E462" s="191" t="s">
        <v>305</v>
      </c>
      <c r="F462" s="192">
        <v>11</v>
      </c>
      <c r="G462" s="191">
        <v>75</v>
      </c>
      <c r="H462" s="189" t="s">
        <v>1117</v>
      </c>
      <c r="I462" s="193" t="s">
        <v>1118</v>
      </c>
      <c r="J462" s="82" t="s">
        <v>305</v>
      </c>
      <c r="K462" s="83" t="s">
        <v>184</v>
      </c>
      <c r="O462" s="84"/>
      <c r="P462" s="84"/>
      <c r="Q462" s="84"/>
      <c r="R462" s="84"/>
      <c r="S462" s="84"/>
      <c r="T462" s="84"/>
      <c r="U462" s="84"/>
      <c r="V462" s="84"/>
      <c r="W462" s="84"/>
      <c r="X462" s="84"/>
      <c r="Y462" s="84"/>
      <c r="Z462" s="84"/>
    </row>
    <row r="463" spans="1:26" ht="15.75" customHeight="1" x14ac:dyDescent="0.25">
      <c r="A463" s="85" t="s">
        <v>1349</v>
      </c>
      <c r="B463" s="189" t="s">
        <v>356</v>
      </c>
      <c r="C463" s="9" t="s">
        <v>314</v>
      </c>
      <c r="D463" s="190" t="s">
        <v>304</v>
      </c>
      <c r="E463" s="191" t="s">
        <v>305</v>
      </c>
      <c r="F463" s="192">
        <v>6</v>
      </c>
      <c r="G463" s="191">
        <v>100</v>
      </c>
      <c r="H463" s="189" t="s">
        <v>1113</v>
      </c>
      <c r="I463" s="193" t="s">
        <v>1113</v>
      </c>
      <c r="J463" s="82" t="s">
        <v>305</v>
      </c>
      <c r="K463" s="83" t="s">
        <v>184</v>
      </c>
      <c r="O463" s="84"/>
      <c r="P463" s="84"/>
      <c r="Q463" s="84"/>
      <c r="R463" s="84"/>
      <c r="S463" s="84"/>
      <c r="T463" s="84"/>
      <c r="U463" s="84"/>
      <c r="V463" s="84"/>
      <c r="W463" s="84"/>
      <c r="X463" s="84"/>
      <c r="Y463" s="84"/>
      <c r="Z463" s="84"/>
    </row>
    <row r="464" spans="1:26" ht="15.75" customHeight="1" x14ac:dyDescent="0.25">
      <c r="A464" s="85" t="s">
        <v>1350</v>
      </c>
      <c r="B464" s="189" t="s">
        <v>356</v>
      </c>
      <c r="C464" s="9" t="s">
        <v>314</v>
      </c>
      <c r="D464" s="190">
        <v>7</v>
      </c>
      <c r="E464" s="191">
        <v>65</v>
      </c>
      <c r="F464" s="192">
        <v>6</v>
      </c>
      <c r="G464" s="191">
        <v>100</v>
      </c>
      <c r="H464" s="189" t="s">
        <v>556</v>
      </c>
      <c r="I464" s="193" t="s">
        <v>557</v>
      </c>
      <c r="J464" s="82">
        <v>100</v>
      </c>
      <c r="K464" s="83">
        <v>1</v>
      </c>
      <c r="O464" s="84"/>
      <c r="P464" s="84"/>
      <c r="Q464" s="84"/>
      <c r="R464" s="84"/>
      <c r="S464" s="84"/>
      <c r="T464" s="84"/>
      <c r="U464" s="84"/>
      <c r="V464" s="84"/>
      <c r="W464" s="84"/>
      <c r="X464" s="84"/>
      <c r="Y464" s="84"/>
      <c r="Z464" s="84"/>
    </row>
    <row r="465" spans="1:26" ht="15.75" customHeight="1" x14ac:dyDescent="0.25">
      <c r="A465" s="85" t="s">
        <v>1351</v>
      </c>
      <c r="B465" s="189" t="s">
        <v>335</v>
      </c>
      <c r="C465" s="9" t="s">
        <v>322</v>
      </c>
      <c r="D465" s="190" t="s">
        <v>304</v>
      </c>
      <c r="E465" s="191" t="s">
        <v>305</v>
      </c>
      <c r="F465" s="192" t="s">
        <v>304</v>
      </c>
      <c r="G465" s="191" t="s">
        <v>305</v>
      </c>
      <c r="H465" s="189" t="s">
        <v>1352</v>
      </c>
      <c r="I465" s="193" t="s">
        <v>1353</v>
      </c>
      <c r="J465" s="82" t="s">
        <v>305</v>
      </c>
      <c r="K465" s="83" t="s">
        <v>184</v>
      </c>
      <c r="O465" s="84"/>
      <c r="P465" s="84"/>
      <c r="Q465" s="84"/>
      <c r="R465" s="84"/>
      <c r="S465" s="84"/>
      <c r="T465" s="84"/>
      <c r="U465" s="84"/>
      <c r="V465" s="84"/>
      <c r="W465" s="84"/>
      <c r="X465" s="84"/>
      <c r="Y465" s="84"/>
      <c r="Z465" s="84"/>
    </row>
    <row r="466" spans="1:26" ht="15.75" customHeight="1" x14ac:dyDescent="0.25">
      <c r="A466" s="85" t="s">
        <v>1354</v>
      </c>
      <c r="B466" s="189" t="s">
        <v>348</v>
      </c>
      <c r="C466" s="9" t="s">
        <v>303</v>
      </c>
      <c r="D466" s="190">
        <v>8</v>
      </c>
      <c r="E466" s="191">
        <v>80</v>
      </c>
      <c r="F466" s="192">
        <v>6</v>
      </c>
      <c r="G466" s="191">
        <v>100</v>
      </c>
      <c r="H466" s="189" t="s">
        <v>1355</v>
      </c>
      <c r="I466" s="193" t="s">
        <v>1356</v>
      </c>
      <c r="J466" s="82" t="s">
        <v>305</v>
      </c>
      <c r="K466" s="83" t="s">
        <v>184</v>
      </c>
      <c r="O466" s="84"/>
      <c r="P466" s="84"/>
      <c r="Q466" s="84"/>
      <c r="R466" s="84"/>
      <c r="S466" s="84"/>
      <c r="T466" s="84"/>
      <c r="U466" s="84"/>
      <c r="V466" s="84"/>
      <c r="W466" s="84"/>
      <c r="X466" s="84"/>
      <c r="Y466" s="84"/>
      <c r="Z466" s="84"/>
    </row>
    <row r="467" spans="1:26" ht="15.75" customHeight="1" x14ac:dyDescent="0.25">
      <c r="A467" s="85" t="s">
        <v>1357</v>
      </c>
      <c r="B467" s="189" t="s">
        <v>348</v>
      </c>
      <c r="C467" s="9" t="s">
        <v>322</v>
      </c>
      <c r="D467" s="190" t="s">
        <v>304</v>
      </c>
      <c r="E467" s="191" t="s">
        <v>305</v>
      </c>
      <c r="F467" s="192" t="s">
        <v>304</v>
      </c>
      <c r="G467" s="191" t="s">
        <v>305</v>
      </c>
      <c r="H467" s="189" t="s">
        <v>1358</v>
      </c>
      <c r="I467" s="193" t="s">
        <v>1359</v>
      </c>
      <c r="J467" s="82" t="s">
        <v>305</v>
      </c>
      <c r="K467" s="83" t="s">
        <v>184</v>
      </c>
      <c r="O467" s="84"/>
      <c r="P467" s="84"/>
      <c r="Q467" s="84"/>
      <c r="R467" s="84"/>
      <c r="S467" s="84"/>
      <c r="T467" s="84"/>
      <c r="U467" s="84"/>
      <c r="V467" s="84"/>
      <c r="W467" s="84"/>
      <c r="X467" s="84"/>
      <c r="Y467" s="84"/>
      <c r="Z467" s="84"/>
    </row>
    <row r="468" spans="1:26" ht="15.75" customHeight="1" x14ac:dyDescent="0.25">
      <c r="A468" s="85" t="s">
        <v>1360</v>
      </c>
      <c r="B468" s="189" t="s">
        <v>348</v>
      </c>
      <c r="C468" s="9" t="s">
        <v>322</v>
      </c>
      <c r="D468" s="190" t="s">
        <v>304</v>
      </c>
      <c r="E468" s="191" t="s">
        <v>305</v>
      </c>
      <c r="F468" s="192" t="s">
        <v>304</v>
      </c>
      <c r="G468" s="191" t="s">
        <v>305</v>
      </c>
      <c r="H468" s="189" t="s">
        <v>1361</v>
      </c>
      <c r="I468" s="193" t="s">
        <v>1186</v>
      </c>
      <c r="J468" s="82" t="s">
        <v>305</v>
      </c>
      <c r="K468" s="83" t="s">
        <v>184</v>
      </c>
      <c r="O468" s="84"/>
      <c r="P468" s="84"/>
      <c r="Q468" s="84"/>
      <c r="R468" s="84"/>
      <c r="S468" s="84"/>
      <c r="T468" s="84"/>
      <c r="U468" s="84"/>
      <c r="V468" s="84"/>
      <c r="W468" s="84"/>
      <c r="X468" s="84"/>
      <c r="Y468" s="84"/>
      <c r="Z468" s="84"/>
    </row>
    <row r="469" spans="1:26" ht="15.75" customHeight="1" x14ac:dyDescent="0.25">
      <c r="A469" s="85" t="s">
        <v>1362</v>
      </c>
      <c r="B469" s="189" t="s">
        <v>411</v>
      </c>
      <c r="C469" s="9" t="s">
        <v>314</v>
      </c>
      <c r="D469" s="190">
        <v>8</v>
      </c>
      <c r="E469" s="191">
        <v>80</v>
      </c>
      <c r="F469" s="192">
        <v>6</v>
      </c>
      <c r="G469" s="191">
        <v>100</v>
      </c>
      <c r="H469" s="189" t="s">
        <v>1363</v>
      </c>
      <c r="I469" s="193" t="s">
        <v>1364</v>
      </c>
      <c r="J469" s="82">
        <v>100</v>
      </c>
      <c r="K469" s="83">
        <v>1</v>
      </c>
      <c r="O469" s="84"/>
      <c r="P469" s="84"/>
      <c r="Q469" s="84"/>
      <c r="R469" s="84"/>
      <c r="S469" s="84"/>
      <c r="T469" s="84"/>
      <c r="U469" s="84"/>
      <c r="V469" s="84"/>
      <c r="W469" s="84"/>
      <c r="X469" s="84"/>
      <c r="Y469" s="84"/>
      <c r="Z469" s="84"/>
    </row>
    <row r="470" spans="1:26" ht="15.75" customHeight="1" x14ac:dyDescent="0.25">
      <c r="A470" s="85" t="s">
        <v>1365</v>
      </c>
      <c r="B470" s="189" t="s">
        <v>348</v>
      </c>
      <c r="C470" s="9" t="s">
        <v>303</v>
      </c>
      <c r="D470" s="190">
        <v>7</v>
      </c>
      <c r="E470" s="191">
        <v>70</v>
      </c>
      <c r="F470" s="192">
        <v>6</v>
      </c>
      <c r="G470" s="191">
        <v>100</v>
      </c>
      <c r="H470" s="189" t="s">
        <v>319</v>
      </c>
      <c r="I470" s="193" t="s">
        <v>320</v>
      </c>
      <c r="J470" s="82">
        <v>50</v>
      </c>
      <c r="K470" s="83">
        <v>11</v>
      </c>
      <c r="O470" s="84"/>
      <c r="P470" s="84"/>
      <c r="Q470" s="84"/>
      <c r="R470" s="84"/>
      <c r="S470" s="84"/>
      <c r="T470" s="84"/>
      <c r="U470" s="84"/>
      <c r="V470" s="84"/>
      <c r="W470" s="84"/>
      <c r="X470" s="84"/>
      <c r="Y470" s="84"/>
      <c r="Z470" s="84"/>
    </row>
    <row r="471" spans="1:26" ht="15.75" customHeight="1" x14ac:dyDescent="0.25">
      <c r="A471" s="85" t="s">
        <v>1366</v>
      </c>
      <c r="B471" s="189" t="s">
        <v>356</v>
      </c>
      <c r="C471" s="9" t="s">
        <v>314</v>
      </c>
      <c r="D471" s="190">
        <v>4</v>
      </c>
      <c r="E471" s="191">
        <v>40</v>
      </c>
      <c r="F471" s="192">
        <v>6</v>
      </c>
      <c r="G471" s="191">
        <v>100</v>
      </c>
      <c r="H471" s="189" t="s">
        <v>315</v>
      </c>
      <c r="I471" s="193" t="s">
        <v>316</v>
      </c>
      <c r="J471" s="82" t="s">
        <v>305</v>
      </c>
      <c r="K471" s="83" t="s">
        <v>184</v>
      </c>
      <c r="O471" s="84"/>
      <c r="P471" s="84"/>
      <c r="Q471" s="84"/>
      <c r="R471" s="84"/>
      <c r="S471" s="84"/>
      <c r="T471" s="84"/>
      <c r="U471" s="84"/>
      <c r="V471" s="84"/>
      <c r="W471" s="84"/>
      <c r="X471" s="84"/>
      <c r="Y471" s="84"/>
      <c r="Z471" s="84"/>
    </row>
    <row r="472" spans="1:26" ht="15.75" customHeight="1" x14ac:dyDescent="0.25">
      <c r="A472" s="85" t="s">
        <v>1367</v>
      </c>
      <c r="B472" s="189" t="s">
        <v>348</v>
      </c>
      <c r="C472" s="9" t="s">
        <v>322</v>
      </c>
      <c r="D472" s="190" t="s">
        <v>304</v>
      </c>
      <c r="E472" s="191" t="s">
        <v>305</v>
      </c>
      <c r="F472" s="192" t="s">
        <v>304</v>
      </c>
      <c r="G472" s="191" t="s">
        <v>305</v>
      </c>
      <c r="H472" s="189" t="s">
        <v>1368</v>
      </c>
      <c r="I472" s="193" t="s">
        <v>1368</v>
      </c>
      <c r="J472" s="82" t="s">
        <v>305</v>
      </c>
      <c r="K472" s="83" t="s">
        <v>184</v>
      </c>
      <c r="O472" s="84"/>
      <c r="P472" s="84"/>
      <c r="Q472" s="84"/>
      <c r="R472" s="84"/>
      <c r="S472" s="84"/>
      <c r="T472" s="84"/>
      <c r="U472" s="84"/>
      <c r="V472" s="84"/>
      <c r="W472" s="84"/>
      <c r="X472" s="84"/>
      <c r="Y472" s="84"/>
      <c r="Z472" s="84"/>
    </row>
    <row r="473" spans="1:26" ht="15.75" customHeight="1" x14ac:dyDescent="0.25">
      <c r="A473" s="85" t="s">
        <v>1369</v>
      </c>
      <c r="B473" s="189" t="s">
        <v>348</v>
      </c>
      <c r="C473" s="9" t="s">
        <v>322</v>
      </c>
      <c r="D473" s="190" t="s">
        <v>304</v>
      </c>
      <c r="E473" s="191" t="s">
        <v>305</v>
      </c>
      <c r="F473" s="192">
        <v>6</v>
      </c>
      <c r="G473" s="191">
        <v>100</v>
      </c>
      <c r="H473" s="189" t="s">
        <v>1370</v>
      </c>
      <c r="I473" s="193" t="s">
        <v>1370</v>
      </c>
      <c r="J473" s="82" t="s">
        <v>305</v>
      </c>
      <c r="K473" s="83" t="s">
        <v>184</v>
      </c>
      <c r="O473" s="84"/>
      <c r="P473" s="84"/>
      <c r="Q473" s="84"/>
      <c r="R473" s="84"/>
      <c r="S473" s="84"/>
      <c r="T473" s="84"/>
      <c r="U473" s="84"/>
      <c r="V473" s="84"/>
      <c r="W473" s="84"/>
      <c r="X473" s="84"/>
      <c r="Y473" s="84"/>
      <c r="Z473" s="84"/>
    </row>
    <row r="474" spans="1:26" ht="15.75" customHeight="1" x14ac:dyDescent="0.25">
      <c r="A474" s="85" t="s">
        <v>1371</v>
      </c>
      <c r="B474" s="189" t="s">
        <v>348</v>
      </c>
      <c r="C474" s="9" t="s">
        <v>322</v>
      </c>
      <c r="D474" s="190" t="s">
        <v>304</v>
      </c>
      <c r="E474" s="191" t="s">
        <v>305</v>
      </c>
      <c r="F474" s="192" t="s">
        <v>304</v>
      </c>
      <c r="G474" s="191" t="s">
        <v>305</v>
      </c>
      <c r="H474" s="189" t="s">
        <v>1372</v>
      </c>
      <c r="I474" s="193" t="s">
        <v>1373</v>
      </c>
      <c r="J474" s="82" t="s">
        <v>305</v>
      </c>
      <c r="K474" s="83" t="s">
        <v>184</v>
      </c>
      <c r="O474" s="84"/>
      <c r="P474" s="84"/>
      <c r="Q474" s="84"/>
      <c r="R474" s="84"/>
      <c r="S474" s="84"/>
      <c r="T474" s="84"/>
      <c r="U474" s="84"/>
      <c r="V474" s="84"/>
      <c r="W474" s="84"/>
      <c r="X474" s="84"/>
      <c r="Y474" s="84"/>
      <c r="Z474" s="84"/>
    </row>
    <row r="475" spans="1:26" ht="15.75" customHeight="1" x14ac:dyDescent="0.25">
      <c r="A475" s="85" t="s">
        <v>1374</v>
      </c>
      <c r="B475" s="189" t="s">
        <v>309</v>
      </c>
      <c r="C475" s="9" t="s">
        <v>303</v>
      </c>
      <c r="D475" s="190">
        <v>6</v>
      </c>
      <c r="E475" s="191">
        <v>60</v>
      </c>
      <c r="F475" s="192">
        <v>24.4</v>
      </c>
      <c r="G475" s="191">
        <v>8</v>
      </c>
      <c r="H475" s="189" t="s">
        <v>339</v>
      </c>
      <c r="I475" s="193" t="s">
        <v>340</v>
      </c>
      <c r="J475" s="82" t="s">
        <v>305</v>
      </c>
      <c r="K475" s="83" t="s">
        <v>184</v>
      </c>
      <c r="O475" s="84"/>
      <c r="P475" s="84"/>
      <c r="Q475" s="84"/>
      <c r="R475" s="84"/>
      <c r="S475" s="84"/>
      <c r="T475" s="84"/>
      <c r="U475" s="84"/>
      <c r="V475" s="84"/>
      <c r="W475" s="84"/>
      <c r="X475" s="84"/>
      <c r="Y475" s="84"/>
      <c r="Z475" s="84"/>
    </row>
    <row r="476" spans="1:26" ht="15.75" customHeight="1" x14ac:dyDescent="0.25">
      <c r="A476" s="85" t="s">
        <v>1375</v>
      </c>
      <c r="B476" s="189" t="s">
        <v>359</v>
      </c>
      <c r="C476" s="9" t="s">
        <v>314</v>
      </c>
      <c r="D476" s="190">
        <v>10</v>
      </c>
      <c r="E476" s="191">
        <v>100</v>
      </c>
      <c r="F476" s="192">
        <v>6</v>
      </c>
      <c r="G476" s="191">
        <v>100</v>
      </c>
      <c r="H476" s="189"/>
      <c r="I476" s="193" t="s">
        <v>184</v>
      </c>
      <c r="J476" s="82" t="s">
        <v>305</v>
      </c>
      <c r="K476" s="83" t="s">
        <v>184</v>
      </c>
      <c r="O476" s="84"/>
      <c r="P476" s="84"/>
      <c r="Q476" s="84"/>
      <c r="R476" s="84"/>
      <c r="S476" s="84"/>
      <c r="T476" s="84"/>
      <c r="U476" s="84"/>
      <c r="V476" s="84"/>
      <c r="W476" s="84"/>
      <c r="X476" s="84"/>
      <c r="Y476" s="84"/>
      <c r="Z476" s="84"/>
    </row>
    <row r="477" spans="1:26" ht="15.75" customHeight="1" x14ac:dyDescent="0.25">
      <c r="A477" s="85" t="s">
        <v>1376</v>
      </c>
      <c r="B477" s="189" t="s">
        <v>390</v>
      </c>
      <c r="C477" s="9" t="s">
        <v>303</v>
      </c>
      <c r="D477" s="190">
        <v>10</v>
      </c>
      <c r="E477" s="191">
        <v>100</v>
      </c>
      <c r="F477" s="192">
        <v>11</v>
      </c>
      <c r="G477" s="191">
        <v>75</v>
      </c>
      <c r="H477" s="189" t="s">
        <v>474</v>
      </c>
      <c r="I477" s="193" t="s">
        <v>475</v>
      </c>
      <c r="J477" s="82">
        <v>100</v>
      </c>
      <c r="K477" s="83">
        <v>1</v>
      </c>
      <c r="O477" s="84"/>
      <c r="P477" s="84"/>
      <c r="Q477" s="84"/>
      <c r="R477" s="84"/>
      <c r="S477" s="84"/>
      <c r="T477" s="84"/>
      <c r="U477" s="84"/>
      <c r="V477" s="84"/>
      <c r="W477" s="84"/>
      <c r="X477" s="84"/>
      <c r="Y477" s="84"/>
      <c r="Z477" s="84"/>
    </row>
    <row r="478" spans="1:26" ht="15.75" customHeight="1" x14ac:dyDescent="0.25">
      <c r="A478" s="85" t="s">
        <v>1377</v>
      </c>
      <c r="B478" s="189" t="s">
        <v>367</v>
      </c>
      <c r="C478" s="9" t="s">
        <v>314</v>
      </c>
      <c r="D478" s="190">
        <v>6</v>
      </c>
      <c r="E478" s="191">
        <v>60</v>
      </c>
      <c r="F478" s="192">
        <v>24.4</v>
      </c>
      <c r="G478" s="191">
        <v>8</v>
      </c>
      <c r="H478" s="189" t="s">
        <v>339</v>
      </c>
      <c r="I478" s="193" t="s">
        <v>340</v>
      </c>
      <c r="J478" s="82" t="s">
        <v>305</v>
      </c>
      <c r="K478" s="83" t="s">
        <v>184</v>
      </c>
      <c r="O478" s="84"/>
      <c r="P478" s="84"/>
      <c r="Q478" s="84"/>
      <c r="R478" s="84"/>
      <c r="S478" s="84"/>
      <c r="T478" s="84"/>
      <c r="U478" s="84"/>
      <c r="V478" s="84"/>
      <c r="W478" s="84"/>
      <c r="X478" s="84"/>
      <c r="Y478" s="84"/>
      <c r="Z478" s="84"/>
    </row>
    <row r="479" spans="1:26" ht="15.75" customHeight="1" x14ac:dyDescent="0.25">
      <c r="A479" s="85" t="s">
        <v>1378</v>
      </c>
      <c r="B479" s="189" t="s">
        <v>302</v>
      </c>
      <c r="C479" s="9" t="s">
        <v>322</v>
      </c>
      <c r="D479" s="190" t="s">
        <v>304</v>
      </c>
      <c r="E479" s="191" t="s">
        <v>305</v>
      </c>
      <c r="F479" s="192" t="s">
        <v>304</v>
      </c>
      <c r="G479" s="191" t="s">
        <v>305</v>
      </c>
      <c r="H479" s="189" t="s">
        <v>1379</v>
      </c>
      <c r="I479" s="193" t="s">
        <v>1380</v>
      </c>
      <c r="J479" s="82" t="s">
        <v>305</v>
      </c>
      <c r="K479" s="83" t="s">
        <v>184</v>
      </c>
      <c r="O479" s="84"/>
      <c r="P479" s="84"/>
      <c r="Q479" s="84"/>
      <c r="R479" s="84"/>
      <c r="S479" s="84"/>
      <c r="T479" s="84"/>
      <c r="U479" s="84"/>
      <c r="V479" s="84"/>
      <c r="W479" s="84"/>
      <c r="X479" s="84"/>
      <c r="Y479" s="84"/>
      <c r="Z479" s="84"/>
    </row>
    <row r="480" spans="1:26" ht="15.75" customHeight="1" x14ac:dyDescent="0.25">
      <c r="A480" s="85" t="s">
        <v>1381</v>
      </c>
      <c r="B480" s="189" t="s">
        <v>302</v>
      </c>
      <c r="C480" s="9" t="s">
        <v>322</v>
      </c>
      <c r="D480" s="190" t="s">
        <v>304</v>
      </c>
      <c r="E480" s="191" t="s">
        <v>305</v>
      </c>
      <c r="F480" s="192" t="s">
        <v>304</v>
      </c>
      <c r="G480" s="191" t="s">
        <v>305</v>
      </c>
      <c r="H480" s="189" t="s">
        <v>1382</v>
      </c>
      <c r="I480" s="193" t="s">
        <v>1383</v>
      </c>
      <c r="J480" s="82" t="s">
        <v>305</v>
      </c>
      <c r="K480" s="83" t="s">
        <v>184</v>
      </c>
      <c r="O480" s="84"/>
      <c r="P480" s="84"/>
      <c r="Q480" s="84"/>
      <c r="R480" s="84"/>
      <c r="S480" s="84"/>
      <c r="T480" s="84"/>
      <c r="U480" s="84"/>
      <c r="V480" s="84"/>
      <c r="W480" s="84"/>
      <c r="X480" s="84"/>
      <c r="Y480" s="84"/>
      <c r="Z480" s="84"/>
    </row>
    <row r="481" spans="1:26" ht="15.75" customHeight="1" x14ac:dyDescent="0.25">
      <c r="A481" s="85" t="s">
        <v>1384</v>
      </c>
      <c r="B481" s="189" t="s">
        <v>515</v>
      </c>
      <c r="C481" s="9" t="s">
        <v>314</v>
      </c>
      <c r="D481" s="190" t="s">
        <v>304</v>
      </c>
      <c r="E481" s="191" t="s">
        <v>305</v>
      </c>
      <c r="F481" s="192">
        <v>6</v>
      </c>
      <c r="G481" s="191">
        <v>100</v>
      </c>
      <c r="H481" s="189" t="s">
        <v>1385</v>
      </c>
      <c r="I481" s="193" t="s">
        <v>1386</v>
      </c>
      <c r="J481" s="82" t="s">
        <v>305</v>
      </c>
      <c r="K481" s="83" t="s">
        <v>184</v>
      </c>
      <c r="O481" s="84"/>
      <c r="P481" s="84"/>
      <c r="Q481" s="84"/>
      <c r="R481" s="84"/>
      <c r="S481" s="84"/>
      <c r="T481" s="84"/>
      <c r="U481" s="84"/>
      <c r="V481" s="84"/>
      <c r="W481" s="84"/>
      <c r="X481" s="84"/>
      <c r="Y481" s="84"/>
      <c r="Z481" s="84"/>
    </row>
    <row r="482" spans="1:26" ht="15.75" customHeight="1" x14ac:dyDescent="0.25">
      <c r="A482" s="85" t="s">
        <v>1387</v>
      </c>
      <c r="B482" s="189" t="s">
        <v>367</v>
      </c>
      <c r="C482" s="9" t="s">
        <v>303</v>
      </c>
      <c r="D482" s="190">
        <v>12</v>
      </c>
      <c r="E482" s="191">
        <v>120</v>
      </c>
      <c r="F482" s="192">
        <v>6</v>
      </c>
      <c r="G482" s="191">
        <v>100</v>
      </c>
      <c r="H482" s="189" t="s">
        <v>1388</v>
      </c>
      <c r="I482" s="193" t="s">
        <v>1389</v>
      </c>
      <c r="J482" s="82" t="s">
        <v>305</v>
      </c>
      <c r="K482" s="83" t="s">
        <v>184</v>
      </c>
      <c r="O482" s="84"/>
      <c r="P482" s="84"/>
      <c r="Q482" s="84"/>
      <c r="R482" s="84"/>
      <c r="S482" s="84"/>
      <c r="T482" s="84"/>
      <c r="U482" s="84"/>
      <c r="V482" s="84"/>
      <c r="W482" s="84"/>
      <c r="X482" s="84"/>
      <c r="Y482" s="84"/>
      <c r="Z482" s="84"/>
    </row>
    <row r="483" spans="1:26" ht="15.75" customHeight="1" x14ac:dyDescent="0.25">
      <c r="A483" s="85" t="s">
        <v>1390</v>
      </c>
      <c r="B483" s="189" t="s">
        <v>403</v>
      </c>
      <c r="C483" s="9" t="s">
        <v>314</v>
      </c>
      <c r="D483" s="190">
        <v>18</v>
      </c>
      <c r="E483" s="191">
        <v>180</v>
      </c>
      <c r="F483" s="192" t="s">
        <v>304</v>
      </c>
      <c r="G483" s="191" t="s">
        <v>305</v>
      </c>
      <c r="H483" s="189" t="s">
        <v>1391</v>
      </c>
      <c r="I483" s="193" t="s">
        <v>1391</v>
      </c>
      <c r="J483" s="82" t="s">
        <v>305</v>
      </c>
      <c r="K483" s="83" t="s">
        <v>184</v>
      </c>
      <c r="O483" s="84"/>
      <c r="P483" s="84"/>
      <c r="Q483" s="84"/>
      <c r="R483" s="84"/>
      <c r="S483" s="84"/>
      <c r="T483" s="84"/>
      <c r="U483" s="84"/>
      <c r="V483" s="84"/>
      <c r="W483" s="84"/>
      <c r="X483" s="84"/>
      <c r="Y483" s="84"/>
      <c r="Z483" s="84"/>
    </row>
    <row r="484" spans="1:26" ht="15.75" customHeight="1" x14ac:dyDescent="0.25">
      <c r="A484" s="85" t="s">
        <v>1392</v>
      </c>
      <c r="B484" s="189" t="s">
        <v>318</v>
      </c>
      <c r="C484" s="9" t="s">
        <v>303</v>
      </c>
      <c r="D484" s="190">
        <v>10</v>
      </c>
      <c r="E484" s="191">
        <v>100</v>
      </c>
      <c r="F484" s="192">
        <v>6</v>
      </c>
      <c r="G484" s="191">
        <v>100</v>
      </c>
      <c r="H484" s="189" t="s">
        <v>1393</v>
      </c>
      <c r="I484" s="193" t="s">
        <v>1394</v>
      </c>
      <c r="J484" s="82" t="s">
        <v>305</v>
      </c>
      <c r="K484" s="83" t="s">
        <v>184</v>
      </c>
      <c r="O484" s="84"/>
      <c r="P484" s="84"/>
      <c r="Q484" s="84"/>
      <c r="R484" s="84"/>
      <c r="S484" s="84"/>
      <c r="T484" s="84"/>
      <c r="U484" s="84"/>
      <c r="V484" s="84"/>
      <c r="W484" s="84"/>
      <c r="X484" s="84"/>
      <c r="Y484" s="84"/>
      <c r="Z484" s="84"/>
    </row>
    <row r="485" spans="1:26" ht="15.75" customHeight="1" x14ac:dyDescent="0.25">
      <c r="A485" s="85" t="s">
        <v>1395</v>
      </c>
      <c r="B485" s="189" t="s">
        <v>356</v>
      </c>
      <c r="C485" s="9" t="s">
        <v>322</v>
      </c>
      <c r="D485" s="190" t="s">
        <v>304</v>
      </c>
      <c r="E485" s="191" t="s">
        <v>305</v>
      </c>
      <c r="F485" s="192" t="s">
        <v>304</v>
      </c>
      <c r="G485" s="191" t="s">
        <v>305</v>
      </c>
      <c r="H485" s="189" t="s">
        <v>1396</v>
      </c>
      <c r="I485" s="193" t="s">
        <v>1397</v>
      </c>
      <c r="J485" s="82" t="s">
        <v>305</v>
      </c>
      <c r="K485" s="83" t="s">
        <v>184</v>
      </c>
      <c r="O485" s="84"/>
      <c r="P485" s="84"/>
      <c r="Q485" s="84"/>
      <c r="R485" s="84"/>
      <c r="S485" s="84"/>
      <c r="T485" s="84"/>
      <c r="U485" s="84"/>
      <c r="V485" s="84"/>
      <c r="W485" s="84"/>
      <c r="X485" s="84"/>
      <c r="Y485" s="84"/>
      <c r="Z485" s="84"/>
    </row>
    <row r="486" spans="1:26" ht="15.75" customHeight="1" x14ac:dyDescent="0.25">
      <c r="A486" s="85" t="s">
        <v>1398</v>
      </c>
      <c r="B486" s="189"/>
      <c r="C486" s="9" t="s">
        <v>305</v>
      </c>
      <c r="D486" s="190" t="s">
        <v>304</v>
      </c>
      <c r="E486" s="191" t="s">
        <v>305</v>
      </c>
      <c r="F486" s="192" t="s">
        <v>304</v>
      </c>
      <c r="G486" s="191" t="s">
        <v>305</v>
      </c>
      <c r="H486" s="189" t="s">
        <v>1399</v>
      </c>
      <c r="I486" s="193" t="s">
        <v>1400</v>
      </c>
      <c r="J486" s="82" t="s">
        <v>305</v>
      </c>
      <c r="K486" s="83" t="s">
        <v>184</v>
      </c>
      <c r="O486" s="84"/>
      <c r="P486" s="84"/>
      <c r="Q486" s="84"/>
      <c r="R486" s="84"/>
      <c r="S486" s="84"/>
      <c r="T486" s="84"/>
      <c r="U486" s="84"/>
      <c r="V486" s="84"/>
      <c r="W486" s="84"/>
      <c r="X486" s="84"/>
      <c r="Y486" s="84"/>
      <c r="Z486" s="84"/>
    </row>
    <row r="487" spans="1:26" ht="15.75" customHeight="1" x14ac:dyDescent="0.25">
      <c r="A487" s="85" t="s">
        <v>1401</v>
      </c>
      <c r="B487" s="189" t="s">
        <v>331</v>
      </c>
      <c r="C487" s="9" t="s">
        <v>305</v>
      </c>
      <c r="D487" s="190" t="s">
        <v>304</v>
      </c>
      <c r="E487" s="191" t="s">
        <v>305</v>
      </c>
      <c r="F487" s="192" t="s">
        <v>304</v>
      </c>
      <c r="G487" s="191" t="s">
        <v>305</v>
      </c>
      <c r="H487" s="189" t="s">
        <v>1402</v>
      </c>
      <c r="I487" s="193" t="s">
        <v>1403</v>
      </c>
      <c r="J487" s="82">
        <v>100</v>
      </c>
      <c r="K487" s="83">
        <v>1</v>
      </c>
      <c r="O487" s="84"/>
      <c r="P487" s="84"/>
      <c r="Q487" s="84"/>
      <c r="R487" s="84"/>
      <c r="S487" s="84"/>
      <c r="T487" s="84"/>
      <c r="U487" s="84"/>
      <c r="V487" s="84"/>
      <c r="W487" s="84"/>
      <c r="X487" s="84"/>
      <c r="Y487" s="84"/>
      <c r="Z487" s="84"/>
    </row>
    <row r="488" spans="1:26" ht="15.75" customHeight="1" x14ac:dyDescent="0.25">
      <c r="A488" s="85" t="s">
        <v>1404</v>
      </c>
      <c r="B488" s="189" t="s">
        <v>403</v>
      </c>
      <c r="C488" s="9" t="s">
        <v>305</v>
      </c>
      <c r="D488" s="190" t="s">
        <v>304</v>
      </c>
      <c r="E488" s="191" t="s">
        <v>305</v>
      </c>
      <c r="F488" s="192" t="s">
        <v>304</v>
      </c>
      <c r="G488" s="191" t="s">
        <v>305</v>
      </c>
      <c r="H488" s="189" t="s">
        <v>1405</v>
      </c>
      <c r="I488" s="193" t="s">
        <v>1406</v>
      </c>
      <c r="J488" s="82">
        <v>100</v>
      </c>
      <c r="K488" s="83">
        <v>1</v>
      </c>
      <c r="O488" s="84"/>
      <c r="P488" s="84"/>
      <c r="Q488" s="84"/>
      <c r="R488" s="84"/>
      <c r="S488" s="84"/>
      <c r="T488" s="84"/>
      <c r="U488" s="84"/>
      <c r="V488" s="84"/>
      <c r="W488" s="84"/>
      <c r="X488" s="84"/>
      <c r="Y488" s="84"/>
      <c r="Z488" s="84"/>
    </row>
    <row r="489" spans="1:26" ht="15.75" customHeight="1" x14ac:dyDescent="0.25">
      <c r="A489" s="85" t="s">
        <v>1407</v>
      </c>
      <c r="B489" s="189" t="s">
        <v>390</v>
      </c>
      <c r="C489" s="9" t="s">
        <v>305</v>
      </c>
      <c r="D489" s="190" t="s">
        <v>304</v>
      </c>
      <c r="E489" s="191" t="s">
        <v>305</v>
      </c>
      <c r="F489" s="192" t="s">
        <v>304</v>
      </c>
      <c r="G489" s="191" t="s">
        <v>305</v>
      </c>
      <c r="H489" s="189" t="s">
        <v>1408</v>
      </c>
      <c r="I489" s="193" t="s">
        <v>1408</v>
      </c>
      <c r="J489" s="82" t="s">
        <v>305</v>
      </c>
      <c r="K489" s="83" t="s">
        <v>184</v>
      </c>
      <c r="O489" s="84"/>
      <c r="P489" s="84"/>
      <c r="Q489" s="84"/>
      <c r="R489" s="84"/>
      <c r="S489" s="84"/>
      <c r="T489" s="84"/>
      <c r="U489" s="84"/>
      <c r="V489" s="84"/>
      <c r="W489" s="84"/>
      <c r="X489" s="84"/>
      <c r="Y489" s="84"/>
      <c r="Z489" s="84"/>
    </row>
    <row r="490" spans="1:26" ht="15.75" customHeight="1" x14ac:dyDescent="0.25">
      <c r="A490" s="85" t="s">
        <v>1409</v>
      </c>
      <c r="B490" s="189" t="s">
        <v>411</v>
      </c>
      <c r="C490" s="9" t="s">
        <v>305</v>
      </c>
      <c r="D490" s="190" t="s">
        <v>304</v>
      </c>
      <c r="E490" s="191" t="s">
        <v>305</v>
      </c>
      <c r="F490" s="192" t="s">
        <v>304</v>
      </c>
      <c r="G490" s="191" t="s">
        <v>305</v>
      </c>
      <c r="H490" s="189" t="s">
        <v>1410</v>
      </c>
      <c r="I490" s="193" t="s">
        <v>1411</v>
      </c>
      <c r="J490" s="82">
        <v>100</v>
      </c>
      <c r="K490" s="83">
        <v>1</v>
      </c>
      <c r="O490" s="84"/>
      <c r="P490" s="84"/>
      <c r="Q490" s="84"/>
      <c r="R490" s="84"/>
      <c r="S490" s="84"/>
      <c r="T490" s="84"/>
      <c r="U490" s="84"/>
      <c r="V490" s="84"/>
      <c r="W490" s="84"/>
      <c r="X490" s="84"/>
      <c r="Y490" s="84"/>
      <c r="Z490" s="84"/>
    </row>
    <row r="491" spans="1:26" ht="15.75" customHeight="1" x14ac:dyDescent="0.25">
      <c r="A491" s="85" t="s">
        <v>1412</v>
      </c>
      <c r="B491" s="189" t="s">
        <v>377</v>
      </c>
      <c r="C491" s="9" t="s">
        <v>305</v>
      </c>
      <c r="D491" s="190" t="s">
        <v>304</v>
      </c>
      <c r="E491" s="191" t="s">
        <v>305</v>
      </c>
      <c r="F491" s="192" t="s">
        <v>304</v>
      </c>
      <c r="G491" s="191" t="s">
        <v>305</v>
      </c>
      <c r="H491" s="189" t="s">
        <v>1413</v>
      </c>
      <c r="I491" s="193" t="s">
        <v>1413</v>
      </c>
      <c r="J491" s="82" t="s">
        <v>305</v>
      </c>
      <c r="K491" s="83" t="s">
        <v>184</v>
      </c>
      <c r="O491" s="84"/>
      <c r="P491" s="84"/>
      <c r="Q491" s="84"/>
      <c r="R491" s="84"/>
      <c r="S491" s="84"/>
      <c r="T491" s="84"/>
      <c r="U491" s="84"/>
      <c r="V491" s="84"/>
      <c r="W491" s="84"/>
      <c r="X491" s="84"/>
      <c r="Y491" s="84"/>
      <c r="Z491" s="84"/>
    </row>
    <row r="492" spans="1:26" ht="15.75" customHeight="1" x14ac:dyDescent="0.25">
      <c r="A492" s="85" t="s">
        <v>1414</v>
      </c>
      <c r="B492" s="189" t="s">
        <v>335</v>
      </c>
      <c r="C492" s="9" t="s">
        <v>305</v>
      </c>
      <c r="D492" s="190" t="s">
        <v>304</v>
      </c>
      <c r="E492" s="191" t="s">
        <v>305</v>
      </c>
      <c r="F492" s="192" t="s">
        <v>304</v>
      </c>
      <c r="G492" s="191" t="s">
        <v>305</v>
      </c>
      <c r="H492" s="189" t="s">
        <v>1415</v>
      </c>
      <c r="I492" s="193" t="s">
        <v>1416</v>
      </c>
      <c r="J492" s="82" t="s">
        <v>305</v>
      </c>
      <c r="K492" s="83" t="s">
        <v>184</v>
      </c>
      <c r="O492" s="84"/>
      <c r="P492" s="84"/>
      <c r="Q492" s="84"/>
      <c r="R492" s="84"/>
      <c r="S492" s="84"/>
      <c r="T492" s="84"/>
      <c r="U492" s="84"/>
      <c r="V492" s="84"/>
      <c r="W492" s="84"/>
      <c r="X492" s="84"/>
      <c r="Y492" s="84"/>
      <c r="Z492" s="84"/>
    </row>
    <row r="493" spans="1:26" ht="15.75" customHeight="1" x14ac:dyDescent="0.25">
      <c r="A493" s="85" t="s">
        <v>1417</v>
      </c>
      <c r="B493" s="189" t="s">
        <v>419</v>
      </c>
      <c r="C493" s="9" t="s">
        <v>305</v>
      </c>
      <c r="D493" s="190" t="s">
        <v>304</v>
      </c>
      <c r="E493" s="191" t="s">
        <v>305</v>
      </c>
      <c r="F493" s="192" t="s">
        <v>304</v>
      </c>
      <c r="G493" s="191" t="s">
        <v>305</v>
      </c>
      <c r="H493" s="189" t="s">
        <v>1418</v>
      </c>
      <c r="I493" s="193" t="s">
        <v>1418</v>
      </c>
      <c r="J493" s="82" t="s">
        <v>305</v>
      </c>
      <c r="K493" s="83" t="s">
        <v>184</v>
      </c>
      <c r="O493" s="84"/>
      <c r="P493" s="84"/>
      <c r="Q493" s="84"/>
      <c r="R493" s="84"/>
      <c r="S493" s="84"/>
      <c r="T493" s="84"/>
      <c r="U493" s="84"/>
      <c r="V493" s="84"/>
      <c r="W493" s="84"/>
      <c r="X493" s="84"/>
      <c r="Y493" s="84"/>
      <c r="Z493" s="84"/>
    </row>
    <row r="494" spans="1:26" ht="15.75" customHeight="1" x14ac:dyDescent="0.25">
      <c r="A494" s="85" t="s">
        <v>1419</v>
      </c>
      <c r="B494" s="189" t="s">
        <v>356</v>
      </c>
      <c r="C494" s="9" t="s">
        <v>305</v>
      </c>
      <c r="D494" s="190" t="s">
        <v>304</v>
      </c>
      <c r="E494" s="191" t="s">
        <v>305</v>
      </c>
      <c r="F494" s="192" t="s">
        <v>304</v>
      </c>
      <c r="G494" s="191" t="s">
        <v>305</v>
      </c>
      <c r="H494" s="189" t="s">
        <v>1420</v>
      </c>
      <c r="I494" s="193" t="s">
        <v>1421</v>
      </c>
      <c r="J494" s="82">
        <v>100</v>
      </c>
      <c r="K494" s="83">
        <v>1</v>
      </c>
      <c r="O494" s="84"/>
      <c r="P494" s="84"/>
      <c r="Q494" s="84"/>
      <c r="R494" s="84"/>
      <c r="S494" s="84"/>
      <c r="T494" s="84"/>
      <c r="U494" s="84"/>
      <c r="V494" s="84"/>
      <c r="W494" s="84"/>
      <c r="X494" s="84"/>
      <c r="Y494" s="84"/>
      <c r="Z494" s="84"/>
    </row>
    <row r="495" spans="1:26" ht="15.75" customHeight="1" x14ac:dyDescent="0.25">
      <c r="A495" s="85" t="s">
        <v>1422</v>
      </c>
      <c r="B495" s="189" t="s">
        <v>302</v>
      </c>
      <c r="C495" s="9" t="s">
        <v>305</v>
      </c>
      <c r="D495" s="190" t="s">
        <v>304</v>
      </c>
      <c r="E495" s="191" t="s">
        <v>305</v>
      </c>
      <c r="F495" s="192" t="s">
        <v>304</v>
      </c>
      <c r="G495" s="191" t="s">
        <v>305</v>
      </c>
      <c r="H495" s="189" t="s">
        <v>1423</v>
      </c>
      <c r="I495" s="193" t="s">
        <v>1423</v>
      </c>
      <c r="J495" s="82" t="s">
        <v>305</v>
      </c>
      <c r="K495" s="83" t="s">
        <v>184</v>
      </c>
      <c r="O495" s="84"/>
      <c r="P495" s="84"/>
      <c r="Q495" s="84"/>
      <c r="R495" s="84"/>
      <c r="S495" s="84"/>
      <c r="T495" s="84"/>
      <c r="U495" s="84"/>
      <c r="V495" s="84"/>
      <c r="W495" s="84"/>
      <c r="X495" s="84"/>
      <c r="Y495" s="84"/>
      <c r="Z495" s="84"/>
    </row>
    <row r="496" spans="1:26" ht="15.75" customHeight="1" x14ac:dyDescent="0.25">
      <c r="A496" s="85" t="s">
        <v>1424</v>
      </c>
      <c r="B496" s="189" t="s">
        <v>348</v>
      </c>
      <c r="C496" s="9" t="s">
        <v>305</v>
      </c>
      <c r="D496" s="190" t="s">
        <v>304</v>
      </c>
      <c r="E496" s="191" t="s">
        <v>305</v>
      </c>
      <c r="F496" s="192" t="s">
        <v>304</v>
      </c>
      <c r="G496" s="191" t="s">
        <v>305</v>
      </c>
      <c r="H496" s="189" t="s">
        <v>1425</v>
      </c>
      <c r="I496" s="193" t="s">
        <v>1425</v>
      </c>
      <c r="J496" s="82" t="s">
        <v>305</v>
      </c>
      <c r="K496" s="83" t="s">
        <v>184</v>
      </c>
      <c r="O496" s="84"/>
      <c r="P496" s="84"/>
      <c r="Q496" s="84"/>
      <c r="R496" s="84"/>
      <c r="S496" s="84"/>
      <c r="T496" s="84"/>
      <c r="U496" s="84"/>
      <c r="V496" s="84"/>
      <c r="W496" s="84"/>
      <c r="X496" s="84"/>
      <c r="Y496" s="84"/>
      <c r="Z496" s="84"/>
    </row>
    <row r="497" spans="1:26" ht="15.75" customHeight="1" x14ac:dyDescent="0.25">
      <c r="A497" s="85" t="s">
        <v>1426</v>
      </c>
      <c r="B497" s="189" t="s">
        <v>318</v>
      </c>
      <c r="C497" s="9" t="s">
        <v>305</v>
      </c>
      <c r="D497" s="190" t="s">
        <v>304</v>
      </c>
      <c r="E497" s="191" t="s">
        <v>305</v>
      </c>
      <c r="F497" s="192" t="s">
        <v>304</v>
      </c>
      <c r="G497" s="191" t="s">
        <v>305</v>
      </c>
      <c r="H497" s="189" t="s">
        <v>1427</v>
      </c>
      <c r="I497" s="193" t="s">
        <v>1428</v>
      </c>
      <c r="J497" s="82">
        <v>100</v>
      </c>
      <c r="K497" s="83">
        <v>1</v>
      </c>
      <c r="O497" s="84"/>
      <c r="P497" s="84"/>
      <c r="Q497" s="84"/>
      <c r="R497" s="84"/>
      <c r="S497" s="84"/>
      <c r="T497" s="84"/>
      <c r="U497" s="84"/>
      <c r="V497" s="84"/>
      <c r="W497" s="84"/>
      <c r="X497" s="84"/>
      <c r="Y497" s="84"/>
      <c r="Z497" s="84"/>
    </row>
    <row r="498" spans="1:26" ht="15.75" customHeight="1" x14ac:dyDescent="0.25">
      <c r="A498" s="85" t="s">
        <v>1429</v>
      </c>
      <c r="B498" s="189" t="s">
        <v>309</v>
      </c>
      <c r="C498" s="9" t="s">
        <v>305</v>
      </c>
      <c r="D498" s="190" t="s">
        <v>304</v>
      </c>
      <c r="E498" s="191" t="s">
        <v>305</v>
      </c>
      <c r="F498" s="192" t="s">
        <v>304</v>
      </c>
      <c r="G498" s="191" t="s">
        <v>305</v>
      </c>
      <c r="H498" s="189" t="s">
        <v>1430</v>
      </c>
      <c r="I498" s="193" t="s">
        <v>1430</v>
      </c>
      <c r="J498" s="82" t="s">
        <v>305</v>
      </c>
      <c r="K498" s="83" t="s">
        <v>184</v>
      </c>
      <c r="O498" s="84"/>
      <c r="P498" s="84"/>
      <c r="Q498" s="84"/>
      <c r="R498" s="84"/>
      <c r="S498" s="84"/>
      <c r="T498" s="84"/>
      <c r="U498" s="84"/>
      <c r="V498" s="84"/>
      <c r="W498" s="84"/>
      <c r="X498" s="84"/>
      <c r="Y498" s="84"/>
      <c r="Z498" s="84"/>
    </row>
    <row r="499" spans="1:26" ht="15.75" customHeight="1" x14ac:dyDescent="0.25">
      <c r="A499" s="85" t="s">
        <v>1431</v>
      </c>
      <c r="B499" s="189" t="s">
        <v>407</v>
      </c>
      <c r="C499" s="9" t="s">
        <v>305</v>
      </c>
      <c r="D499" s="190" t="s">
        <v>304</v>
      </c>
      <c r="E499" s="191" t="s">
        <v>305</v>
      </c>
      <c r="F499" s="192" t="s">
        <v>304</v>
      </c>
      <c r="G499" s="191" t="s">
        <v>305</v>
      </c>
      <c r="H499" s="189" t="s">
        <v>1432</v>
      </c>
      <c r="I499" s="193" t="s">
        <v>1433</v>
      </c>
      <c r="J499" s="82">
        <v>100</v>
      </c>
      <c r="K499" s="83">
        <v>1</v>
      </c>
      <c r="O499" s="84"/>
      <c r="P499" s="84"/>
      <c r="Q499" s="84"/>
      <c r="R499" s="84"/>
      <c r="S499" s="84"/>
      <c r="T499" s="84"/>
      <c r="U499" s="84"/>
      <c r="V499" s="84"/>
      <c r="W499" s="84"/>
      <c r="X499" s="84"/>
      <c r="Y499" s="84"/>
      <c r="Z499" s="84"/>
    </row>
    <row r="500" spans="1:26" ht="15.75" customHeight="1" x14ac:dyDescent="0.25">
      <c r="A500" s="85" t="s">
        <v>1434</v>
      </c>
      <c r="B500" s="189" t="s">
        <v>515</v>
      </c>
      <c r="C500" s="9" t="s">
        <v>305</v>
      </c>
      <c r="D500" s="190" t="s">
        <v>304</v>
      </c>
      <c r="E500" s="191" t="s">
        <v>305</v>
      </c>
      <c r="F500" s="192" t="s">
        <v>304</v>
      </c>
      <c r="G500" s="191" t="s">
        <v>305</v>
      </c>
      <c r="H500" s="189" t="s">
        <v>1435</v>
      </c>
      <c r="I500" s="193" t="s">
        <v>1436</v>
      </c>
      <c r="J500" s="82">
        <v>100</v>
      </c>
      <c r="K500" s="83">
        <v>1</v>
      </c>
      <c r="O500" s="84"/>
      <c r="P500" s="84"/>
      <c r="Q500" s="84"/>
      <c r="R500" s="84"/>
      <c r="S500" s="84"/>
      <c r="T500" s="84"/>
      <c r="U500" s="84"/>
      <c r="V500" s="84"/>
      <c r="W500" s="84"/>
      <c r="X500" s="84"/>
      <c r="Y500" s="84"/>
      <c r="Z500" s="84"/>
    </row>
    <row r="501" spans="1:26" ht="15.75" customHeight="1" x14ac:dyDescent="0.25">
      <c r="A501" s="85" t="s">
        <v>1437</v>
      </c>
      <c r="B501" s="189" t="s">
        <v>313</v>
      </c>
      <c r="C501" s="9" t="s">
        <v>305</v>
      </c>
      <c r="D501" s="190" t="s">
        <v>304</v>
      </c>
      <c r="E501" s="191" t="s">
        <v>305</v>
      </c>
      <c r="F501" s="192" t="s">
        <v>304</v>
      </c>
      <c r="G501" s="191" t="s">
        <v>305</v>
      </c>
      <c r="H501" s="189" t="s">
        <v>1438</v>
      </c>
      <c r="I501" s="193" t="s">
        <v>1438</v>
      </c>
      <c r="J501" s="82" t="s">
        <v>305</v>
      </c>
      <c r="K501" s="83" t="s">
        <v>184</v>
      </c>
      <c r="O501" s="84"/>
      <c r="P501" s="84"/>
      <c r="Q501" s="84"/>
      <c r="R501" s="84"/>
      <c r="S501" s="84"/>
      <c r="T501" s="84"/>
      <c r="U501" s="84"/>
      <c r="V501" s="84"/>
      <c r="W501" s="84"/>
      <c r="X501" s="84"/>
      <c r="Y501" s="84"/>
      <c r="Z501" s="84"/>
    </row>
    <row r="502" spans="1:26" ht="15.75" customHeight="1" x14ac:dyDescent="0.25">
      <c r="A502" s="85" t="s">
        <v>1439</v>
      </c>
      <c r="B502" s="189" t="s">
        <v>359</v>
      </c>
      <c r="C502" s="9" t="s">
        <v>305</v>
      </c>
      <c r="D502" s="190" t="s">
        <v>304</v>
      </c>
      <c r="E502" s="191" t="s">
        <v>305</v>
      </c>
      <c r="F502" s="192" t="s">
        <v>304</v>
      </c>
      <c r="G502" s="191" t="s">
        <v>305</v>
      </c>
      <c r="H502" s="189" t="s">
        <v>1440</v>
      </c>
      <c r="I502" s="193" t="s">
        <v>1440</v>
      </c>
      <c r="J502" s="82" t="s">
        <v>305</v>
      </c>
      <c r="K502" s="83" t="s">
        <v>184</v>
      </c>
      <c r="O502" s="84"/>
      <c r="P502" s="84"/>
      <c r="Q502" s="84"/>
      <c r="R502" s="84"/>
      <c r="S502" s="84"/>
      <c r="T502" s="84"/>
      <c r="U502" s="84"/>
      <c r="V502" s="84"/>
      <c r="W502" s="84"/>
      <c r="X502" s="84"/>
      <c r="Y502" s="84"/>
      <c r="Z502" s="84"/>
    </row>
    <row r="503" spans="1:26" ht="15.75" customHeight="1" x14ac:dyDescent="0.25">
      <c r="A503" s="85" t="s">
        <v>1441</v>
      </c>
      <c r="B503" s="189" t="s">
        <v>367</v>
      </c>
      <c r="C503" s="9" t="s">
        <v>305</v>
      </c>
      <c r="D503" s="190" t="s">
        <v>304</v>
      </c>
      <c r="E503" s="191" t="s">
        <v>305</v>
      </c>
      <c r="F503" s="192" t="s">
        <v>304</v>
      </c>
      <c r="G503" s="191" t="s">
        <v>305</v>
      </c>
      <c r="H503" s="189" t="s">
        <v>1442</v>
      </c>
      <c r="I503" s="193" t="s">
        <v>1443</v>
      </c>
      <c r="J503" s="82">
        <v>100</v>
      </c>
      <c r="K503" s="83">
        <v>1</v>
      </c>
      <c r="O503" s="84"/>
      <c r="P503" s="84"/>
      <c r="Q503" s="84"/>
      <c r="R503" s="84"/>
      <c r="S503" s="84"/>
      <c r="T503" s="84"/>
      <c r="U503" s="84"/>
      <c r="V503" s="84"/>
      <c r="W503" s="84"/>
      <c r="X503" s="84"/>
      <c r="Y503" s="84"/>
      <c r="Z503" s="84"/>
    </row>
    <row r="504" spans="1:26" ht="15.75" customHeight="1" x14ac:dyDescent="0.25">
      <c r="A504" s="85" t="s">
        <v>1444</v>
      </c>
      <c r="B504" s="189" t="s">
        <v>335</v>
      </c>
      <c r="C504" s="9" t="s">
        <v>305</v>
      </c>
      <c r="D504" s="190" t="s">
        <v>304</v>
      </c>
      <c r="E504" s="191" t="s">
        <v>305</v>
      </c>
      <c r="F504" s="192" t="s">
        <v>304</v>
      </c>
      <c r="G504" s="191" t="s">
        <v>305</v>
      </c>
      <c r="H504" s="189" t="s">
        <v>1445</v>
      </c>
      <c r="I504" s="193" t="s">
        <v>1446</v>
      </c>
      <c r="J504" s="82">
        <v>100</v>
      </c>
      <c r="K504" s="83">
        <v>1</v>
      </c>
      <c r="O504" s="84"/>
      <c r="P504" s="84"/>
      <c r="Q504" s="84"/>
      <c r="R504" s="84"/>
      <c r="S504" s="84"/>
      <c r="T504" s="84"/>
      <c r="U504" s="84"/>
      <c r="V504" s="84"/>
      <c r="W504" s="84"/>
      <c r="X504" s="84"/>
      <c r="Y504" s="84"/>
      <c r="Z504" s="84"/>
    </row>
    <row r="505" spans="1:26" ht="15.75" customHeight="1" x14ac:dyDescent="0.25">
      <c r="A505" s="85" t="s">
        <v>1447</v>
      </c>
      <c r="B505" s="189" t="s">
        <v>530</v>
      </c>
      <c r="C505" s="9" t="s">
        <v>305</v>
      </c>
      <c r="D505" s="190" t="s">
        <v>304</v>
      </c>
      <c r="E505" s="191" t="s">
        <v>305</v>
      </c>
      <c r="F505" s="192" t="s">
        <v>304</v>
      </c>
      <c r="G505" s="191" t="s">
        <v>305</v>
      </c>
      <c r="H505" s="189" t="s">
        <v>1448</v>
      </c>
      <c r="I505" s="193" t="s">
        <v>1449</v>
      </c>
      <c r="J505" s="82">
        <v>100</v>
      </c>
      <c r="K505" s="83">
        <v>1</v>
      </c>
      <c r="O505" s="84"/>
      <c r="P505" s="84"/>
      <c r="Q505" s="84"/>
      <c r="R505" s="84"/>
      <c r="S505" s="84"/>
      <c r="T505" s="84"/>
      <c r="U505" s="84"/>
      <c r="V505" s="84"/>
      <c r="W505" s="84"/>
      <c r="X505" s="84"/>
      <c r="Y505" s="84"/>
      <c r="Z505" s="84"/>
    </row>
    <row r="506" spans="1:26" ht="15.75" customHeight="1" x14ac:dyDescent="0.25">
      <c r="A506" s="85" t="s">
        <v>1450</v>
      </c>
      <c r="B506" s="189" t="s">
        <v>335</v>
      </c>
      <c r="C506" s="9" t="s">
        <v>322</v>
      </c>
      <c r="D506" s="190" t="s">
        <v>304</v>
      </c>
      <c r="E506" s="191" t="s">
        <v>305</v>
      </c>
      <c r="F506" s="192" t="s">
        <v>304</v>
      </c>
      <c r="G506" s="191" t="s">
        <v>305</v>
      </c>
      <c r="H506" s="189" t="s">
        <v>1451</v>
      </c>
      <c r="I506" s="193" t="s">
        <v>1452</v>
      </c>
      <c r="J506" s="82" t="s">
        <v>305</v>
      </c>
      <c r="K506" s="83" t="s">
        <v>184</v>
      </c>
      <c r="O506" s="84"/>
      <c r="P506" s="84"/>
      <c r="Q506" s="84"/>
      <c r="R506" s="84"/>
      <c r="S506" s="84"/>
      <c r="T506" s="84"/>
      <c r="U506" s="84"/>
      <c r="V506" s="84"/>
      <c r="W506" s="84"/>
      <c r="X506" s="84"/>
      <c r="Y506" s="84"/>
      <c r="Z506" s="84"/>
    </row>
    <row r="507" spans="1:26" ht="15.75" customHeight="1" x14ac:dyDescent="0.25">
      <c r="A507" s="85" t="s">
        <v>1453</v>
      </c>
      <c r="B507" s="189" t="s">
        <v>335</v>
      </c>
      <c r="C507" s="9" t="s">
        <v>322</v>
      </c>
      <c r="D507" s="190" t="s">
        <v>304</v>
      </c>
      <c r="E507" s="191" t="s">
        <v>305</v>
      </c>
      <c r="F507" s="192" t="s">
        <v>304</v>
      </c>
      <c r="G507" s="191" t="s">
        <v>305</v>
      </c>
      <c r="H507" s="189" t="s">
        <v>495</v>
      </c>
      <c r="I507" s="193" t="s">
        <v>496</v>
      </c>
      <c r="J507" s="82" t="s">
        <v>305</v>
      </c>
      <c r="K507" s="83" t="s">
        <v>184</v>
      </c>
      <c r="O507" s="84"/>
      <c r="P507" s="84"/>
      <c r="Q507" s="84"/>
      <c r="R507" s="84"/>
      <c r="S507" s="84"/>
      <c r="T507" s="84"/>
      <c r="U507" s="84"/>
      <c r="V507" s="84"/>
      <c r="W507" s="84"/>
      <c r="X507" s="84"/>
      <c r="Y507" s="84"/>
      <c r="Z507" s="84"/>
    </row>
    <row r="508" spans="1:26" ht="15.75" customHeight="1" x14ac:dyDescent="0.25">
      <c r="A508" s="85" t="s">
        <v>1454</v>
      </c>
      <c r="B508" s="189" t="s">
        <v>348</v>
      </c>
      <c r="C508" s="9" t="s">
        <v>322</v>
      </c>
      <c r="D508" s="190" t="s">
        <v>304</v>
      </c>
      <c r="E508" s="191" t="s">
        <v>305</v>
      </c>
      <c r="F508" s="192" t="s">
        <v>304</v>
      </c>
      <c r="G508" s="191" t="s">
        <v>305</v>
      </c>
      <c r="H508" s="189" t="s">
        <v>1455</v>
      </c>
      <c r="I508" s="193" t="s">
        <v>1219</v>
      </c>
      <c r="J508" s="82" t="s">
        <v>305</v>
      </c>
      <c r="K508" s="83" t="s">
        <v>184</v>
      </c>
      <c r="O508" s="84"/>
      <c r="P508" s="84"/>
      <c r="Q508" s="84"/>
      <c r="R508" s="84"/>
      <c r="S508" s="84"/>
      <c r="T508" s="84"/>
      <c r="U508" s="84"/>
      <c r="V508" s="84"/>
      <c r="W508" s="84"/>
      <c r="X508" s="84"/>
      <c r="Y508" s="84"/>
      <c r="Z508" s="84"/>
    </row>
    <row r="509" spans="1:26" ht="15.75" customHeight="1" x14ac:dyDescent="0.25">
      <c r="A509" s="85" t="s">
        <v>1456</v>
      </c>
      <c r="B509" s="189" t="s">
        <v>309</v>
      </c>
      <c r="C509" s="9" t="s">
        <v>303</v>
      </c>
      <c r="D509" s="190">
        <v>4</v>
      </c>
      <c r="E509" s="191">
        <v>40</v>
      </c>
      <c r="F509" s="192">
        <v>6</v>
      </c>
      <c r="G509" s="191">
        <v>100</v>
      </c>
      <c r="H509" s="189" t="s">
        <v>310</v>
      </c>
      <c r="I509" s="193" t="s">
        <v>311</v>
      </c>
      <c r="J509" s="82" t="s">
        <v>305</v>
      </c>
      <c r="K509" s="83" t="s">
        <v>184</v>
      </c>
      <c r="O509" s="84"/>
      <c r="P509" s="84"/>
      <c r="Q509" s="84"/>
      <c r="R509" s="84"/>
      <c r="S509" s="84"/>
      <c r="T509" s="84"/>
      <c r="U509" s="84"/>
      <c r="V509" s="84"/>
      <c r="W509" s="84"/>
      <c r="X509" s="84"/>
      <c r="Y509" s="84"/>
      <c r="Z509" s="84"/>
    </row>
    <row r="510" spans="1:26" ht="15.75" customHeight="1" x14ac:dyDescent="0.25">
      <c r="A510" s="85" t="s">
        <v>1457</v>
      </c>
      <c r="B510" s="189" t="s">
        <v>335</v>
      </c>
      <c r="C510" s="9" t="s">
        <v>314</v>
      </c>
      <c r="D510" s="190">
        <v>12</v>
      </c>
      <c r="E510" s="191">
        <v>120</v>
      </c>
      <c r="F510" s="192">
        <v>11</v>
      </c>
      <c r="G510" s="191">
        <v>75</v>
      </c>
      <c r="H510" s="189"/>
      <c r="I510" s="193" t="s">
        <v>184</v>
      </c>
      <c r="J510" s="82" t="s">
        <v>305</v>
      </c>
      <c r="K510" s="83" t="s">
        <v>184</v>
      </c>
      <c r="O510" s="84"/>
      <c r="P510" s="84"/>
      <c r="Q510" s="84"/>
      <c r="R510" s="84"/>
      <c r="S510" s="84"/>
      <c r="T510" s="84"/>
      <c r="U510" s="84"/>
      <c r="V510" s="84"/>
      <c r="W510" s="84"/>
      <c r="X510" s="84"/>
      <c r="Y510" s="84"/>
      <c r="Z510" s="84"/>
    </row>
    <row r="511" spans="1:26" ht="15.75" customHeight="1" x14ac:dyDescent="0.25">
      <c r="A511" s="85" t="s">
        <v>1458</v>
      </c>
      <c r="B511" s="189" t="s">
        <v>335</v>
      </c>
      <c r="C511" s="9" t="s">
        <v>314</v>
      </c>
      <c r="D511" s="190">
        <v>8</v>
      </c>
      <c r="E511" s="191">
        <v>80</v>
      </c>
      <c r="F511" s="192">
        <v>9</v>
      </c>
      <c r="G511" s="191">
        <v>85</v>
      </c>
      <c r="H511" s="189"/>
      <c r="I511" s="193" t="s">
        <v>184</v>
      </c>
      <c r="J511" s="82" t="s">
        <v>305</v>
      </c>
      <c r="K511" s="83" t="s">
        <v>184</v>
      </c>
      <c r="O511" s="84"/>
      <c r="P511" s="84"/>
      <c r="Q511" s="84"/>
      <c r="R511" s="84"/>
      <c r="S511" s="84"/>
      <c r="T511" s="84"/>
      <c r="U511" s="84"/>
      <c r="V511" s="84"/>
      <c r="W511" s="84"/>
      <c r="X511" s="84"/>
      <c r="Y511" s="84"/>
      <c r="Z511" s="84"/>
    </row>
    <row r="512" spans="1:26" ht="15.75" customHeight="1" x14ac:dyDescent="0.25">
      <c r="A512" s="85" t="s">
        <v>1459</v>
      </c>
      <c r="B512" s="189" t="s">
        <v>411</v>
      </c>
      <c r="C512" s="9" t="s">
        <v>314</v>
      </c>
      <c r="D512" s="190">
        <v>12</v>
      </c>
      <c r="E512" s="191">
        <v>120</v>
      </c>
      <c r="F512" s="192">
        <v>9</v>
      </c>
      <c r="G512" s="191">
        <v>85</v>
      </c>
      <c r="H512" s="189"/>
      <c r="I512" s="193" t="s">
        <v>184</v>
      </c>
      <c r="J512" s="82" t="s">
        <v>305</v>
      </c>
      <c r="K512" s="83" t="s">
        <v>184</v>
      </c>
      <c r="O512" s="84"/>
      <c r="P512" s="84"/>
      <c r="Q512" s="84"/>
      <c r="R512" s="84"/>
      <c r="S512" s="84"/>
      <c r="T512" s="84"/>
      <c r="U512" s="84"/>
      <c r="V512" s="84"/>
      <c r="W512" s="84"/>
      <c r="X512" s="84"/>
      <c r="Y512" s="84"/>
      <c r="Z512" s="84"/>
    </row>
    <row r="513" spans="1:26" ht="15.75" customHeight="1" x14ac:dyDescent="0.25">
      <c r="A513" s="85" t="s">
        <v>1460</v>
      </c>
      <c r="B513" s="189" t="s">
        <v>403</v>
      </c>
      <c r="C513" s="9" t="s">
        <v>322</v>
      </c>
      <c r="D513" s="190" t="s">
        <v>304</v>
      </c>
      <c r="E513" s="191" t="s">
        <v>305</v>
      </c>
      <c r="F513" s="192">
        <v>6</v>
      </c>
      <c r="G513" s="191">
        <v>100</v>
      </c>
      <c r="H513" s="189" t="s">
        <v>1461</v>
      </c>
      <c r="I513" s="193" t="s">
        <v>1462</v>
      </c>
      <c r="J513" s="82" t="s">
        <v>305</v>
      </c>
      <c r="K513" s="83" t="s">
        <v>184</v>
      </c>
      <c r="O513" s="84"/>
      <c r="P513" s="84"/>
      <c r="Q513" s="84"/>
      <c r="R513" s="84"/>
      <c r="S513" s="84"/>
      <c r="T513" s="84"/>
      <c r="U513" s="84"/>
      <c r="V513" s="84"/>
      <c r="W513" s="84"/>
      <c r="X513" s="84"/>
      <c r="Y513" s="84"/>
      <c r="Z513" s="84"/>
    </row>
    <row r="514" spans="1:26" ht="15.75" customHeight="1" x14ac:dyDescent="0.25">
      <c r="A514" s="85" t="s">
        <v>1463</v>
      </c>
      <c r="B514" s="189" t="s">
        <v>407</v>
      </c>
      <c r="C514" s="9" t="s">
        <v>303</v>
      </c>
      <c r="D514" s="190">
        <v>20</v>
      </c>
      <c r="E514" s="191">
        <v>200</v>
      </c>
      <c r="F514" s="192" t="s">
        <v>304</v>
      </c>
      <c r="G514" s="191" t="s">
        <v>305</v>
      </c>
      <c r="H514" s="189" t="s">
        <v>1464</v>
      </c>
      <c r="I514" s="193" t="s">
        <v>1464</v>
      </c>
      <c r="J514" s="82" t="s">
        <v>305</v>
      </c>
      <c r="K514" s="83" t="s">
        <v>184</v>
      </c>
      <c r="O514" s="84"/>
      <c r="P514" s="84"/>
      <c r="Q514" s="84"/>
      <c r="R514" s="84"/>
      <c r="S514" s="84"/>
      <c r="T514" s="84"/>
      <c r="U514" s="84"/>
      <c r="V514" s="84"/>
      <c r="W514" s="84"/>
      <c r="X514" s="84"/>
      <c r="Y514" s="84"/>
      <c r="Z514" s="84"/>
    </row>
    <row r="515" spans="1:26" ht="15.75" customHeight="1" x14ac:dyDescent="0.25">
      <c r="A515" s="85" t="s">
        <v>1465</v>
      </c>
      <c r="B515" s="189" t="s">
        <v>367</v>
      </c>
      <c r="C515" s="9" t="s">
        <v>314</v>
      </c>
      <c r="D515" s="190" t="s">
        <v>304</v>
      </c>
      <c r="E515" s="191" t="s">
        <v>305</v>
      </c>
      <c r="F515" s="192">
        <v>6</v>
      </c>
      <c r="G515" s="191">
        <v>100</v>
      </c>
      <c r="H515" s="189" t="s">
        <v>1466</v>
      </c>
      <c r="I515" s="193" t="s">
        <v>1467</v>
      </c>
      <c r="J515" s="82" t="s">
        <v>305</v>
      </c>
      <c r="K515" s="83" t="s">
        <v>184</v>
      </c>
      <c r="O515" s="84"/>
      <c r="P515" s="84"/>
      <c r="Q515" s="84"/>
      <c r="R515" s="84"/>
      <c r="S515" s="84"/>
      <c r="T515" s="84"/>
      <c r="U515" s="84"/>
      <c r="V515" s="84"/>
      <c r="W515" s="84"/>
      <c r="X515" s="84"/>
      <c r="Y515" s="84"/>
      <c r="Z515" s="84"/>
    </row>
    <row r="516" spans="1:26" ht="15.75" customHeight="1" x14ac:dyDescent="0.25">
      <c r="A516" s="85" t="s">
        <v>1468</v>
      </c>
      <c r="B516" s="189" t="s">
        <v>367</v>
      </c>
      <c r="C516" s="9" t="s">
        <v>314</v>
      </c>
      <c r="D516" s="190">
        <v>5</v>
      </c>
      <c r="E516" s="191">
        <v>50</v>
      </c>
      <c r="F516" s="192">
        <v>7</v>
      </c>
      <c r="G516" s="191">
        <v>95</v>
      </c>
      <c r="H516" s="189" t="s">
        <v>1469</v>
      </c>
      <c r="I516" s="193" t="s">
        <v>1470</v>
      </c>
      <c r="J516" s="82">
        <v>10</v>
      </c>
      <c r="K516" s="83">
        <v>19</v>
      </c>
      <c r="O516" s="84"/>
      <c r="P516" s="84"/>
      <c r="Q516" s="84"/>
      <c r="R516" s="84"/>
      <c r="S516" s="84"/>
      <c r="T516" s="84"/>
      <c r="U516" s="84"/>
      <c r="V516" s="84"/>
      <c r="W516" s="84"/>
      <c r="X516" s="84"/>
      <c r="Y516" s="84"/>
      <c r="Z516" s="84"/>
    </row>
    <row r="517" spans="1:26" ht="15.75" customHeight="1" x14ac:dyDescent="0.25">
      <c r="A517" s="85" t="s">
        <v>1471</v>
      </c>
      <c r="B517" s="189" t="s">
        <v>367</v>
      </c>
      <c r="C517" s="9" t="s">
        <v>322</v>
      </c>
      <c r="D517" s="190" t="s">
        <v>304</v>
      </c>
      <c r="E517" s="191" t="s">
        <v>305</v>
      </c>
      <c r="F517" s="192">
        <v>9</v>
      </c>
      <c r="G517" s="191">
        <v>85</v>
      </c>
      <c r="H517" s="189" t="s">
        <v>328</v>
      </c>
      <c r="I517" s="193" t="s">
        <v>329</v>
      </c>
      <c r="J517" s="82" t="s">
        <v>305</v>
      </c>
      <c r="K517" s="83" t="s">
        <v>184</v>
      </c>
      <c r="O517" s="84"/>
      <c r="P517" s="84"/>
      <c r="Q517" s="84"/>
      <c r="R517" s="84"/>
      <c r="S517" s="84"/>
      <c r="T517" s="84"/>
      <c r="U517" s="84"/>
      <c r="V517" s="84"/>
      <c r="W517" s="84"/>
      <c r="X517" s="84"/>
      <c r="Y517" s="84"/>
      <c r="Z517" s="84"/>
    </row>
    <row r="518" spans="1:26" ht="15.75" customHeight="1" x14ac:dyDescent="0.25">
      <c r="A518" s="85" t="s">
        <v>1472</v>
      </c>
      <c r="B518" s="189" t="s">
        <v>356</v>
      </c>
      <c r="C518" s="9" t="s">
        <v>314</v>
      </c>
      <c r="D518" s="190">
        <v>15</v>
      </c>
      <c r="E518" s="191">
        <v>150</v>
      </c>
      <c r="F518" s="192">
        <v>6</v>
      </c>
      <c r="G518" s="191">
        <v>100</v>
      </c>
      <c r="H518" s="189" t="s">
        <v>482</v>
      </c>
      <c r="I518" s="193" t="s">
        <v>483</v>
      </c>
      <c r="J518" s="82" t="s">
        <v>305</v>
      </c>
      <c r="K518" s="83" t="s">
        <v>184</v>
      </c>
      <c r="O518" s="84"/>
      <c r="P518" s="84"/>
      <c r="Q518" s="84"/>
      <c r="R518" s="84"/>
      <c r="S518" s="84"/>
      <c r="T518" s="84"/>
      <c r="U518" s="84"/>
      <c r="V518" s="84"/>
      <c r="W518" s="84"/>
      <c r="X518" s="84"/>
      <c r="Y518" s="84"/>
      <c r="Z518" s="84"/>
    </row>
    <row r="519" spans="1:26" ht="15.75" customHeight="1" x14ac:dyDescent="0.25">
      <c r="A519" s="85" t="s">
        <v>1473</v>
      </c>
      <c r="B519" s="189" t="s">
        <v>313</v>
      </c>
      <c r="C519" s="9" t="s">
        <v>303</v>
      </c>
      <c r="D519" s="190">
        <v>12</v>
      </c>
      <c r="E519" s="191">
        <v>120</v>
      </c>
      <c r="F519" s="192">
        <v>8</v>
      </c>
      <c r="G519" s="191">
        <v>90</v>
      </c>
      <c r="H519" s="189" t="s">
        <v>1474</v>
      </c>
      <c r="I519" s="193" t="s">
        <v>1474</v>
      </c>
      <c r="J519" s="82" t="s">
        <v>305</v>
      </c>
      <c r="K519" s="83" t="s">
        <v>184</v>
      </c>
      <c r="O519" s="84"/>
      <c r="P519" s="84"/>
      <c r="Q519" s="84"/>
      <c r="R519" s="84"/>
      <c r="S519" s="84"/>
      <c r="T519" s="84"/>
      <c r="U519" s="84"/>
      <c r="V519" s="84"/>
      <c r="W519" s="84"/>
      <c r="X519" s="84"/>
      <c r="Y519" s="84"/>
      <c r="Z519" s="84"/>
    </row>
    <row r="520" spans="1:26" ht="15.75" customHeight="1" x14ac:dyDescent="0.25">
      <c r="A520" s="85" t="s">
        <v>1475</v>
      </c>
      <c r="B520" s="189" t="s">
        <v>367</v>
      </c>
      <c r="C520" s="9" t="s">
        <v>314</v>
      </c>
      <c r="D520" s="190">
        <v>9</v>
      </c>
      <c r="E520" s="191">
        <v>90</v>
      </c>
      <c r="F520" s="192">
        <v>8</v>
      </c>
      <c r="G520" s="191">
        <v>90</v>
      </c>
      <c r="H520" s="189" t="s">
        <v>1469</v>
      </c>
      <c r="I520" s="193" t="s">
        <v>1470</v>
      </c>
      <c r="J520" s="82">
        <v>20</v>
      </c>
      <c r="K520" s="83">
        <v>17</v>
      </c>
      <c r="O520" s="84"/>
      <c r="P520" s="84"/>
      <c r="Q520" s="84"/>
      <c r="R520" s="84"/>
      <c r="S520" s="84"/>
      <c r="T520" s="84"/>
      <c r="U520" s="84"/>
      <c r="V520" s="84"/>
      <c r="W520" s="84"/>
      <c r="X520" s="84"/>
      <c r="Y520" s="84"/>
      <c r="Z520" s="84"/>
    </row>
    <row r="521" spans="1:26" ht="15.75" customHeight="1" x14ac:dyDescent="0.25">
      <c r="A521" s="85" t="s">
        <v>1476</v>
      </c>
      <c r="B521" s="189" t="s">
        <v>335</v>
      </c>
      <c r="C521" s="9" t="s">
        <v>322</v>
      </c>
      <c r="D521" s="190" t="s">
        <v>304</v>
      </c>
      <c r="E521" s="191" t="s">
        <v>305</v>
      </c>
      <c r="F521" s="192" t="s">
        <v>304</v>
      </c>
      <c r="G521" s="191" t="s">
        <v>305</v>
      </c>
      <c r="H521" s="189" t="s">
        <v>1477</v>
      </c>
      <c r="I521" s="193" t="s">
        <v>1478</v>
      </c>
      <c r="J521" s="82" t="s">
        <v>305</v>
      </c>
      <c r="K521" s="83" t="s">
        <v>184</v>
      </c>
      <c r="O521" s="84"/>
      <c r="P521" s="84"/>
      <c r="Q521" s="84"/>
      <c r="R521" s="84"/>
      <c r="S521" s="84"/>
      <c r="T521" s="84"/>
      <c r="U521" s="84"/>
      <c r="V521" s="84"/>
      <c r="W521" s="84"/>
      <c r="X521" s="84"/>
      <c r="Y521" s="84"/>
      <c r="Z521" s="84"/>
    </row>
    <row r="522" spans="1:26" ht="15.75" customHeight="1" x14ac:dyDescent="0.25">
      <c r="A522" s="85" t="s">
        <v>1479</v>
      </c>
      <c r="B522" s="189" t="s">
        <v>313</v>
      </c>
      <c r="C522" s="9" t="s">
        <v>314</v>
      </c>
      <c r="D522" s="190">
        <v>10</v>
      </c>
      <c r="E522" s="191">
        <v>95</v>
      </c>
      <c r="F522" s="192">
        <v>6</v>
      </c>
      <c r="G522" s="191">
        <v>100</v>
      </c>
      <c r="H522" s="189"/>
      <c r="I522" s="193" t="s">
        <v>184</v>
      </c>
      <c r="J522" s="82" t="s">
        <v>305</v>
      </c>
      <c r="K522" s="83" t="s">
        <v>184</v>
      </c>
      <c r="O522" s="84"/>
      <c r="P522" s="84"/>
      <c r="Q522" s="84"/>
      <c r="R522" s="84"/>
      <c r="S522" s="84"/>
      <c r="T522" s="84"/>
      <c r="U522" s="84"/>
      <c r="V522" s="84"/>
      <c r="W522" s="84"/>
      <c r="X522" s="84"/>
      <c r="Y522" s="84"/>
      <c r="Z522" s="84"/>
    </row>
    <row r="523" spans="1:26" ht="15.75" customHeight="1" x14ac:dyDescent="0.25">
      <c r="A523" s="85" t="s">
        <v>1480</v>
      </c>
      <c r="B523" s="189" t="s">
        <v>335</v>
      </c>
      <c r="C523" s="9" t="s">
        <v>322</v>
      </c>
      <c r="D523" s="190" t="s">
        <v>304</v>
      </c>
      <c r="E523" s="191" t="s">
        <v>305</v>
      </c>
      <c r="F523" s="192" t="s">
        <v>304</v>
      </c>
      <c r="G523" s="191" t="s">
        <v>305</v>
      </c>
      <c r="H523" s="189" t="s">
        <v>1179</v>
      </c>
      <c r="I523" s="193" t="s">
        <v>1180</v>
      </c>
      <c r="J523" s="82" t="s">
        <v>305</v>
      </c>
      <c r="K523" s="83" t="s">
        <v>184</v>
      </c>
      <c r="O523" s="84"/>
      <c r="P523" s="84"/>
      <c r="Q523" s="84"/>
      <c r="R523" s="84"/>
      <c r="S523" s="84"/>
      <c r="T523" s="84"/>
      <c r="U523" s="84"/>
      <c r="V523" s="84"/>
      <c r="W523" s="84"/>
      <c r="X523" s="84"/>
      <c r="Y523" s="84"/>
      <c r="Z523" s="84"/>
    </row>
    <row r="524" spans="1:26" ht="15.75" customHeight="1" x14ac:dyDescent="0.25">
      <c r="A524" s="85" t="s">
        <v>1481</v>
      </c>
      <c r="B524" s="189" t="s">
        <v>335</v>
      </c>
      <c r="C524" s="9" t="s">
        <v>322</v>
      </c>
      <c r="D524" s="190" t="s">
        <v>304</v>
      </c>
      <c r="E524" s="191" t="s">
        <v>305</v>
      </c>
      <c r="F524" s="192" t="s">
        <v>304</v>
      </c>
      <c r="G524" s="191" t="s">
        <v>305</v>
      </c>
      <c r="H524" s="189" t="s">
        <v>1482</v>
      </c>
      <c r="I524" s="193" t="s">
        <v>1483</v>
      </c>
      <c r="J524" s="82" t="s">
        <v>305</v>
      </c>
      <c r="K524" s="83" t="s">
        <v>184</v>
      </c>
      <c r="O524" s="84"/>
      <c r="P524" s="84"/>
      <c r="Q524" s="84"/>
      <c r="R524" s="84"/>
      <c r="S524" s="84"/>
      <c r="T524" s="84"/>
      <c r="U524" s="84"/>
      <c r="V524" s="84"/>
      <c r="W524" s="84"/>
      <c r="X524" s="84"/>
      <c r="Y524" s="84"/>
      <c r="Z524" s="84"/>
    </row>
    <row r="525" spans="1:26" ht="15.75" customHeight="1" x14ac:dyDescent="0.25">
      <c r="A525" s="85" t="s">
        <v>1484</v>
      </c>
      <c r="B525" s="189" t="s">
        <v>390</v>
      </c>
      <c r="C525" s="9" t="s">
        <v>303</v>
      </c>
      <c r="D525" s="190">
        <v>15</v>
      </c>
      <c r="E525" s="191">
        <v>150</v>
      </c>
      <c r="F525" s="192">
        <v>6</v>
      </c>
      <c r="G525" s="191">
        <v>100</v>
      </c>
      <c r="H525" s="189" t="s">
        <v>527</v>
      </c>
      <c r="I525" s="193" t="s">
        <v>528</v>
      </c>
      <c r="J525" s="82" t="s">
        <v>305</v>
      </c>
      <c r="K525" s="83" t="s">
        <v>184</v>
      </c>
      <c r="O525" s="84"/>
      <c r="P525" s="84"/>
      <c r="Q525" s="84"/>
      <c r="R525" s="84"/>
      <c r="S525" s="84"/>
      <c r="T525" s="84"/>
      <c r="U525" s="84"/>
      <c r="V525" s="84"/>
      <c r="W525" s="84"/>
      <c r="X525" s="84"/>
      <c r="Y525" s="84"/>
      <c r="Z525" s="84"/>
    </row>
    <row r="526" spans="1:26" ht="15.75" customHeight="1" x14ac:dyDescent="0.25">
      <c r="A526" s="85" t="s">
        <v>1485</v>
      </c>
      <c r="B526" s="189" t="s">
        <v>335</v>
      </c>
      <c r="C526" s="9" t="s">
        <v>322</v>
      </c>
      <c r="D526" s="190" t="s">
        <v>304</v>
      </c>
      <c r="E526" s="191" t="s">
        <v>305</v>
      </c>
      <c r="F526" s="192" t="s">
        <v>304</v>
      </c>
      <c r="G526" s="191" t="s">
        <v>305</v>
      </c>
      <c r="H526" s="189" t="s">
        <v>1346</v>
      </c>
      <c r="I526" s="193" t="s">
        <v>1347</v>
      </c>
      <c r="J526" s="82" t="s">
        <v>305</v>
      </c>
      <c r="K526" s="83" t="s">
        <v>184</v>
      </c>
      <c r="O526" s="84"/>
      <c r="P526" s="84"/>
      <c r="Q526" s="84"/>
      <c r="R526" s="84"/>
      <c r="S526" s="84"/>
      <c r="T526" s="84"/>
      <c r="U526" s="84"/>
      <c r="V526" s="84"/>
      <c r="W526" s="84"/>
      <c r="X526" s="84"/>
      <c r="Y526" s="84"/>
      <c r="Z526" s="84"/>
    </row>
    <row r="527" spans="1:26" ht="15.75" customHeight="1" x14ac:dyDescent="0.25">
      <c r="A527" s="85" t="s">
        <v>1486</v>
      </c>
      <c r="B527" s="189" t="s">
        <v>335</v>
      </c>
      <c r="C527" s="9" t="s">
        <v>322</v>
      </c>
      <c r="D527" s="190" t="s">
        <v>304</v>
      </c>
      <c r="E527" s="191" t="s">
        <v>305</v>
      </c>
      <c r="F527" s="192" t="s">
        <v>304</v>
      </c>
      <c r="G527" s="191" t="s">
        <v>305</v>
      </c>
      <c r="H527" s="189" t="s">
        <v>1487</v>
      </c>
      <c r="I527" s="193" t="s">
        <v>1488</v>
      </c>
      <c r="J527" s="82" t="s">
        <v>305</v>
      </c>
      <c r="K527" s="83" t="s">
        <v>184</v>
      </c>
      <c r="O527" s="84"/>
      <c r="P527" s="84"/>
      <c r="Q527" s="84"/>
      <c r="R527" s="84"/>
      <c r="S527" s="84"/>
      <c r="T527" s="84"/>
      <c r="U527" s="84"/>
      <c r="V527" s="84"/>
      <c r="W527" s="84"/>
      <c r="X527" s="84"/>
      <c r="Y527" s="84"/>
      <c r="Z527" s="84"/>
    </row>
    <row r="528" spans="1:26" ht="15.75" customHeight="1" x14ac:dyDescent="0.25">
      <c r="A528" s="85" t="s">
        <v>1489</v>
      </c>
      <c r="B528" s="189" t="s">
        <v>348</v>
      </c>
      <c r="C528" s="9" t="s">
        <v>322</v>
      </c>
      <c r="D528" s="190" t="s">
        <v>304</v>
      </c>
      <c r="E528" s="191" t="s">
        <v>305</v>
      </c>
      <c r="F528" s="192" t="s">
        <v>304</v>
      </c>
      <c r="G528" s="191" t="s">
        <v>305</v>
      </c>
      <c r="H528" s="189" t="s">
        <v>1490</v>
      </c>
      <c r="I528" s="193" t="s">
        <v>1491</v>
      </c>
      <c r="J528" s="82" t="s">
        <v>305</v>
      </c>
      <c r="K528" s="83" t="s">
        <v>184</v>
      </c>
      <c r="O528" s="84"/>
      <c r="P528" s="84"/>
      <c r="Q528" s="84"/>
      <c r="R528" s="84"/>
      <c r="S528" s="84"/>
      <c r="T528" s="84"/>
      <c r="U528" s="84"/>
      <c r="V528" s="84"/>
      <c r="W528" s="84"/>
      <c r="X528" s="84"/>
      <c r="Y528" s="84"/>
      <c r="Z528" s="84"/>
    </row>
    <row r="529" spans="1:26" ht="15.75" customHeight="1" x14ac:dyDescent="0.25">
      <c r="A529" s="85" t="s">
        <v>1492</v>
      </c>
      <c r="B529" s="189" t="s">
        <v>348</v>
      </c>
      <c r="C529" s="9" t="s">
        <v>303</v>
      </c>
      <c r="D529" s="190" t="s">
        <v>304</v>
      </c>
      <c r="E529" s="191" t="s">
        <v>305</v>
      </c>
      <c r="F529" s="192">
        <v>6</v>
      </c>
      <c r="G529" s="191">
        <v>100</v>
      </c>
      <c r="H529" s="189" t="s">
        <v>1493</v>
      </c>
      <c r="I529" s="193" t="s">
        <v>1494</v>
      </c>
      <c r="J529" s="82" t="s">
        <v>305</v>
      </c>
      <c r="K529" s="83" t="s">
        <v>184</v>
      </c>
      <c r="O529" s="84"/>
      <c r="P529" s="84"/>
      <c r="Q529" s="84"/>
      <c r="R529" s="84"/>
      <c r="S529" s="84"/>
      <c r="T529" s="84"/>
      <c r="U529" s="84"/>
      <c r="V529" s="84"/>
      <c r="W529" s="84"/>
      <c r="X529" s="84"/>
      <c r="Y529" s="84"/>
      <c r="Z529" s="84"/>
    </row>
    <row r="530" spans="1:26" ht="15.75" customHeight="1" x14ac:dyDescent="0.25">
      <c r="A530" s="85" t="s">
        <v>1495</v>
      </c>
      <c r="B530" s="189" t="s">
        <v>331</v>
      </c>
      <c r="C530" s="9" t="s">
        <v>322</v>
      </c>
      <c r="D530" s="190" t="s">
        <v>304</v>
      </c>
      <c r="E530" s="191" t="s">
        <v>305</v>
      </c>
      <c r="F530" s="192" t="s">
        <v>304</v>
      </c>
      <c r="G530" s="191" t="s">
        <v>305</v>
      </c>
      <c r="H530" s="189" t="s">
        <v>1496</v>
      </c>
      <c r="I530" s="193" t="s">
        <v>1497</v>
      </c>
      <c r="J530" s="82" t="s">
        <v>305</v>
      </c>
      <c r="K530" s="83" t="s">
        <v>184</v>
      </c>
      <c r="O530" s="84"/>
      <c r="P530" s="84"/>
      <c r="Q530" s="84"/>
      <c r="R530" s="84"/>
      <c r="S530" s="84"/>
      <c r="T530" s="84"/>
      <c r="U530" s="84"/>
      <c r="V530" s="84"/>
      <c r="W530" s="84"/>
      <c r="X530" s="84"/>
      <c r="Y530" s="84"/>
      <c r="Z530" s="84"/>
    </row>
    <row r="531" spans="1:26" ht="15.75" customHeight="1" x14ac:dyDescent="0.25">
      <c r="A531" s="85" t="s">
        <v>1498</v>
      </c>
      <c r="B531" s="189" t="s">
        <v>367</v>
      </c>
      <c r="C531" s="9" t="s">
        <v>303</v>
      </c>
      <c r="D531" s="190">
        <v>7</v>
      </c>
      <c r="E531" s="191">
        <v>65</v>
      </c>
      <c r="F531" s="192">
        <v>9</v>
      </c>
      <c r="G531" s="191">
        <v>85</v>
      </c>
      <c r="H531" s="189" t="s">
        <v>1321</v>
      </c>
      <c r="I531" s="193" t="s">
        <v>1322</v>
      </c>
      <c r="J531" s="82">
        <v>30</v>
      </c>
      <c r="K531" s="83">
        <v>15</v>
      </c>
      <c r="O531" s="84"/>
      <c r="P531" s="84"/>
      <c r="Q531" s="84"/>
      <c r="R531" s="84"/>
      <c r="S531" s="84"/>
      <c r="T531" s="84"/>
      <c r="U531" s="84"/>
      <c r="V531" s="84"/>
      <c r="W531" s="84"/>
      <c r="X531" s="84"/>
      <c r="Y531" s="84"/>
      <c r="Z531" s="84"/>
    </row>
    <row r="532" spans="1:26" ht="15.75" customHeight="1" x14ac:dyDescent="0.25">
      <c r="A532" s="85" t="s">
        <v>1499</v>
      </c>
      <c r="B532" s="189" t="s">
        <v>419</v>
      </c>
      <c r="C532" s="9" t="s">
        <v>322</v>
      </c>
      <c r="D532" s="190" t="s">
        <v>304</v>
      </c>
      <c r="E532" s="191" t="s">
        <v>305</v>
      </c>
      <c r="F532" s="192" t="s">
        <v>304</v>
      </c>
      <c r="G532" s="191" t="s">
        <v>305</v>
      </c>
      <c r="H532" s="189" t="s">
        <v>1500</v>
      </c>
      <c r="I532" s="193" t="s">
        <v>1501</v>
      </c>
      <c r="J532" s="82" t="s">
        <v>305</v>
      </c>
      <c r="K532" s="83" t="s">
        <v>184</v>
      </c>
      <c r="O532" s="84"/>
      <c r="P532" s="84"/>
      <c r="Q532" s="84"/>
      <c r="R532" s="84"/>
      <c r="S532" s="84"/>
      <c r="T532" s="84"/>
      <c r="U532" s="84"/>
      <c r="V532" s="84"/>
      <c r="W532" s="84"/>
      <c r="X532" s="84"/>
      <c r="Y532" s="84"/>
      <c r="Z532" s="84"/>
    </row>
    <row r="533" spans="1:26" ht="15.75" customHeight="1" x14ac:dyDescent="0.25">
      <c r="A533" s="85" t="s">
        <v>1502</v>
      </c>
      <c r="B533" s="189" t="s">
        <v>348</v>
      </c>
      <c r="C533" s="9" t="s">
        <v>303</v>
      </c>
      <c r="D533" s="190">
        <v>7</v>
      </c>
      <c r="E533" s="191">
        <v>70</v>
      </c>
      <c r="F533" s="192">
        <v>6</v>
      </c>
      <c r="G533" s="191">
        <v>100</v>
      </c>
      <c r="H533" s="189" t="s">
        <v>1503</v>
      </c>
      <c r="I533" s="193" t="s">
        <v>1504</v>
      </c>
      <c r="J533" s="82">
        <v>50</v>
      </c>
      <c r="K533" s="83">
        <v>11</v>
      </c>
      <c r="O533" s="84"/>
      <c r="P533" s="84"/>
      <c r="Q533" s="84"/>
      <c r="R533" s="84"/>
      <c r="S533" s="84"/>
      <c r="T533" s="84"/>
      <c r="U533" s="84"/>
      <c r="V533" s="84"/>
      <c r="W533" s="84"/>
      <c r="X533" s="84"/>
      <c r="Y533" s="84"/>
      <c r="Z533" s="84"/>
    </row>
    <row r="534" spans="1:26" ht="15.75" customHeight="1" x14ac:dyDescent="0.25">
      <c r="A534" s="85" t="s">
        <v>1505</v>
      </c>
      <c r="B534" s="189" t="s">
        <v>359</v>
      </c>
      <c r="C534" s="9" t="s">
        <v>303</v>
      </c>
      <c r="D534" s="190">
        <v>10</v>
      </c>
      <c r="E534" s="191">
        <v>100</v>
      </c>
      <c r="F534" s="192">
        <v>6</v>
      </c>
      <c r="G534" s="191">
        <v>100</v>
      </c>
      <c r="H534" s="189" t="s">
        <v>1506</v>
      </c>
      <c r="I534" s="193" t="s">
        <v>1506</v>
      </c>
      <c r="J534" s="82" t="s">
        <v>305</v>
      </c>
      <c r="K534" s="83" t="s">
        <v>184</v>
      </c>
      <c r="O534" s="84"/>
      <c r="P534" s="84"/>
      <c r="Q534" s="84"/>
      <c r="R534" s="84"/>
      <c r="S534" s="84"/>
      <c r="T534" s="84"/>
      <c r="U534" s="84"/>
      <c r="V534" s="84"/>
      <c r="W534" s="84"/>
      <c r="X534" s="84"/>
      <c r="Y534" s="84"/>
      <c r="Z534" s="84"/>
    </row>
    <row r="535" spans="1:26" ht="15.75" customHeight="1" x14ac:dyDescent="0.25">
      <c r="A535" s="85" t="s">
        <v>1507</v>
      </c>
      <c r="B535" s="189" t="s">
        <v>359</v>
      </c>
      <c r="C535" s="9" t="s">
        <v>322</v>
      </c>
      <c r="D535" s="190" t="s">
        <v>304</v>
      </c>
      <c r="E535" s="191" t="s">
        <v>305</v>
      </c>
      <c r="F535" s="192" t="s">
        <v>304</v>
      </c>
      <c r="G535" s="191" t="s">
        <v>305</v>
      </c>
      <c r="H535" s="189" t="s">
        <v>1508</v>
      </c>
      <c r="I535" s="193" t="s">
        <v>1509</v>
      </c>
      <c r="J535" s="82" t="s">
        <v>305</v>
      </c>
      <c r="K535" s="83" t="s">
        <v>184</v>
      </c>
      <c r="O535" s="84"/>
      <c r="P535" s="84"/>
      <c r="Q535" s="84"/>
      <c r="R535" s="84"/>
      <c r="S535" s="84"/>
      <c r="T535" s="84"/>
      <c r="U535" s="84"/>
      <c r="V535" s="84"/>
      <c r="W535" s="84"/>
      <c r="X535" s="84"/>
      <c r="Y535" s="84"/>
      <c r="Z535" s="84"/>
    </row>
    <row r="536" spans="1:26" ht="15.75" customHeight="1" x14ac:dyDescent="0.25">
      <c r="A536" s="85" t="s">
        <v>1510</v>
      </c>
      <c r="B536" s="189" t="s">
        <v>359</v>
      </c>
      <c r="C536" s="9" t="s">
        <v>303</v>
      </c>
      <c r="D536" s="190">
        <v>10</v>
      </c>
      <c r="E536" s="191">
        <v>95</v>
      </c>
      <c r="F536" s="192">
        <v>6</v>
      </c>
      <c r="G536" s="191">
        <v>100</v>
      </c>
      <c r="H536" s="189" t="s">
        <v>1503</v>
      </c>
      <c r="I536" s="193" t="s">
        <v>1504</v>
      </c>
      <c r="J536" s="82">
        <v>30</v>
      </c>
      <c r="K536" s="83">
        <v>15</v>
      </c>
      <c r="O536" s="84"/>
      <c r="P536" s="84"/>
      <c r="Q536" s="84"/>
      <c r="R536" s="84"/>
      <c r="S536" s="84"/>
      <c r="T536" s="84"/>
      <c r="U536" s="84"/>
      <c r="V536" s="84"/>
      <c r="W536" s="84"/>
      <c r="X536" s="84"/>
      <c r="Y536" s="84"/>
      <c r="Z536" s="84"/>
    </row>
    <row r="537" spans="1:26" ht="15.75" customHeight="1" x14ac:dyDescent="0.25">
      <c r="A537" s="85" t="s">
        <v>1511</v>
      </c>
      <c r="B537" s="189" t="s">
        <v>407</v>
      </c>
      <c r="C537" s="9" t="s">
        <v>303</v>
      </c>
      <c r="D537" s="190">
        <v>10</v>
      </c>
      <c r="E537" s="191">
        <v>100</v>
      </c>
      <c r="F537" s="192">
        <v>6</v>
      </c>
      <c r="G537" s="191">
        <v>100</v>
      </c>
      <c r="H537" s="189" t="s">
        <v>1512</v>
      </c>
      <c r="I537" s="193" t="s">
        <v>1513</v>
      </c>
      <c r="J537" s="82" t="s">
        <v>305</v>
      </c>
      <c r="K537" s="83" t="s">
        <v>184</v>
      </c>
      <c r="O537" s="84"/>
      <c r="P537" s="84"/>
      <c r="Q537" s="84"/>
      <c r="R537" s="84"/>
      <c r="S537" s="84"/>
      <c r="T537" s="84"/>
      <c r="U537" s="84"/>
      <c r="V537" s="84"/>
      <c r="W537" s="84"/>
      <c r="X537" s="84"/>
      <c r="Y537" s="84"/>
      <c r="Z537" s="84"/>
    </row>
    <row r="538" spans="1:26" ht="15.75" customHeight="1" x14ac:dyDescent="0.25">
      <c r="A538" s="85" t="s">
        <v>1514</v>
      </c>
      <c r="B538" s="189" t="s">
        <v>359</v>
      </c>
      <c r="C538" s="9" t="s">
        <v>322</v>
      </c>
      <c r="D538" s="190" t="s">
        <v>304</v>
      </c>
      <c r="E538" s="191" t="s">
        <v>305</v>
      </c>
      <c r="F538" s="192" t="s">
        <v>304</v>
      </c>
      <c r="G538" s="191" t="s">
        <v>305</v>
      </c>
      <c r="H538" s="189" t="s">
        <v>1515</v>
      </c>
      <c r="I538" s="193" t="s">
        <v>1516</v>
      </c>
      <c r="J538" s="82" t="s">
        <v>305</v>
      </c>
      <c r="K538" s="83" t="s">
        <v>184</v>
      </c>
      <c r="O538" s="84"/>
      <c r="P538" s="84"/>
      <c r="Q538" s="84"/>
      <c r="R538" s="84"/>
      <c r="S538" s="84"/>
      <c r="T538" s="84"/>
      <c r="U538" s="84"/>
      <c r="V538" s="84"/>
      <c r="W538" s="84"/>
      <c r="X538" s="84"/>
      <c r="Y538" s="84"/>
      <c r="Z538" s="84"/>
    </row>
    <row r="539" spans="1:26" ht="15.75" customHeight="1" x14ac:dyDescent="0.25">
      <c r="A539" s="85" t="s">
        <v>1517</v>
      </c>
      <c r="B539" s="189" t="s">
        <v>335</v>
      </c>
      <c r="C539" s="9" t="s">
        <v>322</v>
      </c>
      <c r="D539" s="190" t="s">
        <v>304</v>
      </c>
      <c r="E539" s="191" t="s">
        <v>305</v>
      </c>
      <c r="F539" s="192" t="s">
        <v>304</v>
      </c>
      <c r="G539" s="191" t="s">
        <v>305</v>
      </c>
      <c r="H539" s="189" t="s">
        <v>1515</v>
      </c>
      <c r="I539" s="193" t="s">
        <v>1516</v>
      </c>
      <c r="J539" s="82" t="s">
        <v>305</v>
      </c>
      <c r="K539" s="83" t="s">
        <v>184</v>
      </c>
      <c r="O539" s="84"/>
      <c r="P539" s="84"/>
      <c r="Q539" s="84"/>
      <c r="R539" s="84"/>
      <c r="S539" s="84"/>
      <c r="T539" s="84"/>
      <c r="U539" s="84"/>
      <c r="V539" s="84"/>
      <c r="W539" s="84"/>
      <c r="X539" s="84"/>
      <c r="Y539" s="84"/>
      <c r="Z539" s="84"/>
    </row>
    <row r="540" spans="1:26" ht="15.75" customHeight="1" x14ac:dyDescent="0.25">
      <c r="A540" s="85" t="s">
        <v>1518</v>
      </c>
      <c r="B540" s="189" t="s">
        <v>318</v>
      </c>
      <c r="C540" s="9" t="s">
        <v>314</v>
      </c>
      <c r="D540" s="190">
        <v>3</v>
      </c>
      <c r="E540" s="191">
        <v>30</v>
      </c>
      <c r="F540" s="192">
        <v>6</v>
      </c>
      <c r="G540" s="191">
        <v>100</v>
      </c>
      <c r="H540" s="189" t="s">
        <v>1519</v>
      </c>
      <c r="I540" s="193" t="s">
        <v>1520</v>
      </c>
      <c r="J540" s="82" t="s">
        <v>305</v>
      </c>
      <c r="K540" s="83" t="s">
        <v>184</v>
      </c>
      <c r="O540" s="84"/>
      <c r="P540" s="84"/>
      <c r="Q540" s="84"/>
      <c r="R540" s="84"/>
      <c r="S540" s="84"/>
      <c r="T540" s="84"/>
      <c r="U540" s="84"/>
      <c r="V540" s="84"/>
      <c r="W540" s="84"/>
      <c r="X540" s="84"/>
      <c r="Y540" s="84"/>
      <c r="Z540" s="84"/>
    </row>
    <row r="541" spans="1:26" ht="15.75" customHeight="1" x14ac:dyDescent="0.25">
      <c r="A541" s="85" t="s">
        <v>1521</v>
      </c>
      <c r="B541" s="189" t="s">
        <v>419</v>
      </c>
      <c r="C541" s="9" t="s">
        <v>314</v>
      </c>
      <c r="D541" s="190">
        <v>10</v>
      </c>
      <c r="E541" s="191">
        <v>100</v>
      </c>
      <c r="F541" s="192">
        <v>9</v>
      </c>
      <c r="G541" s="191">
        <v>85</v>
      </c>
      <c r="H541" s="189" t="s">
        <v>1160</v>
      </c>
      <c r="I541" s="193" t="s">
        <v>1522</v>
      </c>
      <c r="J541" s="82" t="s">
        <v>305</v>
      </c>
      <c r="K541" s="83" t="s">
        <v>184</v>
      </c>
      <c r="O541" s="84"/>
      <c r="P541" s="84"/>
      <c r="Q541" s="84"/>
      <c r="R541" s="84"/>
      <c r="S541" s="84"/>
      <c r="T541" s="84"/>
      <c r="U541" s="84"/>
      <c r="V541" s="84"/>
      <c r="W541" s="84"/>
      <c r="X541" s="84"/>
      <c r="Y541" s="84"/>
      <c r="Z541" s="84"/>
    </row>
    <row r="542" spans="1:26" ht="15.75" customHeight="1" x14ac:dyDescent="0.25">
      <c r="A542" s="85" t="s">
        <v>1523</v>
      </c>
      <c r="B542" s="189" t="s">
        <v>515</v>
      </c>
      <c r="C542" s="9" t="s">
        <v>303</v>
      </c>
      <c r="D542" s="190">
        <v>7</v>
      </c>
      <c r="E542" s="191">
        <v>65</v>
      </c>
      <c r="F542" s="192">
        <v>9</v>
      </c>
      <c r="G542" s="191">
        <v>85</v>
      </c>
      <c r="H542" s="189" t="s">
        <v>1321</v>
      </c>
      <c r="I542" s="193" t="s">
        <v>1322</v>
      </c>
      <c r="J542" s="82">
        <v>30</v>
      </c>
      <c r="K542" s="83">
        <v>15</v>
      </c>
      <c r="O542" s="84"/>
      <c r="P542" s="84"/>
      <c r="Q542" s="84"/>
      <c r="R542" s="84"/>
      <c r="S542" s="84"/>
      <c r="T542" s="84"/>
      <c r="U542" s="84"/>
      <c r="V542" s="84"/>
      <c r="W542" s="84"/>
      <c r="X542" s="84"/>
      <c r="Y542" s="84"/>
      <c r="Z542" s="84"/>
    </row>
    <row r="543" spans="1:26" ht="15.75" customHeight="1" x14ac:dyDescent="0.25">
      <c r="A543" s="85" t="s">
        <v>1524</v>
      </c>
      <c r="B543" s="189" t="s">
        <v>515</v>
      </c>
      <c r="C543" s="9" t="s">
        <v>303</v>
      </c>
      <c r="D543" s="190">
        <v>6</v>
      </c>
      <c r="E543" s="191">
        <v>55</v>
      </c>
      <c r="F543" s="192">
        <v>7</v>
      </c>
      <c r="G543" s="191">
        <v>95</v>
      </c>
      <c r="H543" s="189" t="s">
        <v>556</v>
      </c>
      <c r="I543" s="193" t="s">
        <v>557</v>
      </c>
      <c r="J543" s="82">
        <v>100</v>
      </c>
      <c r="K543" s="83">
        <v>1</v>
      </c>
      <c r="O543" s="84"/>
      <c r="P543" s="84"/>
      <c r="Q543" s="84"/>
      <c r="R543" s="84"/>
      <c r="S543" s="84"/>
      <c r="T543" s="84"/>
      <c r="U543" s="84"/>
      <c r="V543" s="84"/>
      <c r="W543" s="84"/>
      <c r="X543" s="84"/>
      <c r="Y543" s="84"/>
      <c r="Z543" s="84"/>
    </row>
    <row r="544" spans="1:26" ht="15.75" customHeight="1" x14ac:dyDescent="0.25">
      <c r="A544" s="85" t="s">
        <v>1525</v>
      </c>
      <c r="B544" s="189" t="s">
        <v>515</v>
      </c>
      <c r="C544" s="9" t="s">
        <v>322</v>
      </c>
      <c r="D544" s="190" t="s">
        <v>304</v>
      </c>
      <c r="E544" s="191" t="s">
        <v>305</v>
      </c>
      <c r="F544" s="192" t="s">
        <v>304</v>
      </c>
      <c r="G544" s="191" t="s">
        <v>305</v>
      </c>
      <c r="H544" s="189" t="s">
        <v>1526</v>
      </c>
      <c r="I544" s="193" t="s">
        <v>1527</v>
      </c>
      <c r="J544" s="82" t="s">
        <v>305</v>
      </c>
      <c r="K544" s="83" t="s">
        <v>184</v>
      </c>
      <c r="O544" s="84"/>
      <c r="P544" s="84"/>
      <c r="Q544" s="84"/>
      <c r="R544" s="84"/>
      <c r="S544" s="84"/>
      <c r="T544" s="84"/>
      <c r="U544" s="84"/>
      <c r="V544" s="84"/>
      <c r="W544" s="84"/>
      <c r="X544" s="84"/>
      <c r="Y544" s="84"/>
      <c r="Z544" s="84"/>
    </row>
    <row r="545" spans="1:26" ht="15.75" customHeight="1" x14ac:dyDescent="0.25">
      <c r="A545" s="85" t="s">
        <v>1528</v>
      </c>
      <c r="B545" s="189" t="s">
        <v>515</v>
      </c>
      <c r="C545" s="9" t="s">
        <v>303</v>
      </c>
      <c r="D545" s="190">
        <v>2</v>
      </c>
      <c r="E545" s="191">
        <v>20</v>
      </c>
      <c r="F545" s="192">
        <v>6</v>
      </c>
      <c r="G545" s="191">
        <v>100</v>
      </c>
      <c r="H545" s="189" t="s">
        <v>921</v>
      </c>
      <c r="I545" s="193" t="s">
        <v>922</v>
      </c>
      <c r="J545" s="82">
        <v>100</v>
      </c>
      <c r="K545" s="83">
        <v>1</v>
      </c>
      <c r="O545" s="84"/>
      <c r="P545" s="84"/>
      <c r="Q545" s="84"/>
      <c r="R545" s="84"/>
      <c r="S545" s="84"/>
      <c r="T545" s="84"/>
      <c r="U545" s="84"/>
      <c r="V545" s="84"/>
      <c r="W545" s="84"/>
      <c r="X545" s="84"/>
      <c r="Y545" s="84"/>
      <c r="Z545" s="84"/>
    </row>
    <row r="546" spans="1:26" ht="15.75" customHeight="1" x14ac:dyDescent="0.25">
      <c r="A546" s="85" t="s">
        <v>1529</v>
      </c>
      <c r="B546" s="189" t="s">
        <v>377</v>
      </c>
      <c r="C546" s="9" t="s">
        <v>303</v>
      </c>
      <c r="D546" s="190">
        <v>9</v>
      </c>
      <c r="E546" s="191">
        <v>90</v>
      </c>
      <c r="F546" s="192">
        <v>9</v>
      </c>
      <c r="G546" s="191">
        <v>85</v>
      </c>
      <c r="H546" s="189" t="s">
        <v>1321</v>
      </c>
      <c r="I546" s="193" t="s">
        <v>1322</v>
      </c>
      <c r="J546" s="82">
        <v>30</v>
      </c>
      <c r="K546" s="83">
        <v>15</v>
      </c>
      <c r="O546" s="84"/>
      <c r="P546" s="84"/>
      <c r="Q546" s="84"/>
      <c r="R546" s="84"/>
      <c r="S546" s="84"/>
      <c r="T546" s="84"/>
      <c r="U546" s="84"/>
      <c r="V546" s="84"/>
      <c r="W546" s="84"/>
      <c r="X546" s="84"/>
      <c r="Y546" s="84"/>
      <c r="Z546" s="84"/>
    </row>
    <row r="547" spans="1:26" ht="15.75" customHeight="1" x14ac:dyDescent="0.25">
      <c r="A547" s="85" t="s">
        <v>1530</v>
      </c>
      <c r="B547" s="189" t="s">
        <v>335</v>
      </c>
      <c r="C547" s="9" t="s">
        <v>314</v>
      </c>
      <c r="D547" s="190">
        <v>12</v>
      </c>
      <c r="E547" s="191">
        <v>120</v>
      </c>
      <c r="F547" s="192">
        <v>6</v>
      </c>
      <c r="G547" s="191">
        <v>100</v>
      </c>
      <c r="H547" s="189" t="s">
        <v>1531</v>
      </c>
      <c r="I547" s="193" t="s">
        <v>1532</v>
      </c>
      <c r="J547" s="82" t="s">
        <v>305</v>
      </c>
      <c r="K547" s="83" t="s">
        <v>184</v>
      </c>
      <c r="O547" s="84"/>
      <c r="P547" s="84"/>
      <c r="Q547" s="84"/>
      <c r="R547" s="84"/>
      <c r="S547" s="84"/>
      <c r="T547" s="84"/>
      <c r="U547" s="84"/>
      <c r="V547" s="84"/>
      <c r="W547" s="84"/>
      <c r="X547" s="84"/>
      <c r="Y547" s="84"/>
      <c r="Z547" s="84"/>
    </row>
    <row r="548" spans="1:26" ht="15.75" customHeight="1" x14ac:dyDescent="0.25">
      <c r="A548" s="85" t="s">
        <v>1533</v>
      </c>
      <c r="B548" s="189" t="s">
        <v>390</v>
      </c>
      <c r="C548" s="9" t="s">
        <v>303</v>
      </c>
      <c r="D548" s="190">
        <v>8</v>
      </c>
      <c r="E548" s="191">
        <v>75</v>
      </c>
      <c r="F548" s="192">
        <v>6</v>
      </c>
      <c r="G548" s="191">
        <v>100</v>
      </c>
      <c r="H548" s="189" t="s">
        <v>641</v>
      </c>
      <c r="I548" s="193" t="s">
        <v>642</v>
      </c>
      <c r="J548" s="82">
        <v>100</v>
      </c>
      <c r="K548" s="83">
        <v>1</v>
      </c>
      <c r="O548" s="84"/>
      <c r="P548" s="84"/>
      <c r="Q548" s="84"/>
      <c r="R548" s="84"/>
      <c r="S548" s="84"/>
      <c r="T548" s="84"/>
      <c r="U548" s="84"/>
      <c r="V548" s="84"/>
      <c r="W548" s="84"/>
      <c r="X548" s="84"/>
      <c r="Y548" s="84"/>
      <c r="Z548" s="84"/>
    </row>
    <row r="549" spans="1:26" ht="15.75" customHeight="1" x14ac:dyDescent="0.25">
      <c r="A549" s="85" t="s">
        <v>1534</v>
      </c>
      <c r="B549" s="189" t="s">
        <v>348</v>
      </c>
      <c r="C549" s="9" t="s">
        <v>303</v>
      </c>
      <c r="D549" s="190">
        <v>7</v>
      </c>
      <c r="E549" s="191">
        <v>70</v>
      </c>
      <c r="F549" s="192">
        <v>8</v>
      </c>
      <c r="G549" s="191">
        <v>90</v>
      </c>
      <c r="H549" s="189" t="s">
        <v>1535</v>
      </c>
      <c r="I549" s="193" t="s">
        <v>1536</v>
      </c>
      <c r="J549" s="82" t="s">
        <v>305</v>
      </c>
      <c r="K549" s="83" t="s">
        <v>184</v>
      </c>
      <c r="O549" s="84"/>
      <c r="P549" s="84"/>
      <c r="Q549" s="84"/>
      <c r="R549" s="84"/>
      <c r="S549" s="84"/>
      <c r="T549" s="84"/>
      <c r="U549" s="84"/>
      <c r="V549" s="84"/>
      <c r="W549" s="84"/>
      <c r="X549" s="84"/>
      <c r="Y549" s="84"/>
      <c r="Z549" s="84"/>
    </row>
    <row r="550" spans="1:26" ht="15.75" customHeight="1" x14ac:dyDescent="0.25">
      <c r="A550" s="85" t="s">
        <v>1537</v>
      </c>
      <c r="B550" s="189" t="s">
        <v>403</v>
      </c>
      <c r="C550" s="9" t="s">
        <v>322</v>
      </c>
      <c r="D550" s="190" t="s">
        <v>304</v>
      </c>
      <c r="E550" s="191" t="s">
        <v>305</v>
      </c>
      <c r="F550" s="192" t="s">
        <v>304</v>
      </c>
      <c r="G550" s="191" t="s">
        <v>305</v>
      </c>
      <c r="H550" s="189" t="s">
        <v>1538</v>
      </c>
      <c r="I550" s="193" t="s">
        <v>1539</v>
      </c>
      <c r="J550" s="82" t="s">
        <v>305</v>
      </c>
      <c r="K550" s="83" t="s">
        <v>184</v>
      </c>
      <c r="O550" s="84"/>
      <c r="P550" s="84"/>
      <c r="Q550" s="84"/>
      <c r="R550" s="84"/>
      <c r="S550" s="84"/>
      <c r="T550" s="84"/>
      <c r="U550" s="84"/>
      <c r="V550" s="84"/>
      <c r="W550" s="84"/>
      <c r="X550" s="84"/>
      <c r="Y550" s="84"/>
      <c r="Z550" s="84"/>
    </row>
    <row r="551" spans="1:26" ht="15.75" customHeight="1" x14ac:dyDescent="0.25">
      <c r="A551" s="85" t="s">
        <v>1540</v>
      </c>
      <c r="B551" s="189" t="s">
        <v>335</v>
      </c>
      <c r="C551" s="9" t="s">
        <v>314</v>
      </c>
      <c r="D551" s="190" t="s">
        <v>304</v>
      </c>
      <c r="E551" s="191" t="s">
        <v>305</v>
      </c>
      <c r="F551" s="192">
        <v>6</v>
      </c>
      <c r="G551" s="191">
        <v>100</v>
      </c>
      <c r="H551" s="189" t="s">
        <v>1541</v>
      </c>
      <c r="I551" s="193" t="s">
        <v>1542</v>
      </c>
      <c r="J551" s="82" t="s">
        <v>305</v>
      </c>
      <c r="K551" s="83" t="s">
        <v>184</v>
      </c>
      <c r="O551" s="84"/>
      <c r="P551" s="84"/>
      <c r="Q551" s="84"/>
      <c r="R551" s="84"/>
      <c r="S551" s="84"/>
      <c r="T551" s="84"/>
      <c r="U551" s="84"/>
      <c r="V551" s="84"/>
      <c r="W551" s="84"/>
      <c r="X551" s="84"/>
      <c r="Y551" s="84"/>
      <c r="Z551" s="84"/>
    </row>
    <row r="552" spans="1:26" ht="15.75" customHeight="1" x14ac:dyDescent="0.25">
      <c r="A552" s="85" t="s">
        <v>1543</v>
      </c>
      <c r="B552" s="189" t="s">
        <v>335</v>
      </c>
      <c r="C552" s="9" t="s">
        <v>322</v>
      </c>
      <c r="D552" s="190" t="s">
        <v>304</v>
      </c>
      <c r="E552" s="191" t="s">
        <v>305</v>
      </c>
      <c r="F552" s="192" t="s">
        <v>304</v>
      </c>
      <c r="G552" s="191" t="s">
        <v>305</v>
      </c>
      <c r="H552" s="189" t="s">
        <v>1544</v>
      </c>
      <c r="I552" s="193" t="s">
        <v>1545</v>
      </c>
      <c r="J552" s="82" t="s">
        <v>305</v>
      </c>
      <c r="K552" s="83" t="s">
        <v>184</v>
      </c>
      <c r="O552" s="84"/>
      <c r="P552" s="84"/>
      <c r="Q552" s="84"/>
      <c r="R552" s="84"/>
      <c r="S552" s="84"/>
      <c r="T552" s="84"/>
      <c r="U552" s="84"/>
      <c r="V552" s="84"/>
      <c r="W552" s="84"/>
      <c r="X552" s="84"/>
      <c r="Y552" s="84"/>
      <c r="Z552" s="84"/>
    </row>
    <row r="553" spans="1:26" ht="15.75" customHeight="1" x14ac:dyDescent="0.25">
      <c r="A553" s="85" t="s">
        <v>1546</v>
      </c>
      <c r="B553" s="189" t="s">
        <v>359</v>
      </c>
      <c r="C553" s="9" t="s">
        <v>303</v>
      </c>
      <c r="D553" s="190" t="s">
        <v>304</v>
      </c>
      <c r="E553" s="191" t="s">
        <v>305</v>
      </c>
      <c r="F553" s="192">
        <v>8</v>
      </c>
      <c r="G553" s="191">
        <v>90</v>
      </c>
      <c r="H553" s="189" t="s">
        <v>1547</v>
      </c>
      <c r="I553" s="193" t="s">
        <v>1547</v>
      </c>
      <c r="J553" s="82" t="s">
        <v>305</v>
      </c>
      <c r="K553" s="83" t="s">
        <v>184</v>
      </c>
      <c r="O553" s="84"/>
      <c r="P553" s="84"/>
      <c r="Q553" s="84"/>
      <c r="R553" s="84"/>
      <c r="S553" s="84"/>
      <c r="T553" s="84"/>
      <c r="U553" s="84"/>
      <c r="V553" s="84"/>
      <c r="W553" s="84"/>
      <c r="X553" s="84"/>
      <c r="Y553" s="84"/>
      <c r="Z553" s="84"/>
    </row>
    <row r="554" spans="1:26" ht="15.75" customHeight="1" x14ac:dyDescent="0.25">
      <c r="A554" s="85" t="s">
        <v>1548</v>
      </c>
      <c r="B554" s="189" t="s">
        <v>309</v>
      </c>
      <c r="C554" s="9" t="s">
        <v>314</v>
      </c>
      <c r="D554" s="190">
        <v>6</v>
      </c>
      <c r="E554" s="191">
        <v>60</v>
      </c>
      <c r="F554" s="192">
        <v>6</v>
      </c>
      <c r="G554" s="191">
        <v>100</v>
      </c>
      <c r="H554" s="189" t="s">
        <v>353</v>
      </c>
      <c r="I554" s="193" t="s">
        <v>354</v>
      </c>
      <c r="J554" s="82">
        <v>30</v>
      </c>
      <c r="K554" s="83">
        <v>15</v>
      </c>
      <c r="O554" s="84"/>
      <c r="P554" s="84"/>
      <c r="Q554" s="84"/>
      <c r="R554" s="84"/>
      <c r="S554" s="84"/>
      <c r="T554" s="84"/>
      <c r="U554" s="84"/>
      <c r="V554" s="84"/>
      <c r="W554" s="84"/>
      <c r="X554" s="84"/>
      <c r="Y554" s="84"/>
      <c r="Z554" s="84"/>
    </row>
    <row r="555" spans="1:26" ht="15.75" customHeight="1" x14ac:dyDescent="0.25">
      <c r="A555" s="85" t="s">
        <v>1549</v>
      </c>
      <c r="B555" s="189" t="s">
        <v>407</v>
      </c>
      <c r="C555" s="9" t="s">
        <v>305</v>
      </c>
      <c r="D555" s="190" t="s">
        <v>304</v>
      </c>
      <c r="E555" s="191" t="s">
        <v>305</v>
      </c>
      <c r="F555" s="192" t="s">
        <v>304</v>
      </c>
      <c r="G555" s="191" t="s">
        <v>305</v>
      </c>
      <c r="H555" s="189" t="s">
        <v>1550</v>
      </c>
      <c r="I555" s="193" t="s">
        <v>1550</v>
      </c>
      <c r="J555" s="82" t="s">
        <v>305</v>
      </c>
      <c r="K555" s="83" t="s">
        <v>184</v>
      </c>
      <c r="O555" s="84"/>
      <c r="P555" s="84"/>
      <c r="Q555" s="84"/>
      <c r="R555" s="84"/>
      <c r="S555" s="84"/>
      <c r="T555" s="84"/>
      <c r="U555" s="84"/>
      <c r="V555" s="84"/>
      <c r="W555" s="84"/>
      <c r="X555" s="84"/>
      <c r="Y555" s="84"/>
      <c r="Z555" s="84"/>
    </row>
    <row r="556" spans="1:26" ht="15.75" customHeight="1" x14ac:dyDescent="0.25">
      <c r="A556" s="85" t="s">
        <v>1551</v>
      </c>
      <c r="B556" s="189" t="s">
        <v>403</v>
      </c>
      <c r="C556" s="9" t="s">
        <v>303</v>
      </c>
      <c r="D556" s="190">
        <v>9</v>
      </c>
      <c r="E556" s="191">
        <v>85</v>
      </c>
      <c r="F556" s="192">
        <v>7</v>
      </c>
      <c r="G556" s="191">
        <v>95</v>
      </c>
      <c r="H556" s="189" t="s">
        <v>1321</v>
      </c>
      <c r="I556" s="193" t="s">
        <v>1322</v>
      </c>
      <c r="J556" s="82">
        <v>40</v>
      </c>
      <c r="K556" s="83">
        <v>13</v>
      </c>
      <c r="O556" s="84"/>
      <c r="P556" s="84"/>
      <c r="Q556" s="84"/>
      <c r="R556" s="84"/>
      <c r="S556" s="84"/>
      <c r="T556" s="84"/>
      <c r="U556" s="84"/>
      <c r="V556" s="84"/>
      <c r="W556" s="84"/>
      <c r="X556" s="84"/>
      <c r="Y556" s="84"/>
      <c r="Z556" s="84"/>
    </row>
    <row r="557" spans="1:26" ht="15.75" customHeight="1" x14ac:dyDescent="0.25">
      <c r="A557" s="85" t="s">
        <v>1552</v>
      </c>
      <c r="B557" s="189" t="s">
        <v>407</v>
      </c>
      <c r="C557" s="9" t="s">
        <v>303</v>
      </c>
      <c r="D557" s="190" t="s">
        <v>304</v>
      </c>
      <c r="E557" s="191" t="s">
        <v>305</v>
      </c>
      <c r="F557" s="192">
        <v>6</v>
      </c>
      <c r="G557" s="191">
        <v>100</v>
      </c>
      <c r="H557" s="189" t="s">
        <v>1553</v>
      </c>
      <c r="I557" s="193" t="s">
        <v>1554</v>
      </c>
      <c r="J557" s="82" t="s">
        <v>305</v>
      </c>
      <c r="K557" s="83" t="s">
        <v>184</v>
      </c>
      <c r="O557" s="84"/>
      <c r="P557" s="84"/>
      <c r="Q557" s="84"/>
      <c r="R557" s="84"/>
      <c r="S557" s="84"/>
      <c r="T557" s="84"/>
      <c r="U557" s="84"/>
      <c r="V557" s="84"/>
      <c r="W557" s="84"/>
      <c r="X557" s="84"/>
      <c r="Y557" s="84"/>
      <c r="Z557" s="84"/>
    </row>
    <row r="558" spans="1:26" ht="15.75" customHeight="1" x14ac:dyDescent="0.25">
      <c r="A558" s="85" t="s">
        <v>1555</v>
      </c>
      <c r="B558" s="189" t="s">
        <v>403</v>
      </c>
      <c r="C558" s="9" t="s">
        <v>314</v>
      </c>
      <c r="D558" s="190">
        <v>7</v>
      </c>
      <c r="E558" s="191">
        <v>70</v>
      </c>
      <c r="F558" s="192">
        <v>6</v>
      </c>
      <c r="G558" s="191">
        <v>100</v>
      </c>
      <c r="H558" s="189" t="s">
        <v>342</v>
      </c>
      <c r="I558" s="193" t="s">
        <v>343</v>
      </c>
      <c r="J558" s="82" t="s">
        <v>305</v>
      </c>
      <c r="K558" s="83" t="s">
        <v>184</v>
      </c>
      <c r="O558" s="84"/>
      <c r="P558" s="84"/>
      <c r="Q558" s="84"/>
      <c r="R558" s="84"/>
      <c r="S558" s="84"/>
      <c r="T558" s="84"/>
      <c r="U558" s="84"/>
      <c r="V558" s="84"/>
      <c r="W558" s="84"/>
      <c r="X558" s="84"/>
      <c r="Y558" s="84"/>
      <c r="Z558" s="84"/>
    </row>
    <row r="559" spans="1:26" ht="15.75" customHeight="1" x14ac:dyDescent="0.25">
      <c r="A559" s="85" t="s">
        <v>150</v>
      </c>
      <c r="B559" s="189" t="s">
        <v>407</v>
      </c>
      <c r="C559" s="9" t="s">
        <v>322</v>
      </c>
      <c r="D559" s="190" t="s">
        <v>304</v>
      </c>
      <c r="E559" s="191" t="s">
        <v>305</v>
      </c>
      <c r="F559" s="192">
        <v>6</v>
      </c>
      <c r="G559" s="191">
        <v>100</v>
      </c>
      <c r="H559" s="189" t="s">
        <v>1556</v>
      </c>
      <c r="I559" s="193" t="s">
        <v>1557</v>
      </c>
      <c r="J559" s="82" t="s">
        <v>305</v>
      </c>
      <c r="K559" s="83" t="s">
        <v>184</v>
      </c>
      <c r="O559" s="84"/>
      <c r="P559" s="84"/>
      <c r="Q559" s="84"/>
      <c r="R559" s="84"/>
      <c r="S559" s="84"/>
      <c r="T559" s="84"/>
      <c r="U559" s="84"/>
      <c r="V559" s="84"/>
      <c r="W559" s="84"/>
      <c r="X559" s="84"/>
      <c r="Y559" s="84"/>
      <c r="Z559" s="84"/>
    </row>
    <row r="560" spans="1:26" ht="15.75" customHeight="1" x14ac:dyDescent="0.25">
      <c r="A560" s="85" t="s">
        <v>1558</v>
      </c>
      <c r="B560" s="189" t="s">
        <v>356</v>
      </c>
      <c r="C560" s="9" t="s">
        <v>322</v>
      </c>
      <c r="D560" s="190" t="s">
        <v>304</v>
      </c>
      <c r="E560" s="191" t="s">
        <v>305</v>
      </c>
      <c r="F560" s="192" t="s">
        <v>304</v>
      </c>
      <c r="G560" s="191" t="s">
        <v>305</v>
      </c>
      <c r="H560" s="189" t="s">
        <v>1559</v>
      </c>
      <c r="I560" s="193" t="s">
        <v>1560</v>
      </c>
      <c r="J560" s="82">
        <v>100</v>
      </c>
      <c r="K560" s="83">
        <v>1</v>
      </c>
      <c r="O560" s="84"/>
      <c r="P560" s="84"/>
      <c r="Q560" s="84"/>
      <c r="R560" s="84"/>
      <c r="S560" s="84"/>
      <c r="T560" s="84"/>
      <c r="U560" s="84"/>
      <c r="V560" s="84"/>
      <c r="W560" s="84"/>
      <c r="X560" s="84"/>
      <c r="Y560" s="84"/>
      <c r="Z560" s="84"/>
    </row>
    <row r="561" spans="1:26" ht="15.75" customHeight="1" x14ac:dyDescent="0.25">
      <c r="A561" s="85" t="s">
        <v>1561</v>
      </c>
      <c r="B561" s="189" t="s">
        <v>335</v>
      </c>
      <c r="C561" s="9" t="s">
        <v>322</v>
      </c>
      <c r="D561" s="190" t="s">
        <v>304</v>
      </c>
      <c r="E561" s="191" t="s">
        <v>305</v>
      </c>
      <c r="F561" s="192">
        <v>6</v>
      </c>
      <c r="G561" s="191">
        <v>100</v>
      </c>
      <c r="H561" s="189" t="s">
        <v>1562</v>
      </c>
      <c r="I561" s="193" t="s">
        <v>1563</v>
      </c>
      <c r="J561" s="82">
        <v>100</v>
      </c>
      <c r="K561" s="83">
        <v>1</v>
      </c>
      <c r="O561" s="84"/>
      <c r="P561" s="84"/>
      <c r="Q561" s="84"/>
      <c r="R561" s="84"/>
      <c r="S561" s="84"/>
      <c r="T561" s="84"/>
      <c r="U561" s="84"/>
      <c r="V561" s="84"/>
      <c r="W561" s="84"/>
      <c r="X561" s="84"/>
      <c r="Y561" s="84"/>
      <c r="Z561" s="84"/>
    </row>
    <row r="562" spans="1:26" ht="15.75" customHeight="1" x14ac:dyDescent="0.25">
      <c r="A562" s="85" t="s">
        <v>1564</v>
      </c>
      <c r="B562" s="189" t="s">
        <v>318</v>
      </c>
      <c r="C562" s="9" t="s">
        <v>314</v>
      </c>
      <c r="D562" s="190">
        <v>10</v>
      </c>
      <c r="E562" s="191">
        <v>100</v>
      </c>
      <c r="F562" s="192">
        <v>6</v>
      </c>
      <c r="G562" s="191">
        <v>100</v>
      </c>
      <c r="H562" s="189"/>
      <c r="I562" s="193" t="s">
        <v>184</v>
      </c>
      <c r="J562" s="82" t="s">
        <v>305</v>
      </c>
      <c r="K562" s="83" t="s">
        <v>184</v>
      </c>
      <c r="O562" s="84"/>
      <c r="P562" s="84"/>
      <c r="Q562" s="84"/>
      <c r="R562" s="84"/>
      <c r="S562" s="84"/>
      <c r="T562" s="84"/>
      <c r="U562" s="84"/>
      <c r="V562" s="84"/>
      <c r="W562" s="84"/>
      <c r="X562" s="84"/>
      <c r="Y562" s="84"/>
      <c r="Z562" s="84"/>
    </row>
    <row r="563" spans="1:26" ht="15.75" customHeight="1" x14ac:dyDescent="0.25">
      <c r="A563" s="85" t="s">
        <v>1565</v>
      </c>
      <c r="B563" s="189" t="s">
        <v>302</v>
      </c>
      <c r="C563" s="9" t="s">
        <v>314</v>
      </c>
      <c r="D563" s="190">
        <v>2</v>
      </c>
      <c r="E563" s="191">
        <v>20</v>
      </c>
      <c r="F563" s="192">
        <v>6</v>
      </c>
      <c r="G563" s="191">
        <v>100</v>
      </c>
      <c r="H563" s="189" t="s">
        <v>1107</v>
      </c>
      <c r="I563" s="193" t="s">
        <v>1108</v>
      </c>
      <c r="J563" s="82">
        <v>100</v>
      </c>
      <c r="K563" s="83">
        <v>1</v>
      </c>
      <c r="O563" s="84"/>
      <c r="P563" s="84"/>
      <c r="Q563" s="84"/>
      <c r="R563" s="84"/>
      <c r="S563" s="84"/>
      <c r="T563" s="84"/>
      <c r="U563" s="84"/>
      <c r="V563" s="84"/>
      <c r="W563" s="84"/>
      <c r="X563" s="84"/>
      <c r="Y563" s="84"/>
      <c r="Z563" s="84"/>
    </row>
    <row r="564" spans="1:26" ht="15.75" customHeight="1" x14ac:dyDescent="0.25">
      <c r="A564" s="85" t="s">
        <v>1566</v>
      </c>
      <c r="B564" s="189" t="s">
        <v>331</v>
      </c>
      <c r="C564" s="9" t="s">
        <v>303</v>
      </c>
      <c r="D564" s="190">
        <v>8</v>
      </c>
      <c r="E564" s="191">
        <v>80</v>
      </c>
      <c r="F564" s="192">
        <v>6</v>
      </c>
      <c r="G564" s="191">
        <v>100</v>
      </c>
      <c r="H564" s="189" t="s">
        <v>1567</v>
      </c>
      <c r="I564" s="193" t="s">
        <v>1568</v>
      </c>
      <c r="J564" s="82" t="s">
        <v>305</v>
      </c>
      <c r="K564" s="83" t="s">
        <v>184</v>
      </c>
      <c r="O564" s="84"/>
      <c r="P564" s="84"/>
      <c r="Q564" s="84"/>
      <c r="R564" s="84"/>
      <c r="S564" s="84"/>
      <c r="T564" s="84"/>
      <c r="U564" s="84"/>
      <c r="V564" s="84"/>
      <c r="W564" s="84"/>
      <c r="X564" s="84"/>
      <c r="Y564" s="84"/>
      <c r="Z564" s="84"/>
    </row>
    <row r="565" spans="1:26" ht="15.75" customHeight="1" x14ac:dyDescent="0.25">
      <c r="A565" s="85" t="s">
        <v>1569</v>
      </c>
      <c r="B565" s="189" t="s">
        <v>403</v>
      </c>
      <c r="C565" s="9" t="s">
        <v>322</v>
      </c>
      <c r="D565" s="190" t="s">
        <v>304</v>
      </c>
      <c r="E565" s="191" t="s">
        <v>305</v>
      </c>
      <c r="F565" s="192">
        <v>6</v>
      </c>
      <c r="G565" s="191">
        <v>100</v>
      </c>
      <c r="H565" s="189" t="s">
        <v>1570</v>
      </c>
      <c r="I565" s="193" t="s">
        <v>1571</v>
      </c>
      <c r="J565" s="82" t="s">
        <v>305</v>
      </c>
      <c r="K565" s="83" t="s">
        <v>184</v>
      </c>
      <c r="O565" s="84"/>
      <c r="P565" s="84"/>
      <c r="Q565" s="84"/>
      <c r="R565" s="84"/>
      <c r="S565" s="84"/>
      <c r="T565" s="84"/>
      <c r="U565" s="84"/>
      <c r="V565" s="84"/>
      <c r="W565" s="84"/>
      <c r="X565" s="84"/>
      <c r="Y565" s="84"/>
      <c r="Z565" s="84"/>
    </row>
    <row r="566" spans="1:26" ht="15.75" customHeight="1" x14ac:dyDescent="0.25">
      <c r="A566" s="85" t="s">
        <v>1572</v>
      </c>
      <c r="B566" s="189" t="s">
        <v>377</v>
      </c>
      <c r="C566" s="9" t="s">
        <v>303</v>
      </c>
      <c r="D566" s="190">
        <v>20</v>
      </c>
      <c r="E566" s="191">
        <v>195</v>
      </c>
      <c r="F566" s="192" t="s">
        <v>304</v>
      </c>
      <c r="G566" s="191" t="s">
        <v>305</v>
      </c>
      <c r="H566" s="189" t="s">
        <v>1573</v>
      </c>
      <c r="I566" s="193" t="s">
        <v>1573</v>
      </c>
      <c r="J566" s="82" t="s">
        <v>305</v>
      </c>
      <c r="K566" s="83" t="s">
        <v>184</v>
      </c>
      <c r="O566" s="84"/>
      <c r="P566" s="84"/>
      <c r="Q566" s="84"/>
      <c r="R566" s="84"/>
      <c r="S566" s="84"/>
      <c r="T566" s="84"/>
      <c r="U566" s="84"/>
      <c r="V566" s="84"/>
      <c r="W566" s="84"/>
      <c r="X566" s="84"/>
      <c r="Y566" s="84"/>
      <c r="Z566" s="84"/>
    </row>
    <row r="567" spans="1:26" ht="15.75" customHeight="1" x14ac:dyDescent="0.25">
      <c r="A567" s="85" t="s">
        <v>1574</v>
      </c>
      <c r="B567" s="189" t="s">
        <v>377</v>
      </c>
      <c r="C567" s="9" t="s">
        <v>303</v>
      </c>
      <c r="D567" s="190">
        <v>7</v>
      </c>
      <c r="E567" s="191">
        <v>65</v>
      </c>
      <c r="F567" s="192">
        <v>9</v>
      </c>
      <c r="G567" s="191">
        <v>85</v>
      </c>
      <c r="H567" s="189" t="s">
        <v>1321</v>
      </c>
      <c r="I567" s="193" t="s">
        <v>1322</v>
      </c>
      <c r="J567" s="82">
        <v>50</v>
      </c>
      <c r="K567" s="83">
        <v>11</v>
      </c>
      <c r="O567" s="84"/>
      <c r="P567" s="84"/>
      <c r="Q567" s="84"/>
      <c r="R567" s="84"/>
      <c r="S567" s="84"/>
      <c r="T567" s="84"/>
      <c r="U567" s="84"/>
      <c r="V567" s="84"/>
      <c r="W567" s="84"/>
      <c r="X567" s="84"/>
      <c r="Y567" s="84"/>
      <c r="Z567" s="84"/>
    </row>
    <row r="568" spans="1:26" ht="15.75" customHeight="1" x14ac:dyDescent="0.25">
      <c r="A568" s="85" t="s">
        <v>1575</v>
      </c>
      <c r="B568" s="189" t="s">
        <v>356</v>
      </c>
      <c r="C568" s="9" t="s">
        <v>322</v>
      </c>
      <c r="D568" s="190" t="s">
        <v>304</v>
      </c>
      <c r="E568" s="191" t="s">
        <v>305</v>
      </c>
      <c r="F568" s="192">
        <v>6</v>
      </c>
      <c r="G568" s="191">
        <v>100</v>
      </c>
      <c r="H568" s="189" t="s">
        <v>1576</v>
      </c>
      <c r="I568" s="193" t="s">
        <v>1577</v>
      </c>
      <c r="J568" s="82" t="s">
        <v>305</v>
      </c>
      <c r="K568" s="83" t="s">
        <v>184</v>
      </c>
      <c r="O568" s="84"/>
      <c r="P568" s="84"/>
      <c r="Q568" s="84"/>
      <c r="R568" s="84"/>
      <c r="S568" s="84"/>
      <c r="T568" s="84"/>
      <c r="U568" s="84"/>
      <c r="V568" s="84"/>
      <c r="W568" s="84"/>
      <c r="X568" s="84"/>
      <c r="Y568" s="84"/>
      <c r="Z568" s="84"/>
    </row>
    <row r="569" spans="1:26" ht="15.75" customHeight="1" x14ac:dyDescent="0.25">
      <c r="A569" s="85" t="s">
        <v>1578</v>
      </c>
      <c r="B569" s="189" t="s">
        <v>335</v>
      </c>
      <c r="C569" s="9" t="s">
        <v>322</v>
      </c>
      <c r="D569" s="190" t="s">
        <v>304</v>
      </c>
      <c r="E569" s="191" t="s">
        <v>305</v>
      </c>
      <c r="F569" s="192" t="s">
        <v>304</v>
      </c>
      <c r="G569" s="191" t="s">
        <v>305</v>
      </c>
      <c r="H569" s="189" t="s">
        <v>960</v>
      </c>
      <c r="I569" s="193" t="s">
        <v>961</v>
      </c>
      <c r="J569" s="82" t="s">
        <v>305</v>
      </c>
      <c r="K569" s="83" t="s">
        <v>184</v>
      </c>
      <c r="O569" s="84"/>
      <c r="P569" s="84"/>
      <c r="Q569" s="84"/>
      <c r="R569" s="84"/>
      <c r="S569" s="84"/>
      <c r="T569" s="84"/>
      <c r="U569" s="84"/>
      <c r="V569" s="84"/>
      <c r="W569" s="84"/>
      <c r="X569" s="84"/>
      <c r="Y569" s="84"/>
      <c r="Z569" s="84"/>
    </row>
    <row r="570" spans="1:26" ht="15.75" customHeight="1" x14ac:dyDescent="0.25">
      <c r="A570" s="85" t="s">
        <v>1579</v>
      </c>
      <c r="B570" s="189" t="s">
        <v>407</v>
      </c>
      <c r="C570" s="9" t="s">
        <v>303</v>
      </c>
      <c r="D570" s="190">
        <v>6</v>
      </c>
      <c r="E570" s="191">
        <v>60</v>
      </c>
      <c r="F570" s="192">
        <v>6</v>
      </c>
      <c r="G570" s="191">
        <v>100</v>
      </c>
      <c r="H570" s="189" t="s">
        <v>371</v>
      </c>
      <c r="I570" s="193" t="s">
        <v>372</v>
      </c>
      <c r="J570" s="82">
        <v>10</v>
      </c>
      <c r="K570" s="83">
        <v>19</v>
      </c>
      <c r="O570" s="84"/>
      <c r="P570" s="84"/>
      <c r="Q570" s="84"/>
      <c r="R570" s="84"/>
      <c r="S570" s="84"/>
      <c r="T570" s="84"/>
      <c r="U570" s="84"/>
      <c r="V570" s="84"/>
      <c r="W570" s="84"/>
      <c r="X570" s="84"/>
      <c r="Y570" s="84"/>
      <c r="Z570" s="84"/>
    </row>
    <row r="571" spans="1:26" ht="15.75" customHeight="1" x14ac:dyDescent="0.25">
      <c r="A571" s="85" t="s">
        <v>1580</v>
      </c>
      <c r="B571" s="189" t="s">
        <v>530</v>
      </c>
      <c r="C571" s="9" t="s">
        <v>314</v>
      </c>
      <c r="D571" s="190">
        <v>8</v>
      </c>
      <c r="E571" s="191">
        <v>80</v>
      </c>
      <c r="F571" s="192">
        <v>6</v>
      </c>
      <c r="G571" s="191">
        <v>100</v>
      </c>
      <c r="H571" s="189"/>
      <c r="I571" s="193" t="s">
        <v>184</v>
      </c>
      <c r="J571" s="82" t="s">
        <v>305</v>
      </c>
      <c r="K571" s="83" t="s">
        <v>184</v>
      </c>
      <c r="O571" s="84"/>
      <c r="P571" s="84"/>
      <c r="Q571" s="84"/>
      <c r="R571" s="84"/>
      <c r="S571" s="84"/>
      <c r="T571" s="84"/>
      <c r="U571" s="84"/>
      <c r="V571" s="84"/>
      <c r="W571" s="84"/>
      <c r="X571" s="84"/>
      <c r="Y571" s="84"/>
      <c r="Z571" s="84"/>
    </row>
    <row r="572" spans="1:26" ht="15.75" customHeight="1" x14ac:dyDescent="0.25">
      <c r="A572" s="85" t="s">
        <v>1581</v>
      </c>
      <c r="B572" s="189" t="s">
        <v>377</v>
      </c>
      <c r="C572" s="9" t="s">
        <v>303</v>
      </c>
      <c r="D572" s="190">
        <v>11</v>
      </c>
      <c r="E572" s="191">
        <v>110</v>
      </c>
      <c r="F572" s="192">
        <v>9</v>
      </c>
      <c r="G572" s="191">
        <v>85</v>
      </c>
      <c r="H572" s="189" t="s">
        <v>704</v>
      </c>
      <c r="I572" s="193" t="s">
        <v>705</v>
      </c>
      <c r="J572" s="82" t="s">
        <v>305</v>
      </c>
      <c r="K572" s="83" t="s">
        <v>184</v>
      </c>
      <c r="O572" s="84"/>
      <c r="P572" s="84"/>
      <c r="Q572" s="84"/>
      <c r="R572" s="84"/>
      <c r="S572" s="84"/>
      <c r="T572" s="84"/>
      <c r="U572" s="84"/>
      <c r="V572" s="84"/>
      <c r="W572" s="84"/>
      <c r="X572" s="84"/>
      <c r="Y572" s="84"/>
      <c r="Z572" s="84"/>
    </row>
    <row r="573" spans="1:26" ht="15.75" customHeight="1" x14ac:dyDescent="0.25">
      <c r="A573" s="85" t="s">
        <v>1582</v>
      </c>
      <c r="B573" s="189" t="s">
        <v>530</v>
      </c>
      <c r="C573" s="9" t="s">
        <v>314</v>
      </c>
      <c r="D573" s="190">
        <v>12</v>
      </c>
      <c r="E573" s="191">
        <v>120</v>
      </c>
      <c r="F573" s="192">
        <v>6</v>
      </c>
      <c r="G573" s="191">
        <v>100</v>
      </c>
      <c r="H573" s="189" t="s">
        <v>1583</v>
      </c>
      <c r="I573" s="193" t="s">
        <v>1584</v>
      </c>
      <c r="J573" s="82" t="s">
        <v>305</v>
      </c>
      <c r="K573" s="83" t="s">
        <v>184</v>
      </c>
      <c r="O573" s="84"/>
      <c r="P573" s="84"/>
      <c r="Q573" s="84"/>
      <c r="R573" s="84"/>
      <c r="S573" s="84"/>
      <c r="T573" s="84"/>
      <c r="U573" s="84"/>
      <c r="V573" s="84"/>
      <c r="W573" s="84"/>
      <c r="X573" s="84"/>
      <c r="Y573" s="84"/>
      <c r="Z573" s="84"/>
    </row>
    <row r="574" spans="1:26" ht="15.75" customHeight="1" x14ac:dyDescent="0.25">
      <c r="A574" s="85" t="s">
        <v>1585</v>
      </c>
      <c r="B574" s="189" t="s">
        <v>302</v>
      </c>
      <c r="C574" s="9" t="s">
        <v>303</v>
      </c>
      <c r="D574" s="190">
        <v>8</v>
      </c>
      <c r="E574" s="191">
        <v>80</v>
      </c>
      <c r="F574" s="192">
        <v>6</v>
      </c>
      <c r="G574" s="191">
        <v>100</v>
      </c>
      <c r="H574" s="189" t="s">
        <v>704</v>
      </c>
      <c r="I574" s="193">
        <v>0</v>
      </c>
      <c r="J574" s="82" t="s">
        <v>305</v>
      </c>
      <c r="K574" s="83" t="s">
        <v>184</v>
      </c>
      <c r="O574" s="84"/>
      <c r="P574" s="84"/>
      <c r="Q574" s="84"/>
      <c r="R574" s="84"/>
      <c r="S574" s="84"/>
      <c r="T574" s="84"/>
      <c r="U574" s="84"/>
      <c r="V574" s="84"/>
      <c r="W574" s="84"/>
      <c r="X574" s="84"/>
      <c r="Y574" s="84"/>
      <c r="Z574" s="84"/>
    </row>
    <row r="575" spans="1:26" ht="15.75" customHeight="1" x14ac:dyDescent="0.25">
      <c r="A575" s="85" t="s">
        <v>1586</v>
      </c>
      <c r="B575" s="189" t="s">
        <v>390</v>
      </c>
      <c r="C575" s="9" t="s">
        <v>303</v>
      </c>
      <c r="D575" s="190">
        <v>13</v>
      </c>
      <c r="E575" s="191">
        <v>130</v>
      </c>
      <c r="F575" s="192">
        <v>8</v>
      </c>
      <c r="G575" s="191">
        <v>90</v>
      </c>
      <c r="H575" s="189" t="s">
        <v>759</v>
      </c>
      <c r="I575" s="193" t="s">
        <v>760</v>
      </c>
      <c r="J575" s="82">
        <v>100</v>
      </c>
      <c r="K575" s="83">
        <v>1</v>
      </c>
      <c r="O575" s="84"/>
      <c r="P575" s="84"/>
      <c r="Q575" s="84"/>
      <c r="R575" s="84"/>
      <c r="S575" s="84"/>
      <c r="T575" s="84"/>
      <c r="U575" s="84"/>
      <c r="V575" s="84"/>
      <c r="W575" s="84"/>
      <c r="X575" s="84"/>
      <c r="Y575" s="84"/>
      <c r="Z575" s="84"/>
    </row>
    <row r="576" spans="1:26" ht="15.75" customHeight="1" x14ac:dyDescent="0.25">
      <c r="A576" s="85" t="s">
        <v>1587</v>
      </c>
      <c r="B576" s="189" t="s">
        <v>335</v>
      </c>
      <c r="C576" s="9" t="s">
        <v>322</v>
      </c>
      <c r="D576" s="190" t="s">
        <v>304</v>
      </c>
      <c r="E576" s="191" t="s">
        <v>305</v>
      </c>
      <c r="F576" s="192" t="s">
        <v>304</v>
      </c>
      <c r="G576" s="191" t="s">
        <v>305</v>
      </c>
      <c r="H576" s="189" t="s">
        <v>1588</v>
      </c>
      <c r="I576" s="193" t="s">
        <v>1589</v>
      </c>
      <c r="J576" s="82" t="s">
        <v>305</v>
      </c>
      <c r="K576" s="83" t="s">
        <v>184</v>
      </c>
      <c r="O576" s="84"/>
      <c r="P576" s="84"/>
      <c r="Q576" s="84"/>
      <c r="R576" s="84"/>
      <c r="S576" s="84"/>
      <c r="T576" s="84"/>
      <c r="U576" s="84"/>
      <c r="V576" s="84"/>
      <c r="W576" s="84"/>
      <c r="X576" s="84"/>
      <c r="Y576" s="84"/>
      <c r="Z576" s="84"/>
    </row>
    <row r="577" spans="1:26" ht="15.75" customHeight="1" x14ac:dyDescent="0.25">
      <c r="A577" s="85" t="s">
        <v>1590</v>
      </c>
      <c r="B577" s="189" t="s">
        <v>302</v>
      </c>
      <c r="C577" s="9" t="s">
        <v>303</v>
      </c>
      <c r="D577" s="190">
        <v>7</v>
      </c>
      <c r="E577" s="191">
        <v>65</v>
      </c>
      <c r="F577" s="192">
        <v>6</v>
      </c>
      <c r="G577" s="191">
        <v>100</v>
      </c>
      <c r="H577" s="189" t="s">
        <v>310</v>
      </c>
      <c r="I577" s="193" t="s">
        <v>311</v>
      </c>
      <c r="J577" s="82" t="s">
        <v>305</v>
      </c>
      <c r="K577" s="83" t="s">
        <v>184</v>
      </c>
      <c r="O577" s="84"/>
      <c r="P577" s="84"/>
      <c r="Q577" s="84"/>
      <c r="R577" s="84"/>
      <c r="S577" s="84"/>
      <c r="T577" s="84"/>
      <c r="U577" s="84"/>
      <c r="V577" s="84"/>
      <c r="W577" s="84"/>
      <c r="X577" s="84"/>
      <c r="Y577" s="84"/>
      <c r="Z577" s="84"/>
    </row>
    <row r="578" spans="1:26" ht="15.75" customHeight="1" x14ac:dyDescent="0.25">
      <c r="A578" s="85" t="s">
        <v>1591</v>
      </c>
      <c r="B578" s="189" t="s">
        <v>403</v>
      </c>
      <c r="C578" s="9" t="s">
        <v>322</v>
      </c>
      <c r="D578" s="190" t="s">
        <v>304</v>
      </c>
      <c r="E578" s="191" t="s">
        <v>305</v>
      </c>
      <c r="F578" s="192">
        <v>6</v>
      </c>
      <c r="G578" s="191">
        <v>100</v>
      </c>
      <c r="H578" s="189" t="s">
        <v>1592</v>
      </c>
      <c r="I578" s="193" t="s">
        <v>1593</v>
      </c>
      <c r="J578" s="82">
        <v>100</v>
      </c>
      <c r="K578" s="83">
        <v>1</v>
      </c>
      <c r="O578" s="84"/>
      <c r="P578" s="84"/>
      <c r="Q578" s="84"/>
      <c r="R578" s="84"/>
      <c r="S578" s="84"/>
      <c r="T578" s="84"/>
      <c r="U578" s="84"/>
      <c r="V578" s="84"/>
      <c r="W578" s="84"/>
      <c r="X578" s="84"/>
      <c r="Y578" s="84"/>
      <c r="Z578" s="84"/>
    </row>
    <row r="579" spans="1:26" ht="15.75" customHeight="1" x14ac:dyDescent="0.25">
      <c r="A579" s="85" t="s">
        <v>1594</v>
      </c>
      <c r="B579" s="189" t="s">
        <v>335</v>
      </c>
      <c r="C579" s="9" t="s">
        <v>314</v>
      </c>
      <c r="D579" s="190">
        <v>4</v>
      </c>
      <c r="E579" s="191">
        <v>40</v>
      </c>
      <c r="F579" s="192">
        <v>6</v>
      </c>
      <c r="G579" s="191">
        <v>100</v>
      </c>
      <c r="H579" s="189" t="s">
        <v>1595</v>
      </c>
      <c r="I579" s="193" t="s">
        <v>1596</v>
      </c>
      <c r="J579" s="82" t="s">
        <v>305</v>
      </c>
      <c r="K579" s="83" t="s">
        <v>184</v>
      </c>
      <c r="O579" s="84"/>
      <c r="P579" s="84"/>
      <c r="Q579" s="84"/>
      <c r="R579" s="84"/>
      <c r="S579" s="84"/>
      <c r="T579" s="84"/>
      <c r="U579" s="84"/>
      <c r="V579" s="84"/>
      <c r="W579" s="84"/>
      <c r="X579" s="84"/>
      <c r="Y579" s="84"/>
      <c r="Z579" s="84"/>
    </row>
    <row r="580" spans="1:26" ht="15.75" customHeight="1" x14ac:dyDescent="0.25">
      <c r="A580" s="85" t="s">
        <v>1597</v>
      </c>
      <c r="B580" s="189" t="s">
        <v>403</v>
      </c>
      <c r="C580" s="9" t="s">
        <v>314</v>
      </c>
      <c r="D580" s="190">
        <v>5</v>
      </c>
      <c r="E580" s="191">
        <v>50</v>
      </c>
      <c r="F580" s="192">
        <v>6</v>
      </c>
      <c r="G580" s="191">
        <v>100</v>
      </c>
      <c r="H580" s="189" t="s">
        <v>1598</v>
      </c>
      <c r="I580" s="193" t="s">
        <v>1599</v>
      </c>
      <c r="J580" s="82" t="s">
        <v>305</v>
      </c>
      <c r="K580" s="83" t="s">
        <v>184</v>
      </c>
      <c r="O580" s="84"/>
      <c r="P580" s="84"/>
      <c r="Q580" s="84"/>
      <c r="R580" s="84"/>
      <c r="S580" s="84"/>
      <c r="T580" s="84"/>
      <c r="U580" s="84"/>
      <c r="V580" s="84"/>
      <c r="W580" s="84"/>
      <c r="X580" s="84"/>
      <c r="Y580" s="84"/>
      <c r="Z580" s="84"/>
    </row>
    <row r="581" spans="1:26" ht="15.75" customHeight="1" x14ac:dyDescent="0.25">
      <c r="A581" s="85" t="s">
        <v>1600</v>
      </c>
      <c r="B581" s="189" t="s">
        <v>331</v>
      </c>
      <c r="C581" s="9" t="s">
        <v>314</v>
      </c>
      <c r="D581" s="190">
        <v>4</v>
      </c>
      <c r="E581" s="191">
        <v>35</v>
      </c>
      <c r="F581" s="192">
        <v>6</v>
      </c>
      <c r="G581" s="191">
        <v>100</v>
      </c>
      <c r="H581" s="189"/>
      <c r="I581" s="193" t="s">
        <v>184</v>
      </c>
      <c r="J581" s="82" t="s">
        <v>305</v>
      </c>
      <c r="K581" s="83" t="s">
        <v>184</v>
      </c>
      <c r="O581" s="84"/>
      <c r="P581" s="84"/>
      <c r="Q581" s="84"/>
      <c r="R581" s="84"/>
      <c r="S581" s="84"/>
      <c r="T581" s="84"/>
      <c r="U581" s="84"/>
      <c r="V581" s="84"/>
      <c r="W581" s="84"/>
      <c r="X581" s="84"/>
      <c r="Y581" s="84"/>
      <c r="Z581" s="84"/>
    </row>
    <row r="582" spans="1:26" ht="15.75" customHeight="1" x14ac:dyDescent="0.25">
      <c r="A582" s="85" t="s">
        <v>154</v>
      </c>
      <c r="B582" s="189" t="s">
        <v>335</v>
      </c>
      <c r="C582" s="9" t="s">
        <v>322</v>
      </c>
      <c r="D582" s="190" t="s">
        <v>304</v>
      </c>
      <c r="E582" s="191" t="s">
        <v>305</v>
      </c>
      <c r="F582" s="192" t="s">
        <v>304</v>
      </c>
      <c r="G582" s="191" t="s">
        <v>305</v>
      </c>
      <c r="H582" s="189" t="s">
        <v>1601</v>
      </c>
      <c r="I582" s="193" t="s">
        <v>1602</v>
      </c>
      <c r="J582" s="82" t="s">
        <v>305</v>
      </c>
      <c r="K582" s="83" t="s">
        <v>184</v>
      </c>
      <c r="O582" s="84"/>
      <c r="P582" s="84"/>
      <c r="Q582" s="84"/>
      <c r="R582" s="84"/>
      <c r="S582" s="84"/>
      <c r="T582" s="84"/>
      <c r="U582" s="84"/>
      <c r="V582" s="84"/>
      <c r="W582" s="84"/>
      <c r="X582" s="84"/>
      <c r="Y582" s="84"/>
      <c r="Z582" s="84"/>
    </row>
    <row r="583" spans="1:26" ht="15.75" customHeight="1" x14ac:dyDescent="0.25">
      <c r="A583" s="85" t="s">
        <v>1603</v>
      </c>
      <c r="B583" s="189" t="s">
        <v>309</v>
      </c>
      <c r="C583" s="9" t="s">
        <v>314</v>
      </c>
      <c r="D583" s="190">
        <v>9</v>
      </c>
      <c r="E583" s="191">
        <v>90</v>
      </c>
      <c r="F583" s="192">
        <v>6</v>
      </c>
      <c r="G583" s="191">
        <v>100</v>
      </c>
      <c r="H583" s="189" t="s">
        <v>520</v>
      </c>
      <c r="I583" s="193" t="s">
        <v>520</v>
      </c>
      <c r="J583" s="82" t="s">
        <v>305</v>
      </c>
      <c r="K583" s="83" t="s">
        <v>184</v>
      </c>
      <c r="O583" s="84"/>
      <c r="P583" s="84"/>
      <c r="Q583" s="84"/>
      <c r="R583" s="84"/>
      <c r="S583" s="84"/>
      <c r="T583" s="84"/>
      <c r="U583" s="84"/>
      <c r="V583" s="84"/>
      <c r="W583" s="84"/>
      <c r="X583" s="84"/>
      <c r="Y583" s="84"/>
      <c r="Z583" s="84"/>
    </row>
    <row r="584" spans="1:26" ht="15.75" customHeight="1" x14ac:dyDescent="0.25">
      <c r="A584" s="85" t="s">
        <v>1604</v>
      </c>
      <c r="B584" s="189" t="s">
        <v>309</v>
      </c>
      <c r="C584" s="9" t="s">
        <v>303</v>
      </c>
      <c r="D584" s="190">
        <v>12</v>
      </c>
      <c r="E584" s="191">
        <v>120</v>
      </c>
      <c r="F584" s="192">
        <v>6</v>
      </c>
      <c r="G584" s="191">
        <v>100</v>
      </c>
      <c r="H584" s="189" t="s">
        <v>1583</v>
      </c>
      <c r="I584" s="193" t="s">
        <v>1584</v>
      </c>
      <c r="J584" s="82" t="s">
        <v>305</v>
      </c>
      <c r="K584" s="83" t="s">
        <v>184</v>
      </c>
      <c r="O584" s="84"/>
      <c r="P584" s="84"/>
      <c r="Q584" s="84"/>
      <c r="R584" s="84"/>
      <c r="S584" s="84"/>
      <c r="T584" s="84"/>
      <c r="U584" s="84"/>
      <c r="V584" s="84"/>
      <c r="W584" s="84"/>
      <c r="X584" s="84"/>
      <c r="Y584" s="84"/>
      <c r="Z584" s="84"/>
    </row>
    <row r="585" spans="1:26" ht="15.75" customHeight="1" x14ac:dyDescent="0.25">
      <c r="A585" s="85" t="s">
        <v>1605</v>
      </c>
      <c r="B585" s="189" t="s">
        <v>407</v>
      </c>
      <c r="C585" s="9" t="s">
        <v>314</v>
      </c>
      <c r="D585" s="190">
        <v>9</v>
      </c>
      <c r="E585" s="191">
        <v>90</v>
      </c>
      <c r="F585" s="192">
        <v>6</v>
      </c>
      <c r="G585" s="191">
        <v>100</v>
      </c>
      <c r="H585" s="189" t="s">
        <v>1606</v>
      </c>
      <c r="I585" s="193" t="s">
        <v>1606</v>
      </c>
      <c r="J585" s="82" t="s">
        <v>305</v>
      </c>
      <c r="K585" s="83" t="s">
        <v>184</v>
      </c>
      <c r="O585" s="84"/>
      <c r="P585" s="84"/>
      <c r="Q585" s="84"/>
      <c r="R585" s="84"/>
      <c r="S585" s="84"/>
      <c r="T585" s="84"/>
      <c r="U585" s="84"/>
      <c r="V585" s="84"/>
      <c r="W585" s="84"/>
      <c r="X585" s="84"/>
      <c r="Y585" s="84"/>
      <c r="Z585" s="84"/>
    </row>
    <row r="586" spans="1:26" ht="15.75" customHeight="1" x14ac:dyDescent="0.25">
      <c r="A586" s="85" t="s">
        <v>1607</v>
      </c>
      <c r="B586" s="189" t="s">
        <v>348</v>
      </c>
      <c r="C586" s="9" t="s">
        <v>303</v>
      </c>
      <c r="D586" s="190">
        <v>10</v>
      </c>
      <c r="E586" s="191">
        <v>100</v>
      </c>
      <c r="F586" s="192">
        <v>6</v>
      </c>
      <c r="G586" s="191">
        <v>100</v>
      </c>
      <c r="H586" s="189" t="s">
        <v>1608</v>
      </c>
      <c r="I586" s="193" t="s">
        <v>1609</v>
      </c>
      <c r="J586" s="82" t="s">
        <v>305</v>
      </c>
      <c r="K586" s="83" t="s">
        <v>184</v>
      </c>
      <c r="O586" s="84"/>
      <c r="P586" s="84"/>
      <c r="Q586" s="84"/>
      <c r="R586" s="84"/>
      <c r="S586" s="84"/>
      <c r="T586" s="84"/>
      <c r="U586" s="84"/>
      <c r="V586" s="84"/>
      <c r="W586" s="84"/>
      <c r="X586" s="84"/>
      <c r="Y586" s="84"/>
      <c r="Z586" s="84"/>
    </row>
    <row r="587" spans="1:26" ht="15.75" customHeight="1" x14ac:dyDescent="0.25">
      <c r="A587" s="85" t="s">
        <v>1610</v>
      </c>
      <c r="B587" s="189" t="s">
        <v>302</v>
      </c>
      <c r="C587" s="9" t="s">
        <v>303</v>
      </c>
      <c r="D587" s="190" t="s">
        <v>304</v>
      </c>
      <c r="E587" s="191" t="s">
        <v>305</v>
      </c>
      <c r="F587" s="192">
        <v>24.4</v>
      </c>
      <c r="G587" s="191">
        <v>8</v>
      </c>
      <c r="H587" s="189" t="s">
        <v>1611</v>
      </c>
      <c r="I587" s="193" t="s">
        <v>1612</v>
      </c>
      <c r="J587" s="82" t="s">
        <v>305</v>
      </c>
      <c r="K587" s="83" t="s">
        <v>184</v>
      </c>
      <c r="O587" s="84"/>
      <c r="P587" s="84"/>
      <c r="Q587" s="84"/>
      <c r="R587" s="84"/>
      <c r="S587" s="84"/>
      <c r="T587" s="84"/>
      <c r="U587" s="84"/>
      <c r="V587" s="84"/>
      <c r="W587" s="84"/>
      <c r="X587" s="84"/>
      <c r="Y587" s="84"/>
      <c r="Z587" s="84"/>
    </row>
    <row r="588" spans="1:26" ht="15.75" customHeight="1" x14ac:dyDescent="0.25">
      <c r="A588" s="85" t="s">
        <v>1613</v>
      </c>
      <c r="B588" s="189" t="s">
        <v>411</v>
      </c>
      <c r="C588" s="9" t="s">
        <v>314</v>
      </c>
      <c r="D588" s="190">
        <v>3</v>
      </c>
      <c r="E588" s="191">
        <v>25</v>
      </c>
      <c r="F588" s="192">
        <v>7</v>
      </c>
      <c r="G588" s="191">
        <v>95</v>
      </c>
      <c r="H588" s="189" t="s">
        <v>387</v>
      </c>
      <c r="I588" s="193" t="s">
        <v>388</v>
      </c>
      <c r="J588" s="82" t="s">
        <v>305</v>
      </c>
      <c r="K588" s="83" t="s">
        <v>184</v>
      </c>
      <c r="O588" s="84"/>
      <c r="P588" s="84"/>
      <c r="Q588" s="84"/>
      <c r="R588" s="84"/>
      <c r="S588" s="84"/>
      <c r="T588" s="84"/>
      <c r="U588" s="84"/>
      <c r="V588" s="84"/>
      <c r="W588" s="84"/>
      <c r="X588" s="84"/>
      <c r="Y588" s="84"/>
      <c r="Z588" s="84"/>
    </row>
    <row r="589" spans="1:26" ht="15.75" customHeight="1" x14ac:dyDescent="0.25">
      <c r="A589" s="85" t="s">
        <v>1614</v>
      </c>
      <c r="B589" s="189" t="s">
        <v>302</v>
      </c>
      <c r="C589" s="9" t="s">
        <v>314</v>
      </c>
      <c r="D589" s="190">
        <v>10</v>
      </c>
      <c r="E589" s="191">
        <v>100</v>
      </c>
      <c r="F589" s="192">
        <v>6</v>
      </c>
      <c r="G589" s="191">
        <v>100</v>
      </c>
      <c r="H589" s="189" t="s">
        <v>1615</v>
      </c>
      <c r="I589" s="193" t="s">
        <v>1280</v>
      </c>
      <c r="J589" s="82" t="s">
        <v>305</v>
      </c>
      <c r="K589" s="83" t="s">
        <v>184</v>
      </c>
      <c r="O589" s="84"/>
      <c r="P589" s="84"/>
      <c r="Q589" s="84"/>
      <c r="R589" s="84"/>
      <c r="S589" s="84"/>
      <c r="T589" s="84"/>
      <c r="U589" s="84"/>
      <c r="V589" s="84"/>
      <c r="W589" s="84"/>
      <c r="X589" s="84"/>
      <c r="Y589" s="84"/>
      <c r="Z589" s="84"/>
    </row>
    <row r="590" spans="1:26" ht="15.75" customHeight="1" x14ac:dyDescent="0.25">
      <c r="A590" s="85" t="s">
        <v>1616</v>
      </c>
      <c r="B590" s="189" t="s">
        <v>335</v>
      </c>
      <c r="C590" s="9" t="s">
        <v>322</v>
      </c>
      <c r="D590" s="190" t="s">
        <v>304</v>
      </c>
      <c r="E590" s="191" t="s">
        <v>305</v>
      </c>
      <c r="F590" s="192" t="s">
        <v>304</v>
      </c>
      <c r="G590" s="191" t="s">
        <v>305</v>
      </c>
      <c r="H590" s="189" t="s">
        <v>1617</v>
      </c>
      <c r="I590" s="193" t="s">
        <v>1618</v>
      </c>
      <c r="J590" s="82">
        <v>100</v>
      </c>
      <c r="K590" s="83">
        <v>1</v>
      </c>
      <c r="O590" s="84"/>
      <c r="P590" s="84"/>
      <c r="Q590" s="84"/>
      <c r="R590" s="84"/>
      <c r="S590" s="84"/>
      <c r="T590" s="84"/>
      <c r="U590" s="84"/>
      <c r="V590" s="84"/>
      <c r="W590" s="84"/>
      <c r="X590" s="84"/>
      <c r="Y590" s="84"/>
      <c r="Z590" s="84"/>
    </row>
    <row r="591" spans="1:26" ht="15.75" customHeight="1" x14ac:dyDescent="0.25">
      <c r="A591" s="85" t="s">
        <v>1619</v>
      </c>
      <c r="B591" s="189" t="s">
        <v>359</v>
      </c>
      <c r="C591" s="9" t="s">
        <v>314</v>
      </c>
      <c r="D591" s="190">
        <v>9</v>
      </c>
      <c r="E591" s="191">
        <v>90</v>
      </c>
      <c r="F591" s="192">
        <v>8</v>
      </c>
      <c r="G591" s="191">
        <v>90</v>
      </c>
      <c r="H591" s="189" t="s">
        <v>420</v>
      </c>
      <c r="I591" s="193" t="s">
        <v>421</v>
      </c>
      <c r="J591" s="82">
        <v>10</v>
      </c>
      <c r="K591" s="83">
        <v>19</v>
      </c>
      <c r="O591" s="84"/>
      <c r="P591" s="84"/>
      <c r="Q591" s="84"/>
      <c r="R591" s="84"/>
      <c r="S591" s="84"/>
      <c r="T591" s="84"/>
      <c r="U591" s="84"/>
      <c r="V591" s="84"/>
      <c r="W591" s="84"/>
      <c r="X591" s="84"/>
      <c r="Y591" s="84"/>
      <c r="Z591" s="84"/>
    </row>
    <row r="592" spans="1:26" ht="15.75" customHeight="1" x14ac:dyDescent="0.25">
      <c r="A592" s="85" t="s">
        <v>1620</v>
      </c>
      <c r="B592" s="189" t="s">
        <v>331</v>
      </c>
      <c r="C592" s="9" t="s">
        <v>314</v>
      </c>
      <c r="D592" s="190">
        <v>6</v>
      </c>
      <c r="E592" s="191">
        <v>60</v>
      </c>
      <c r="F592" s="192">
        <v>6</v>
      </c>
      <c r="G592" s="191">
        <v>100</v>
      </c>
      <c r="H592" s="189" t="s">
        <v>1621</v>
      </c>
      <c r="I592" s="193" t="s">
        <v>1622</v>
      </c>
      <c r="J592" s="82" t="s">
        <v>305</v>
      </c>
      <c r="K592" s="83" t="s">
        <v>184</v>
      </c>
      <c r="O592" s="84"/>
      <c r="P592" s="84"/>
      <c r="Q592" s="84"/>
      <c r="R592" s="84"/>
      <c r="S592" s="84"/>
      <c r="T592" s="84"/>
      <c r="U592" s="84"/>
      <c r="V592" s="84"/>
      <c r="W592" s="84"/>
      <c r="X592" s="84"/>
      <c r="Y592" s="84"/>
      <c r="Z592" s="84"/>
    </row>
    <row r="593" spans="1:26" ht="15.75" customHeight="1" x14ac:dyDescent="0.25">
      <c r="A593" s="85" t="s">
        <v>1623</v>
      </c>
      <c r="B593" s="189" t="s">
        <v>318</v>
      </c>
      <c r="C593" s="9" t="s">
        <v>314</v>
      </c>
      <c r="D593" s="190">
        <v>5</v>
      </c>
      <c r="E593" s="191">
        <v>50</v>
      </c>
      <c r="F593" s="192">
        <v>6</v>
      </c>
      <c r="G593" s="191">
        <v>100</v>
      </c>
      <c r="H593" s="189" t="s">
        <v>1624</v>
      </c>
      <c r="I593" s="193" t="s">
        <v>1625</v>
      </c>
      <c r="J593" s="82">
        <v>50</v>
      </c>
      <c r="K593" s="83">
        <v>11</v>
      </c>
      <c r="O593" s="84"/>
      <c r="P593" s="84"/>
      <c r="Q593" s="84"/>
      <c r="R593" s="84"/>
      <c r="S593" s="84"/>
      <c r="T593" s="84"/>
      <c r="U593" s="84"/>
      <c r="V593" s="84"/>
      <c r="W593" s="84"/>
      <c r="X593" s="84"/>
      <c r="Y593" s="84"/>
      <c r="Z593" s="84"/>
    </row>
    <row r="594" spans="1:26" ht="15.75" customHeight="1" x14ac:dyDescent="0.25">
      <c r="A594" s="85" t="s">
        <v>1626</v>
      </c>
      <c r="B594" s="189" t="s">
        <v>318</v>
      </c>
      <c r="C594" s="9" t="s">
        <v>322</v>
      </c>
      <c r="D594" s="190" t="s">
        <v>304</v>
      </c>
      <c r="E594" s="191" t="s">
        <v>305</v>
      </c>
      <c r="F594" s="192">
        <v>8</v>
      </c>
      <c r="G594" s="191">
        <v>90</v>
      </c>
      <c r="H594" s="189" t="s">
        <v>1627</v>
      </c>
      <c r="I594" s="193" t="s">
        <v>1628</v>
      </c>
      <c r="J594" s="82" t="s">
        <v>305</v>
      </c>
      <c r="K594" s="83" t="s">
        <v>184</v>
      </c>
      <c r="O594" s="84"/>
      <c r="P594" s="84"/>
      <c r="Q594" s="84"/>
      <c r="R594" s="84"/>
      <c r="S594" s="84"/>
      <c r="T594" s="84"/>
      <c r="U594" s="84"/>
      <c r="V594" s="84"/>
      <c r="W594" s="84"/>
      <c r="X594" s="84"/>
      <c r="Y594" s="84"/>
      <c r="Z594" s="84"/>
    </row>
    <row r="595" spans="1:26" ht="15.75" customHeight="1" x14ac:dyDescent="0.25">
      <c r="A595" s="85" t="s">
        <v>1629</v>
      </c>
      <c r="B595" s="189" t="s">
        <v>318</v>
      </c>
      <c r="C595" s="9" t="s">
        <v>314</v>
      </c>
      <c r="D595" s="190">
        <v>8</v>
      </c>
      <c r="E595" s="191">
        <v>80</v>
      </c>
      <c r="F595" s="192">
        <v>6</v>
      </c>
      <c r="G595" s="191">
        <v>100</v>
      </c>
      <c r="H595" s="189" t="s">
        <v>1393</v>
      </c>
      <c r="I595" s="193" t="s">
        <v>1149</v>
      </c>
      <c r="J595" s="82">
        <v>30</v>
      </c>
      <c r="K595" s="83">
        <v>15</v>
      </c>
      <c r="O595" s="84"/>
      <c r="P595" s="84"/>
      <c r="Q595" s="84"/>
      <c r="R595" s="84"/>
      <c r="S595" s="84"/>
      <c r="T595" s="84"/>
      <c r="U595" s="84"/>
      <c r="V595" s="84"/>
      <c r="W595" s="84"/>
      <c r="X595" s="84"/>
      <c r="Y595" s="84"/>
      <c r="Z595" s="84"/>
    </row>
    <row r="596" spans="1:26" ht="15.75" customHeight="1" x14ac:dyDescent="0.25">
      <c r="A596" s="85" t="s">
        <v>1630</v>
      </c>
      <c r="B596" s="189" t="s">
        <v>318</v>
      </c>
      <c r="C596" s="9" t="s">
        <v>322</v>
      </c>
      <c r="D596" s="190" t="s">
        <v>304</v>
      </c>
      <c r="E596" s="191" t="s">
        <v>305</v>
      </c>
      <c r="F596" s="192">
        <v>11</v>
      </c>
      <c r="G596" s="191">
        <v>75</v>
      </c>
      <c r="H596" s="189" t="s">
        <v>1627</v>
      </c>
      <c r="I596" s="193" t="s">
        <v>1628</v>
      </c>
      <c r="J596" s="82" t="s">
        <v>305</v>
      </c>
      <c r="K596" s="83" t="s">
        <v>184</v>
      </c>
      <c r="O596" s="84"/>
      <c r="P596" s="84"/>
      <c r="Q596" s="84"/>
      <c r="R596" s="84"/>
      <c r="S596" s="84"/>
      <c r="T596" s="84"/>
      <c r="U596" s="84"/>
      <c r="V596" s="84"/>
      <c r="W596" s="84"/>
      <c r="X596" s="84"/>
      <c r="Y596" s="84"/>
      <c r="Z596" s="84"/>
    </row>
    <row r="597" spans="1:26" ht="15.75" customHeight="1" x14ac:dyDescent="0.25">
      <c r="A597" s="85" t="s">
        <v>1631</v>
      </c>
      <c r="B597" s="189" t="s">
        <v>318</v>
      </c>
      <c r="C597" s="9" t="s">
        <v>314</v>
      </c>
      <c r="D597" s="190">
        <v>2</v>
      </c>
      <c r="E597" s="191">
        <v>15</v>
      </c>
      <c r="F597" s="192">
        <v>6</v>
      </c>
      <c r="G597" s="191">
        <v>100</v>
      </c>
      <c r="H597" s="189" t="s">
        <v>1393</v>
      </c>
      <c r="I597" s="193" t="s">
        <v>1149</v>
      </c>
      <c r="J597" s="82">
        <v>30</v>
      </c>
      <c r="K597" s="83">
        <v>15</v>
      </c>
      <c r="O597" s="84"/>
      <c r="P597" s="84"/>
      <c r="Q597" s="84"/>
      <c r="R597" s="84"/>
      <c r="S597" s="84"/>
      <c r="T597" s="84"/>
      <c r="U597" s="84"/>
      <c r="V597" s="84"/>
      <c r="W597" s="84"/>
      <c r="X597" s="84"/>
      <c r="Y597" s="84"/>
      <c r="Z597" s="84"/>
    </row>
    <row r="598" spans="1:26" ht="15.75" customHeight="1" x14ac:dyDescent="0.25">
      <c r="A598" s="85" t="s">
        <v>1632</v>
      </c>
      <c r="B598" s="189" t="s">
        <v>318</v>
      </c>
      <c r="C598" s="9" t="s">
        <v>314</v>
      </c>
      <c r="D598" s="190">
        <v>5</v>
      </c>
      <c r="E598" s="191">
        <v>50</v>
      </c>
      <c r="F598" s="192">
        <v>6</v>
      </c>
      <c r="G598" s="191">
        <v>100</v>
      </c>
      <c r="H598" s="189" t="s">
        <v>686</v>
      </c>
      <c r="I598" s="193" t="s">
        <v>687</v>
      </c>
      <c r="J598" s="82">
        <v>10</v>
      </c>
      <c r="K598" s="83">
        <v>19</v>
      </c>
      <c r="O598" s="84"/>
      <c r="P598" s="84"/>
      <c r="Q598" s="84"/>
      <c r="R598" s="84"/>
      <c r="S598" s="84"/>
      <c r="T598" s="84"/>
      <c r="U598" s="84"/>
      <c r="V598" s="84"/>
      <c r="W598" s="84"/>
      <c r="X598" s="84"/>
      <c r="Y598" s="84"/>
      <c r="Z598" s="84"/>
    </row>
    <row r="599" spans="1:26" ht="15.75" customHeight="1" x14ac:dyDescent="0.25">
      <c r="A599" s="85" t="s">
        <v>1633</v>
      </c>
      <c r="B599" s="189" t="s">
        <v>411</v>
      </c>
      <c r="C599" s="9" t="s">
        <v>303</v>
      </c>
      <c r="D599" s="190">
        <v>9</v>
      </c>
      <c r="E599" s="191">
        <v>90</v>
      </c>
      <c r="F599" s="192">
        <v>6</v>
      </c>
      <c r="G599" s="191">
        <v>100</v>
      </c>
      <c r="H599" s="189" t="s">
        <v>1634</v>
      </c>
      <c r="I599" s="193" t="s">
        <v>1635</v>
      </c>
      <c r="J599" s="82" t="s">
        <v>305</v>
      </c>
      <c r="K599" s="83" t="s">
        <v>184</v>
      </c>
      <c r="O599" s="84"/>
      <c r="P599" s="84"/>
      <c r="Q599" s="84"/>
      <c r="R599" s="84"/>
      <c r="S599" s="84"/>
      <c r="T599" s="84"/>
      <c r="U599" s="84"/>
      <c r="V599" s="84"/>
      <c r="W599" s="84"/>
      <c r="X599" s="84"/>
      <c r="Y599" s="84"/>
      <c r="Z599" s="84"/>
    </row>
    <row r="600" spans="1:26" ht="15.75" customHeight="1" x14ac:dyDescent="0.25">
      <c r="A600" s="85" t="s">
        <v>1636</v>
      </c>
      <c r="B600" s="189" t="s">
        <v>407</v>
      </c>
      <c r="C600" s="9" t="s">
        <v>314</v>
      </c>
      <c r="D600" s="190">
        <v>11</v>
      </c>
      <c r="E600" s="191">
        <v>110</v>
      </c>
      <c r="F600" s="192">
        <v>8</v>
      </c>
      <c r="G600" s="191">
        <v>90</v>
      </c>
      <c r="H600" s="189" t="s">
        <v>1637</v>
      </c>
      <c r="I600" s="193" t="s">
        <v>1637</v>
      </c>
      <c r="J600" s="82" t="s">
        <v>305</v>
      </c>
      <c r="K600" s="83" t="s">
        <v>184</v>
      </c>
      <c r="O600" s="84"/>
      <c r="P600" s="84"/>
      <c r="Q600" s="84"/>
      <c r="R600" s="84"/>
      <c r="S600" s="84"/>
      <c r="T600" s="84"/>
      <c r="U600" s="84"/>
      <c r="V600" s="84"/>
      <c r="W600" s="84"/>
      <c r="X600" s="84"/>
      <c r="Y600" s="84"/>
      <c r="Z600" s="84"/>
    </row>
    <row r="601" spans="1:26" ht="15.75" customHeight="1" x14ac:dyDescent="0.25">
      <c r="A601" s="85" t="s">
        <v>1638</v>
      </c>
      <c r="B601" s="189" t="s">
        <v>335</v>
      </c>
      <c r="C601" s="9" t="s">
        <v>314</v>
      </c>
      <c r="D601" s="190">
        <v>2</v>
      </c>
      <c r="E601" s="191">
        <v>20</v>
      </c>
      <c r="F601" s="192">
        <v>8</v>
      </c>
      <c r="G601" s="191">
        <v>90</v>
      </c>
      <c r="H601" s="189" t="s">
        <v>1639</v>
      </c>
      <c r="I601" s="193" t="s">
        <v>1640</v>
      </c>
      <c r="J601" s="82" t="s">
        <v>305</v>
      </c>
      <c r="K601" s="83" t="s">
        <v>184</v>
      </c>
      <c r="O601" s="84"/>
      <c r="P601" s="84"/>
      <c r="Q601" s="84"/>
      <c r="R601" s="84"/>
      <c r="S601" s="84"/>
      <c r="T601" s="84"/>
      <c r="U601" s="84"/>
      <c r="V601" s="84"/>
      <c r="W601" s="84"/>
      <c r="X601" s="84"/>
      <c r="Y601" s="84"/>
      <c r="Z601" s="84"/>
    </row>
    <row r="602" spans="1:26" ht="15.75" customHeight="1" x14ac:dyDescent="0.25">
      <c r="A602" s="85" t="s">
        <v>1641</v>
      </c>
      <c r="B602" s="189" t="s">
        <v>411</v>
      </c>
      <c r="C602" s="9" t="s">
        <v>314</v>
      </c>
      <c r="D602" s="190">
        <v>5</v>
      </c>
      <c r="E602" s="191">
        <v>50</v>
      </c>
      <c r="F602" s="192">
        <v>6</v>
      </c>
      <c r="G602" s="191">
        <v>100</v>
      </c>
      <c r="H602" s="189" t="s">
        <v>556</v>
      </c>
      <c r="I602" s="193" t="s">
        <v>1642</v>
      </c>
      <c r="J602" s="82">
        <v>100</v>
      </c>
      <c r="K602" s="83">
        <v>1</v>
      </c>
      <c r="O602" s="84"/>
      <c r="P602" s="84"/>
      <c r="Q602" s="84"/>
      <c r="R602" s="84"/>
      <c r="S602" s="84"/>
      <c r="T602" s="84"/>
      <c r="U602" s="84"/>
      <c r="V602" s="84"/>
      <c r="W602" s="84"/>
      <c r="X602" s="84"/>
      <c r="Y602" s="84"/>
      <c r="Z602" s="84"/>
    </row>
    <row r="603" spans="1:26" ht="15.75" customHeight="1" x14ac:dyDescent="0.25">
      <c r="A603" s="85" t="s">
        <v>1643</v>
      </c>
      <c r="B603" s="189" t="s">
        <v>335</v>
      </c>
      <c r="C603" s="9" t="s">
        <v>314</v>
      </c>
      <c r="D603" s="190">
        <v>4</v>
      </c>
      <c r="E603" s="191">
        <v>40</v>
      </c>
      <c r="F603" s="192">
        <v>6</v>
      </c>
      <c r="G603" s="191">
        <v>100</v>
      </c>
      <c r="H603" s="189"/>
      <c r="I603" s="193" t="s">
        <v>184</v>
      </c>
      <c r="J603" s="82" t="s">
        <v>305</v>
      </c>
      <c r="K603" s="83" t="s">
        <v>184</v>
      </c>
      <c r="O603" s="84"/>
      <c r="P603" s="84"/>
      <c r="Q603" s="84"/>
      <c r="R603" s="84"/>
      <c r="S603" s="84"/>
      <c r="T603" s="84"/>
      <c r="U603" s="84"/>
      <c r="V603" s="84"/>
      <c r="W603" s="84"/>
      <c r="X603" s="84"/>
      <c r="Y603" s="84"/>
      <c r="Z603" s="84"/>
    </row>
    <row r="604" spans="1:26" ht="15.75" customHeight="1" x14ac:dyDescent="0.25">
      <c r="A604" s="85" t="s">
        <v>1644</v>
      </c>
      <c r="B604" s="189" t="s">
        <v>411</v>
      </c>
      <c r="C604" s="9" t="s">
        <v>322</v>
      </c>
      <c r="D604" s="190" t="s">
        <v>304</v>
      </c>
      <c r="E604" s="191" t="s">
        <v>305</v>
      </c>
      <c r="F604" s="192">
        <v>6</v>
      </c>
      <c r="G604" s="191">
        <v>100</v>
      </c>
      <c r="H604" s="189" t="s">
        <v>1645</v>
      </c>
      <c r="I604" s="193" t="s">
        <v>1646</v>
      </c>
      <c r="J604" s="82" t="s">
        <v>305</v>
      </c>
      <c r="K604" s="83" t="s">
        <v>184</v>
      </c>
      <c r="O604" s="84"/>
      <c r="P604" s="84"/>
      <c r="Q604" s="84"/>
      <c r="R604" s="84"/>
      <c r="S604" s="84"/>
      <c r="T604" s="84"/>
      <c r="U604" s="84"/>
      <c r="V604" s="84"/>
      <c r="W604" s="84"/>
      <c r="X604" s="84"/>
      <c r="Y604" s="84"/>
      <c r="Z604" s="84"/>
    </row>
    <row r="605" spans="1:26" ht="15.75" customHeight="1" x14ac:dyDescent="0.25">
      <c r="A605" s="85" t="s">
        <v>1647</v>
      </c>
      <c r="B605" s="189" t="s">
        <v>419</v>
      </c>
      <c r="C605" s="9" t="s">
        <v>303</v>
      </c>
      <c r="D605" s="190">
        <v>4</v>
      </c>
      <c r="E605" s="191">
        <v>40</v>
      </c>
      <c r="F605" s="192">
        <v>6</v>
      </c>
      <c r="G605" s="191">
        <v>100</v>
      </c>
      <c r="H605" s="189" t="s">
        <v>492</v>
      </c>
      <c r="I605" s="193" t="s">
        <v>493</v>
      </c>
      <c r="J605" s="82">
        <v>10</v>
      </c>
      <c r="K605" s="83">
        <v>19</v>
      </c>
      <c r="O605" s="84"/>
      <c r="P605" s="84"/>
      <c r="Q605" s="84"/>
      <c r="R605" s="84"/>
      <c r="S605" s="84"/>
      <c r="T605" s="84"/>
      <c r="U605" s="84"/>
      <c r="V605" s="84"/>
      <c r="W605" s="84"/>
      <c r="X605" s="84"/>
      <c r="Y605" s="84"/>
      <c r="Z605" s="84"/>
    </row>
    <row r="606" spans="1:26" ht="15.75" customHeight="1" x14ac:dyDescent="0.25">
      <c r="A606" s="85" t="s">
        <v>1648</v>
      </c>
      <c r="B606" s="189" t="s">
        <v>313</v>
      </c>
      <c r="C606" s="9" t="s">
        <v>303</v>
      </c>
      <c r="D606" s="190">
        <v>8</v>
      </c>
      <c r="E606" s="191">
        <v>80</v>
      </c>
      <c r="F606" s="192">
        <v>6</v>
      </c>
      <c r="G606" s="191">
        <v>100</v>
      </c>
      <c r="H606" s="189"/>
      <c r="I606" s="193" t="s">
        <v>184</v>
      </c>
      <c r="J606" s="82" t="s">
        <v>305</v>
      </c>
      <c r="K606" s="83" t="s">
        <v>184</v>
      </c>
      <c r="O606" s="84"/>
      <c r="P606" s="84"/>
      <c r="Q606" s="84"/>
      <c r="R606" s="84"/>
      <c r="S606" s="84"/>
      <c r="T606" s="84"/>
      <c r="U606" s="84"/>
      <c r="V606" s="84"/>
      <c r="W606" s="84"/>
      <c r="X606" s="84"/>
      <c r="Y606" s="84"/>
      <c r="Z606" s="84"/>
    </row>
    <row r="607" spans="1:26" ht="15.75" customHeight="1" x14ac:dyDescent="0.25">
      <c r="A607" s="85" t="s">
        <v>1649</v>
      </c>
      <c r="B607" s="189" t="s">
        <v>335</v>
      </c>
      <c r="C607" s="9" t="s">
        <v>322</v>
      </c>
      <c r="D607" s="190" t="s">
        <v>304</v>
      </c>
      <c r="E607" s="191" t="s">
        <v>305</v>
      </c>
      <c r="F607" s="192" t="s">
        <v>304</v>
      </c>
      <c r="G607" s="191" t="s">
        <v>305</v>
      </c>
      <c r="H607" s="189" t="s">
        <v>1650</v>
      </c>
      <c r="I607" s="193" t="s">
        <v>1651</v>
      </c>
      <c r="J607" s="82" t="s">
        <v>305</v>
      </c>
      <c r="K607" s="83" t="s">
        <v>184</v>
      </c>
      <c r="O607" s="84"/>
      <c r="P607" s="84"/>
      <c r="Q607" s="84"/>
      <c r="R607" s="84"/>
      <c r="S607" s="84"/>
      <c r="T607" s="84"/>
      <c r="U607" s="84"/>
      <c r="V607" s="84"/>
      <c r="W607" s="84"/>
      <c r="X607" s="84"/>
      <c r="Y607" s="84"/>
      <c r="Z607" s="84"/>
    </row>
    <row r="608" spans="1:26" ht="15.75" customHeight="1" x14ac:dyDescent="0.25">
      <c r="A608" s="85" t="s">
        <v>1652</v>
      </c>
      <c r="B608" s="189" t="s">
        <v>348</v>
      </c>
      <c r="C608" s="9" t="s">
        <v>322</v>
      </c>
      <c r="D608" s="190" t="s">
        <v>304</v>
      </c>
      <c r="E608" s="191" t="s">
        <v>305</v>
      </c>
      <c r="F608" s="192" t="s">
        <v>304</v>
      </c>
      <c r="G608" s="191" t="s">
        <v>305</v>
      </c>
      <c r="H608" s="189" t="s">
        <v>1653</v>
      </c>
      <c r="I608" s="193" t="s">
        <v>1654</v>
      </c>
      <c r="J608" s="82" t="s">
        <v>305</v>
      </c>
      <c r="K608" s="83" t="s">
        <v>184</v>
      </c>
      <c r="O608" s="84"/>
      <c r="P608" s="84"/>
      <c r="Q608" s="84"/>
      <c r="R608" s="84"/>
      <c r="S608" s="84"/>
      <c r="T608" s="84"/>
      <c r="U608" s="84"/>
      <c r="V608" s="84"/>
      <c r="W608" s="84"/>
      <c r="X608" s="84"/>
      <c r="Y608" s="84"/>
      <c r="Z608" s="84"/>
    </row>
    <row r="609" spans="1:26" ht="15.75" customHeight="1" x14ac:dyDescent="0.25">
      <c r="A609" s="85" t="s">
        <v>1655</v>
      </c>
      <c r="B609" s="189" t="s">
        <v>348</v>
      </c>
      <c r="C609" s="9" t="s">
        <v>322</v>
      </c>
      <c r="D609" s="190" t="s">
        <v>304</v>
      </c>
      <c r="E609" s="191" t="s">
        <v>305</v>
      </c>
      <c r="F609" s="192" t="s">
        <v>304</v>
      </c>
      <c r="G609" s="191" t="s">
        <v>305</v>
      </c>
      <c r="H609" s="189" t="s">
        <v>1656</v>
      </c>
      <c r="I609" s="193" t="s">
        <v>1657</v>
      </c>
      <c r="J609" s="82" t="s">
        <v>305</v>
      </c>
      <c r="K609" s="83" t="s">
        <v>184</v>
      </c>
      <c r="O609" s="84"/>
      <c r="P609" s="84"/>
      <c r="Q609" s="84"/>
      <c r="R609" s="84"/>
      <c r="S609" s="84"/>
      <c r="T609" s="84"/>
      <c r="U609" s="84"/>
      <c r="V609" s="84"/>
      <c r="W609" s="84"/>
      <c r="X609" s="84"/>
      <c r="Y609" s="84"/>
      <c r="Z609" s="84"/>
    </row>
    <row r="610" spans="1:26" ht="15.75" customHeight="1" x14ac:dyDescent="0.25">
      <c r="A610" s="85" t="s">
        <v>1658</v>
      </c>
      <c r="B610" s="189" t="s">
        <v>348</v>
      </c>
      <c r="C610" s="9" t="s">
        <v>322</v>
      </c>
      <c r="D610" s="190" t="s">
        <v>304</v>
      </c>
      <c r="E610" s="191" t="s">
        <v>305</v>
      </c>
      <c r="F610" s="192" t="s">
        <v>304</v>
      </c>
      <c r="G610" s="191" t="s">
        <v>305</v>
      </c>
      <c r="H610" s="189" t="s">
        <v>1659</v>
      </c>
      <c r="I610" s="193" t="s">
        <v>1660</v>
      </c>
      <c r="J610" s="82" t="s">
        <v>305</v>
      </c>
      <c r="K610" s="83" t="s">
        <v>184</v>
      </c>
      <c r="O610" s="84"/>
      <c r="P610" s="84"/>
      <c r="Q610" s="84"/>
      <c r="R610" s="84"/>
      <c r="S610" s="84"/>
      <c r="T610" s="84"/>
      <c r="U610" s="84"/>
      <c r="V610" s="84"/>
      <c r="W610" s="84"/>
      <c r="X610" s="84"/>
      <c r="Y610" s="84"/>
      <c r="Z610" s="84"/>
    </row>
    <row r="611" spans="1:26" ht="15.75" customHeight="1" x14ac:dyDescent="0.25">
      <c r="A611" s="85" t="s">
        <v>1661</v>
      </c>
      <c r="B611" s="189" t="s">
        <v>403</v>
      </c>
      <c r="C611" s="9" t="s">
        <v>314</v>
      </c>
      <c r="D611" s="190">
        <v>2</v>
      </c>
      <c r="E611" s="191">
        <v>20</v>
      </c>
      <c r="F611" s="192">
        <v>6</v>
      </c>
      <c r="G611" s="191">
        <v>100</v>
      </c>
      <c r="H611" s="189" t="s">
        <v>1662</v>
      </c>
      <c r="I611" s="193" t="s">
        <v>1663</v>
      </c>
      <c r="J611" s="82" t="s">
        <v>305</v>
      </c>
      <c r="K611" s="83" t="s">
        <v>184</v>
      </c>
      <c r="O611" s="84"/>
      <c r="P611" s="84"/>
      <c r="Q611" s="84"/>
      <c r="R611" s="84"/>
      <c r="S611" s="84"/>
      <c r="T611" s="84"/>
      <c r="U611" s="84"/>
      <c r="V611" s="84"/>
      <c r="W611" s="84"/>
      <c r="X611" s="84"/>
      <c r="Y611" s="84"/>
      <c r="Z611" s="84"/>
    </row>
    <row r="612" spans="1:26" ht="15.75" customHeight="1" x14ac:dyDescent="0.25">
      <c r="A612" s="85" t="s">
        <v>1664</v>
      </c>
      <c r="B612" s="189" t="s">
        <v>309</v>
      </c>
      <c r="C612" s="9" t="s">
        <v>314</v>
      </c>
      <c r="D612" s="190">
        <v>12</v>
      </c>
      <c r="E612" s="191">
        <v>120</v>
      </c>
      <c r="F612" s="192">
        <v>9</v>
      </c>
      <c r="G612" s="191">
        <v>85</v>
      </c>
      <c r="H612" s="189"/>
      <c r="I612" s="193" t="s">
        <v>184</v>
      </c>
      <c r="J612" s="82" t="s">
        <v>305</v>
      </c>
      <c r="K612" s="83" t="s">
        <v>184</v>
      </c>
      <c r="O612" s="84"/>
      <c r="P612" s="84"/>
      <c r="Q612" s="84"/>
      <c r="R612" s="84"/>
      <c r="S612" s="84"/>
      <c r="T612" s="84"/>
      <c r="U612" s="84"/>
      <c r="V612" s="84"/>
      <c r="W612" s="84"/>
      <c r="X612" s="84"/>
      <c r="Y612" s="84"/>
      <c r="Z612" s="84"/>
    </row>
    <row r="613" spans="1:26" ht="15.75" customHeight="1" x14ac:dyDescent="0.25">
      <c r="A613" s="85" t="s">
        <v>1665</v>
      </c>
      <c r="B613" s="189" t="s">
        <v>356</v>
      </c>
      <c r="C613" s="9" t="s">
        <v>314</v>
      </c>
      <c r="D613" s="190">
        <v>4</v>
      </c>
      <c r="E613" s="191">
        <v>40</v>
      </c>
      <c r="F613" s="192">
        <v>6</v>
      </c>
      <c r="G613" s="191">
        <v>100</v>
      </c>
      <c r="H613" s="189" t="s">
        <v>1666</v>
      </c>
      <c r="I613" s="193" t="s">
        <v>1667</v>
      </c>
      <c r="J613" s="82">
        <v>100</v>
      </c>
      <c r="K613" s="83">
        <v>1</v>
      </c>
      <c r="O613" s="84"/>
      <c r="P613" s="84"/>
      <c r="Q613" s="84"/>
      <c r="R613" s="84"/>
      <c r="S613" s="84"/>
      <c r="T613" s="84"/>
      <c r="U613" s="84"/>
      <c r="V613" s="84"/>
      <c r="W613" s="84"/>
      <c r="X613" s="84"/>
      <c r="Y613" s="84"/>
      <c r="Z613" s="84"/>
    </row>
    <row r="614" spans="1:26" ht="15.75" customHeight="1" x14ac:dyDescent="0.25">
      <c r="A614" s="85" t="s">
        <v>1668</v>
      </c>
      <c r="B614" s="189" t="s">
        <v>515</v>
      </c>
      <c r="C614" s="9" t="s">
        <v>314</v>
      </c>
      <c r="D614" s="190">
        <v>12</v>
      </c>
      <c r="E614" s="191">
        <v>120</v>
      </c>
      <c r="F614" s="192">
        <v>9</v>
      </c>
      <c r="G614" s="191">
        <v>85</v>
      </c>
      <c r="H614" s="189" t="s">
        <v>704</v>
      </c>
      <c r="I614" s="193" t="s">
        <v>705</v>
      </c>
      <c r="J614" s="82" t="s">
        <v>305</v>
      </c>
      <c r="K614" s="83" t="s">
        <v>184</v>
      </c>
      <c r="O614" s="84"/>
      <c r="P614" s="84"/>
      <c r="Q614" s="84"/>
      <c r="R614" s="84"/>
      <c r="S614" s="84"/>
      <c r="T614" s="84"/>
      <c r="U614" s="84"/>
      <c r="V614" s="84"/>
      <c r="W614" s="84"/>
      <c r="X614" s="84"/>
      <c r="Y614" s="84"/>
      <c r="Z614" s="84"/>
    </row>
    <row r="615" spans="1:26" ht="15.75" customHeight="1" x14ac:dyDescent="0.25">
      <c r="A615" s="85" t="s">
        <v>1669</v>
      </c>
      <c r="B615" s="189" t="s">
        <v>335</v>
      </c>
      <c r="C615" s="9" t="s">
        <v>314</v>
      </c>
      <c r="D615" s="190" t="s">
        <v>304</v>
      </c>
      <c r="E615" s="191" t="s">
        <v>305</v>
      </c>
      <c r="F615" s="192">
        <v>8</v>
      </c>
      <c r="G615" s="191">
        <v>90</v>
      </c>
      <c r="H615" s="189" t="s">
        <v>1670</v>
      </c>
      <c r="I615" s="193" t="s">
        <v>1671</v>
      </c>
      <c r="J615" s="82" t="s">
        <v>305</v>
      </c>
      <c r="K615" s="83" t="s">
        <v>184</v>
      </c>
      <c r="O615" s="84"/>
      <c r="P615" s="84"/>
      <c r="Q615" s="84"/>
      <c r="R615" s="84"/>
      <c r="S615" s="84"/>
      <c r="T615" s="84"/>
      <c r="U615" s="84"/>
      <c r="V615" s="84"/>
      <c r="W615" s="84"/>
      <c r="X615" s="84"/>
      <c r="Y615" s="84"/>
      <c r="Z615" s="84"/>
    </row>
    <row r="616" spans="1:26" ht="15.75" customHeight="1" x14ac:dyDescent="0.25">
      <c r="A616" s="85" t="s">
        <v>1672</v>
      </c>
      <c r="B616" s="189" t="s">
        <v>348</v>
      </c>
      <c r="C616" s="9" t="s">
        <v>303</v>
      </c>
      <c r="D616" s="190">
        <v>16</v>
      </c>
      <c r="E616" s="191">
        <v>160</v>
      </c>
      <c r="F616" s="192">
        <v>6</v>
      </c>
      <c r="G616" s="191">
        <v>100</v>
      </c>
      <c r="H616" s="189" t="s">
        <v>1673</v>
      </c>
      <c r="I616" s="193" t="s">
        <v>1674</v>
      </c>
      <c r="J616" s="82" t="s">
        <v>305</v>
      </c>
      <c r="K616" s="83" t="s">
        <v>184</v>
      </c>
      <c r="O616" s="84"/>
      <c r="P616" s="84"/>
      <c r="Q616" s="84"/>
      <c r="R616" s="84"/>
      <c r="S616" s="84"/>
      <c r="T616" s="84"/>
      <c r="U616" s="84"/>
      <c r="V616" s="84"/>
      <c r="W616" s="84"/>
      <c r="X616" s="84"/>
      <c r="Y616" s="84"/>
      <c r="Z616" s="84"/>
    </row>
    <row r="617" spans="1:26" ht="15.75" customHeight="1" x14ac:dyDescent="0.25">
      <c r="A617" s="85" t="s">
        <v>1675</v>
      </c>
      <c r="B617" s="189" t="s">
        <v>335</v>
      </c>
      <c r="C617" s="9" t="s">
        <v>322</v>
      </c>
      <c r="D617" s="190" t="s">
        <v>304</v>
      </c>
      <c r="E617" s="191" t="s">
        <v>305</v>
      </c>
      <c r="F617" s="192" t="s">
        <v>304</v>
      </c>
      <c r="G617" s="191" t="s">
        <v>305</v>
      </c>
      <c r="H617" s="189" t="s">
        <v>720</v>
      </c>
      <c r="I617" s="193" t="s">
        <v>721</v>
      </c>
      <c r="J617" s="82" t="s">
        <v>305</v>
      </c>
      <c r="K617" s="83" t="s">
        <v>184</v>
      </c>
      <c r="O617" s="84"/>
      <c r="P617" s="84"/>
      <c r="Q617" s="84"/>
      <c r="R617" s="84"/>
      <c r="S617" s="84"/>
      <c r="T617" s="84"/>
      <c r="U617" s="84"/>
      <c r="V617" s="84"/>
      <c r="W617" s="84"/>
      <c r="X617" s="84"/>
      <c r="Y617" s="84"/>
      <c r="Z617" s="84"/>
    </row>
    <row r="618" spans="1:26" ht="15.75" customHeight="1" x14ac:dyDescent="0.25">
      <c r="A618" s="85" t="s">
        <v>1676</v>
      </c>
      <c r="B618" s="189" t="s">
        <v>348</v>
      </c>
      <c r="C618" s="9" t="s">
        <v>303</v>
      </c>
      <c r="D618" s="190">
        <v>7</v>
      </c>
      <c r="E618" s="191">
        <v>65</v>
      </c>
      <c r="F618" s="192">
        <v>6</v>
      </c>
      <c r="G618" s="191">
        <v>100</v>
      </c>
      <c r="H618" s="189" t="s">
        <v>644</v>
      </c>
      <c r="I618" s="193" t="s">
        <v>645</v>
      </c>
      <c r="J618" s="82">
        <v>10</v>
      </c>
      <c r="K618" s="83">
        <v>19</v>
      </c>
      <c r="O618" s="84"/>
      <c r="P618" s="84"/>
      <c r="Q618" s="84"/>
      <c r="R618" s="84"/>
      <c r="S618" s="84"/>
      <c r="T618" s="84"/>
      <c r="U618" s="84"/>
      <c r="V618" s="84"/>
      <c r="W618" s="84"/>
      <c r="X618" s="84"/>
      <c r="Y618" s="84"/>
      <c r="Z618" s="84"/>
    </row>
    <row r="619" spans="1:26" ht="15.75" customHeight="1" x14ac:dyDescent="0.25">
      <c r="A619" s="85" t="s">
        <v>1677</v>
      </c>
      <c r="B619" s="189" t="s">
        <v>348</v>
      </c>
      <c r="C619" s="9" t="s">
        <v>314</v>
      </c>
      <c r="D619" s="190">
        <v>8</v>
      </c>
      <c r="E619" s="191">
        <v>80</v>
      </c>
      <c r="F619" s="192">
        <v>6</v>
      </c>
      <c r="G619" s="191">
        <v>100</v>
      </c>
      <c r="H619" s="189" t="s">
        <v>1678</v>
      </c>
      <c r="I619" s="193" t="s">
        <v>1679</v>
      </c>
      <c r="J619" s="82" t="s">
        <v>305</v>
      </c>
      <c r="K619" s="83" t="s">
        <v>184</v>
      </c>
      <c r="O619" s="84"/>
      <c r="P619" s="84"/>
      <c r="Q619" s="84"/>
      <c r="R619" s="84"/>
      <c r="S619" s="84"/>
      <c r="T619" s="84"/>
      <c r="U619" s="84"/>
      <c r="V619" s="84"/>
      <c r="W619" s="84"/>
      <c r="X619" s="84"/>
      <c r="Y619" s="84"/>
      <c r="Z619" s="84"/>
    </row>
    <row r="620" spans="1:26" ht="15.75" customHeight="1" x14ac:dyDescent="0.25">
      <c r="A620" s="85" t="s">
        <v>1680</v>
      </c>
      <c r="B620" s="189" t="s">
        <v>335</v>
      </c>
      <c r="C620" s="9" t="s">
        <v>322</v>
      </c>
      <c r="D620" s="190" t="s">
        <v>304</v>
      </c>
      <c r="E620" s="191" t="s">
        <v>305</v>
      </c>
      <c r="F620" s="192" t="s">
        <v>304</v>
      </c>
      <c r="G620" s="191" t="s">
        <v>305</v>
      </c>
      <c r="H620" s="189" t="s">
        <v>1681</v>
      </c>
      <c r="I620" s="193" t="s">
        <v>1682</v>
      </c>
      <c r="J620" s="82" t="s">
        <v>305</v>
      </c>
      <c r="K620" s="83" t="s">
        <v>184</v>
      </c>
      <c r="O620" s="84"/>
      <c r="P620" s="84"/>
      <c r="Q620" s="84"/>
      <c r="R620" s="84"/>
      <c r="S620" s="84"/>
      <c r="T620" s="84"/>
      <c r="U620" s="84"/>
      <c r="V620" s="84"/>
      <c r="W620" s="84"/>
      <c r="X620" s="84"/>
      <c r="Y620" s="84"/>
      <c r="Z620" s="84"/>
    </row>
    <row r="621" spans="1:26" ht="15.75" customHeight="1" x14ac:dyDescent="0.25">
      <c r="A621" s="85" t="s">
        <v>248</v>
      </c>
      <c r="B621" s="189" t="s">
        <v>348</v>
      </c>
      <c r="C621" s="9" t="s">
        <v>303</v>
      </c>
      <c r="D621" s="190">
        <v>9</v>
      </c>
      <c r="E621" s="191">
        <v>90</v>
      </c>
      <c r="F621" s="192">
        <v>6</v>
      </c>
      <c r="G621" s="191">
        <v>100</v>
      </c>
      <c r="H621" s="189" t="s">
        <v>319</v>
      </c>
      <c r="I621" s="193" t="s">
        <v>320</v>
      </c>
      <c r="J621" s="82">
        <v>10</v>
      </c>
      <c r="K621" s="83">
        <v>19</v>
      </c>
      <c r="O621" s="84"/>
      <c r="P621" s="84"/>
      <c r="Q621" s="84"/>
      <c r="R621" s="84"/>
      <c r="S621" s="84"/>
      <c r="T621" s="84"/>
      <c r="U621" s="84"/>
      <c r="V621" s="84"/>
      <c r="W621" s="84"/>
      <c r="X621" s="84"/>
      <c r="Y621" s="84"/>
      <c r="Z621" s="84"/>
    </row>
    <row r="622" spans="1:26" ht="15.75" customHeight="1" x14ac:dyDescent="0.25">
      <c r="A622" s="85" t="s">
        <v>1683</v>
      </c>
      <c r="B622" s="189" t="s">
        <v>348</v>
      </c>
      <c r="C622" s="9" t="s">
        <v>314</v>
      </c>
      <c r="D622" s="190">
        <v>9</v>
      </c>
      <c r="E622" s="191">
        <v>85</v>
      </c>
      <c r="F622" s="192">
        <v>6</v>
      </c>
      <c r="G622" s="191">
        <v>100</v>
      </c>
      <c r="H622" s="189" t="s">
        <v>1684</v>
      </c>
      <c r="I622" s="193" t="s">
        <v>1684</v>
      </c>
      <c r="J622" s="82" t="s">
        <v>305</v>
      </c>
      <c r="K622" s="83" t="s">
        <v>184</v>
      </c>
      <c r="O622" s="84"/>
      <c r="P622" s="84"/>
      <c r="Q622" s="84"/>
      <c r="R622" s="84"/>
      <c r="S622" s="84"/>
      <c r="T622" s="84"/>
      <c r="U622" s="84"/>
      <c r="V622" s="84"/>
      <c r="W622" s="84"/>
      <c r="X622" s="84"/>
      <c r="Y622" s="84"/>
      <c r="Z622" s="84"/>
    </row>
    <row r="623" spans="1:26" ht="15.75" customHeight="1" x14ac:dyDescent="0.25">
      <c r="A623" s="85" t="s">
        <v>1685</v>
      </c>
      <c r="B623" s="189" t="s">
        <v>348</v>
      </c>
      <c r="C623" s="9" t="s">
        <v>303</v>
      </c>
      <c r="D623" s="190">
        <v>8</v>
      </c>
      <c r="E623" s="191">
        <v>75</v>
      </c>
      <c r="F623" s="192">
        <v>6</v>
      </c>
      <c r="G623" s="191">
        <v>100</v>
      </c>
      <c r="H623" s="189" t="s">
        <v>1686</v>
      </c>
      <c r="I623" s="193" t="s">
        <v>1687</v>
      </c>
      <c r="J623" s="82" t="s">
        <v>305</v>
      </c>
      <c r="K623" s="83" t="s">
        <v>184</v>
      </c>
      <c r="O623" s="84"/>
      <c r="P623" s="84"/>
      <c r="Q623" s="84"/>
      <c r="R623" s="84"/>
      <c r="S623" s="84"/>
      <c r="T623" s="84"/>
      <c r="U623" s="84"/>
      <c r="V623" s="84"/>
      <c r="W623" s="84"/>
      <c r="X623" s="84"/>
      <c r="Y623" s="84"/>
      <c r="Z623" s="84"/>
    </row>
    <row r="624" spans="1:26" ht="15.75" customHeight="1" x14ac:dyDescent="0.25">
      <c r="A624" s="85" t="s">
        <v>1688</v>
      </c>
      <c r="B624" s="189" t="s">
        <v>348</v>
      </c>
      <c r="C624" s="9" t="s">
        <v>322</v>
      </c>
      <c r="D624" s="190" t="s">
        <v>304</v>
      </c>
      <c r="E624" s="191" t="s">
        <v>305</v>
      </c>
      <c r="F624" s="192" t="s">
        <v>304</v>
      </c>
      <c r="G624" s="191" t="s">
        <v>305</v>
      </c>
      <c r="H624" s="189" t="s">
        <v>1689</v>
      </c>
      <c r="I624" s="193" t="s">
        <v>1690</v>
      </c>
      <c r="J624" s="82" t="s">
        <v>305</v>
      </c>
      <c r="K624" s="83" t="s">
        <v>184</v>
      </c>
      <c r="O624" s="84"/>
      <c r="P624" s="84"/>
      <c r="Q624" s="84"/>
      <c r="R624" s="84"/>
      <c r="S624" s="84"/>
      <c r="T624" s="84"/>
      <c r="U624" s="84"/>
      <c r="V624" s="84"/>
      <c r="W624" s="84"/>
      <c r="X624" s="84"/>
      <c r="Y624" s="84"/>
      <c r="Z624" s="84"/>
    </row>
    <row r="625" spans="1:26" ht="15.75" customHeight="1" x14ac:dyDescent="0.25">
      <c r="A625" s="85" t="s">
        <v>1691</v>
      </c>
      <c r="B625" s="189" t="s">
        <v>348</v>
      </c>
      <c r="C625" s="9" t="s">
        <v>303</v>
      </c>
      <c r="D625" s="190">
        <v>14</v>
      </c>
      <c r="E625" s="191">
        <v>140</v>
      </c>
      <c r="F625" s="192">
        <v>8</v>
      </c>
      <c r="G625" s="191">
        <v>90</v>
      </c>
      <c r="H625" s="189" t="s">
        <v>759</v>
      </c>
      <c r="I625" s="193" t="s">
        <v>760</v>
      </c>
      <c r="J625" s="82">
        <v>100</v>
      </c>
      <c r="K625" s="83">
        <v>1</v>
      </c>
      <c r="O625" s="84"/>
      <c r="P625" s="84"/>
      <c r="Q625" s="84"/>
      <c r="R625" s="84"/>
      <c r="S625" s="84"/>
      <c r="T625" s="84"/>
      <c r="U625" s="84"/>
      <c r="V625" s="84"/>
      <c r="W625" s="84"/>
      <c r="X625" s="84"/>
      <c r="Y625" s="84"/>
      <c r="Z625" s="84"/>
    </row>
    <row r="626" spans="1:26" ht="15.75" customHeight="1" x14ac:dyDescent="0.25">
      <c r="A626" s="85" t="s">
        <v>1692</v>
      </c>
      <c r="B626" s="189" t="s">
        <v>348</v>
      </c>
      <c r="C626" s="9" t="s">
        <v>314</v>
      </c>
      <c r="D626" s="190">
        <v>7</v>
      </c>
      <c r="E626" s="191">
        <v>70</v>
      </c>
      <c r="F626" s="192">
        <v>6</v>
      </c>
      <c r="G626" s="191">
        <v>100</v>
      </c>
      <c r="H626" s="189" t="s">
        <v>342</v>
      </c>
      <c r="I626" s="193" t="s">
        <v>343</v>
      </c>
      <c r="J626" s="82" t="s">
        <v>305</v>
      </c>
      <c r="K626" s="83" t="s">
        <v>184</v>
      </c>
      <c r="O626" s="84"/>
      <c r="P626" s="84"/>
      <c r="Q626" s="84"/>
      <c r="R626" s="84"/>
      <c r="S626" s="84"/>
      <c r="T626" s="84"/>
      <c r="U626" s="84"/>
      <c r="V626" s="84"/>
      <c r="W626" s="84"/>
      <c r="X626" s="84"/>
      <c r="Y626" s="84"/>
      <c r="Z626" s="84"/>
    </row>
    <row r="627" spans="1:26" ht="15.75" customHeight="1" x14ac:dyDescent="0.25">
      <c r="A627" s="85" t="s">
        <v>1693</v>
      </c>
      <c r="B627" s="189" t="s">
        <v>348</v>
      </c>
      <c r="C627" s="9" t="s">
        <v>322</v>
      </c>
      <c r="D627" s="190" t="s">
        <v>304</v>
      </c>
      <c r="E627" s="191" t="s">
        <v>305</v>
      </c>
      <c r="F627" s="192">
        <v>6</v>
      </c>
      <c r="G627" s="191">
        <v>100</v>
      </c>
      <c r="H627" s="189" t="s">
        <v>1694</v>
      </c>
      <c r="I627" s="193" t="s">
        <v>1695</v>
      </c>
      <c r="J627" s="82" t="s">
        <v>305</v>
      </c>
      <c r="K627" s="83" t="s">
        <v>184</v>
      </c>
      <c r="O627" s="84"/>
      <c r="P627" s="84"/>
      <c r="Q627" s="84"/>
      <c r="R627" s="84"/>
      <c r="S627" s="84"/>
      <c r="T627" s="84"/>
      <c r="U627" s="84"/>
      <c r="V627" s="84"/>
      <c r="W627" s="84"/>
      <c r="X627" s="84"/>
      <c r="Y627" s="84"/>
      <c r="Z627" s="84"/>
    </row>
    <row r="628" spans="1:26" ht="15.75" customHeight="1" x14ac:dyDescent="0.25">
      <c r="A628" s="85" t="s">
        <v>1696</v>
      </c>
      <c r="B628" s="189" t="s">
        <v>348</v>
      </c>
      <c r="C628" s="9" t="s">
        <v>314</v>
      </c>
      <c r="D628" s="190">
        <v>7</v>
      </c>
      <c r="E628" s="191">
        <v>70</v>
      </c>
      <c r="F628" s="192">
        <v>8</v>
      </c>
      <c r="G628" s="191">
        <v>90</v>
      </c>
      <c r="H628" s="189" t="s">
        <v>666</v>
      </c>
      <c r="I628" s="193" t="s">
        <v>1697</v>
      </c>
      <c r="J628" s="82" t="s">
        <v>305</v>
      </c>
      <c r="K628" s="83" t="s">
        <v>184</v>
      </c>
      <c r="O628" s="84"/>
      <c r="P628" s="84"/>
      <c r="Q628" s="84"/>
      <c r="R628" s="84"/>
      <c r="S628" s="84"/>
      <c r="T628" s="84"/>
      <c r="U628" s="84"/>
      <c r="V628" s="84"/>
      <c r="W628" s="84"/>
      <c r="X628" s="84"/>
      <c r="Y628" s="84"/>
      <c r="Z628" s="84"/>
    </row>
    <row r="629" spans="1:26" ht="15.75" customHeight="1" x14ac:dyDescent="0.25">
      <c r="A629" s="85" t="s">
        <v>1698</v>
      </c>
      <c r="B629" s="189" t="s">
        <v>348</v>
      </c>
      <c r="C629" s="9" t="s">
        <v>303</v>
      </c>
      <c r="D629" s="190">
        <v>8</v>
      </c>
      <c r="E629" s="191">
        <v>80</v>
      </c>
      <c r="F629" s="192">
        <v>6</v>
      </c>
      <c r="G629" s="191">
        <v>100</v>
      </c>
      <c r="H629" s="189" t="s">
        <v>1699</v>
      </c>
      <c r="I629" s="193" t="s">
        <v>1700</v>
      </c>
      <c r="J629" s="82" t="s">
        <v>305</v>
      </c>
      <c r="K629" s="83" t="s">
        <v>184</v>
      </c>
      <c r="O629" s="84"/>
      <c r="P629" s="84"/>
      <c r="Q629" s="84"/>
      <c r="R629" s="84"/>
      <c r="S629" s="84"/>
      <c r="T629" s="84"/>
      <c r="U629" s="84"/>
      <c r="V629" s="84"/>
      <c r="W629" s="84"/>
      <c r="X629" s="84"/>
      <c r="Y629" s="84"/>
      <c r="Z629" s="84"/>
    </row>
    <row r="630" spans="1:26" ht="15.75" customHeight="1" x14ac:dyDescent="0.25">
      <c r="A630" s="85" t="s">
        <v>1701</v>
      </c>
      <c r="B630" s="189" t="s">
        <v>348</v>
      </c>
      <c r="C630" s="9" t="s">
        <v>303</v>
      </c>
      <c r="D630" s="190">
        <v>10</v>
      </c>
      <c r="E630" s="191">
        <v>100</v>
      </c>
      <c r="F630" s="192">
        <v>6</v>
      </c>
      <c r="G630" s="191">
        <v>100</v>
      </c>
      <c r="H630" s="189" t="s">
        <v>1699</v>
      </c>
      <c r="I630" s="193" t="s">
        <v>1700</v>
      </c>
      <c r="J630" s="82" t="s">
        <v>305</v>
      </c>
      <c r="K630" s="83" t="s">
        <v>184</v>
      </c>
      <c r="O630" s="84"/>
      <c r="P630" s="84"/>
      <c r="Q630" s="84"/>
      <c r="R630" s="84"/>
      <c r="S630" s="84"/>
      <c r="T630" s="84"/>
      <c r="U630" s="84"/>
      <c r="V630" s="84"/>
      <c r="W630" s="84"/>
      <c r="X630" s="84"/>
      <c r="Y630" s="84"/>
      <c r="Z630" s="84"/>
    </row>
    <row r="631" spans="1:26" ht="15.75" customHeight="1" x14ac:dyDescent="0.25">
      <c r="A631" s="85" t="s">
        <v>1702</v>
      </c>
      <c r="B631" s="189" t="s">
        <v>348</v>
      </c>
      <c r="C631" s="9" t="s">
        <v>303</v>
      </c>
      <c r="D631" s="190" t="s">
        <v>304</v>
      </c>
      <c r="E631" s="191" t="s">
        <v>305</v>
      </c>
      <c r="F631" s="192">
        <v>6</v>
      </c>
      <c r="G631" s="191">
        <v>100</v>
      </c>
      <c r="H631" s="189" t="s">
        <v>1703</v>
      </c>
      <c r="I631" s="193" t="s">
        <v>1704</v>
      </c>
      <c r="J631" s="82" t="s">
        <v>305</v>
      </c>
      <c r="K631" s="83" t="s">
        <v>184</v>
      </c>
      <c r="O631" s="84"/>
      <c r="P631" s="84"/>
      <c r="Q631" s="84"/>
      <c r="R631" s="84"/>
      <c r="S631" s="84"/>
      <c r="T631" s="84"/>
      <c r="U631" s="84"/>
      <c r="V631" s="84"/>
      <c r="W631" s="84"/>
      <c r="X631" s="84"/>
      <c r="Y631" s="84"/>
      <c r="Z631" s="84"/>
    </row>
    <row r="632" spans="1:26" ht="15.75" customHeight="1" x14ac:dyDescent="0.25">
      <c r="A632" s="85" t="s">
        <v>1705</v>
      </c>
      <c r="B632" s="189" t="s">
        <v>335</v>
      </c>
      <c r="C632" s="9" t="s">
        <v>314</v>
      </c>
      <c r="D632" s="190">
        <v>21</v>
      </c>
      <c r="E632" s="191">
        <v>210</v>
      </c>
      <c r="F632" s="192" t="s">
        <v>304</v>
      </c>
      <c r="G632" s="191" t="s">
        <v>305</v>
      </c>
      <c r="H632" s="189" t="s">
        <v>1706</v>
      </c>
      <c r="I632" s="193" t="s">
        <v>1706</v>
      </c>
      <c r="J632" s="82" t="s">
        <v>305</v>
      </c>
      <c r="K632" s="83" t="s">
        <v>184</v>
      </c>
      <c r="O632" s="84"/>
      <c r="P632" s="84"/>
      <c r="Q632" s="84"/>
      <c r="R632" s="84"/>
      <c r="S632" s="84"/>
      <c r="T632" s="84"/>
      <c r="U632" s="84"/>
      <c r="V632" s="84"/>
      <c r="W632" s="84"/>
      <c r="X632" s="84"/>
      <c r="Y632" s="84"/>
      <c r="Z632" s="84"/>
    </row>
    <row r="633" spans="1:26" ht="15.75" customHeight="1" x14ac:dyDescent="0.25">
      <c r="A633" s="85" t="s">
        <v>1707</v>
      </c>
      <c r="B633" s="189" t="s">
        <v>403</v>
      </c>
      <c r="C633" s="9" t="s">
        <v>314</v>
      </c>
      <c r="D633" s="190" t="s">
        <v>304</v>
      </c>
      <c r="E633" s="191" t="s">
        <v>305</v>
      </c>
      <c r="F633" s="192">
        <v>6</v>
      </c>
      <c r="G633" s="191">
        <v>100</v>
      </c>
      <c r="H633" s="189" t="s">
        <v>1708</v>
      </c>
      <c r="I633" s="193" t="s">
        <v>1709</v>
      </c>
      <c r="J633" s="82" t="s">
        <v>305</v>
      </c>
      <c r="K633" s="83" t="s">
        <v>184</v>
      </c>
      <c r="O633" s="84"/>
      <c r="P633" s="84"/>
      <c r="Q633" s="84"/>
      <c r="R633" s="84"/>
      <c r="S633" s="84"/>
      <c r="T633" s="84"/>
      <c r="U633" s="84"/>
      <c r="V633" s="84"/>
      <c r="W633" s="84"/>
      <c r="X633" s="84"/>
      <c r="Y633" s="84"/>
      <c r="Z633" s="84"/>
    </row>
    <row r="634" spans="1:26" ht="15.75" customHeight="1" x14ac:dyDescent="0.25">
      <c r="A634" s="85" t="s">
        <v>1710</v>
      </c>
      <c r="B634" s="189" t="s">
        <v>318</v>
      </c>
      <c r="C634" s="9" t="s">
        <v>322</v>
      </c>
      <c r="D634" s="190" t="s">
        <v>304</v>
      </c>
      <c r="E634" s="191" t="s">
        <v>305</v>
      </c>
      <c r="F634" s="192" t="s">
        <v>304</v>
      </c>
      <c r="G634" s="191" t="s">
        <v>305</v>
      </c>
      <c r="H634" s="189" t="s">
        <v>1711</v>
      </c>
      <c r="I634" s="193" t="s">
        <v>1712</v>
      </c>
      <c r="J634" s="82" t="s">
        <v>305</v>
      </c>
      <c r="K634" s="83" t="s">
        <v>184</v>
      </c>
      <c r="O634" s="84"/>
      <c r="P634" s="84"/>
      <c r="Q634" s="84"/>
      <c r="R634" s="84"/>
      <c r="S634" s="84"/>
      <c r="T634" s="84"/>
      <c r="U634" s="84"/>
      <c r="V634" s="84"/>
      <c r="W634" s="84"/>
      <c r="X634" s="84"/>
      <c r="Y634" s="84"/>
      <c r="Z634" s="84"/>
    </row>
    <row r="635" spans="1:26" ht="15.75" customHeight="1" x14ac:dyDescent="0.25">
      <c r="A635" s="85" t="s">
        <v>1713</v>
      </c>
      <c r="B635" s="189" t="s">
        <v>403</v>
      </c>
      <c r="C635" s="9" t="s">
        <v>314</v>
      </c>
      <c r="D635" s="190">
        <v>4</v>
      </c>
      <c r="E635" s="191">
        <v>40</v>
      </c>
      <c r="F635" s="192">
        <v>6</v>
      </c>
      <c r="G635" s="191">
        <v>100</v>
      </c>
      <c r="H635" s="189" t="s">
        <v>1714</v>
      </c>
      <c r="I635" s="193" t="s">
        <v>1715</v>
      </c>
      <c r="J635" s="82" t="s">
        <v>305</v>
      </c>
      <c r="K635" s="83" t="s">
        <v>184</v>
      </c>
      <c r="O635" s="84"/>
      <c r="P635" s="84"/>
      <c r="Q635" s="84"/>
      <c r="R635" s="84"/>
      <c r="S635" s="84"/>
      <c r="T635" s="84"/>
      <c r="U635" s="84"/>
      <c r="V635" s="84"/>
      <c r="W635" s="84"/>
      <c r="X635" s="84"/>
      <c r="Y635" s="84"/>
      <c r="Z635" s="84"/>
    </row>
    <row r="636" spans="1:26" ht="15.75" customHeight="1" x14ac:dyDescent="0.25">
      <c r="A636" s="85" t="s">
        <v>1716</v>
      </c>
      <c r="B636" s="189" t="s">
        <v>390</v>
      </c>
      <c r="C636" s="9" t="s">
        <v>314</v>
      </c>
      <c r="D636" s="190">
        <v>12</v>
      </c>
      <c r="E636" s="191">
        <v>120</v>
      </c>
      <c r="F636" s="192">
        <v>8</v>
      </c>
      <c r="G636" s="191">
        <v>90</v>
      </c>
      <c r="H636" s="189" t="s">
        <v>502</v>
      </c>
      <c r="I636" s="193" t="s">
        <v>503</v>
      </c>
      <c r="J636" s="82">
        <v>10</v>
      </c>
      <c r="K636" s="83">
        <v>19</v>
      </c>
      <c r="O636" s="84"/>
      <c r="P636" s="84"/>
      <c r="Q636" s="84"/>
      <c r="R636" s="84"/>
      <c r="S636" s="84"/>
      <c r="T636" s="84"/>
      <c r="U636" s="84"/>
      <c r="V636" s="84"/>
      <c r="W636" s="84"/>
      <c r="X636" s="84"/>
      <c r="Y636" s="84"/>
      <c r="Z636" s="84"/>
    </row>
    <row r="637" spans="1:26" ht="15.75" customHeight="1" x14ac:dyDescent="0.25">
      <c r="A637" s="85" t="s">
        <v>1717</v>
      </c>
      <c r="B637" s="189" t="s">
        <v>403</v>
      </c>
      <c r="C637" s="9" t="s">
        <v>322</v>
      </c>
      <c r="D637" s="190" t="s">
        <v>304</v>
      </c>
      <c r="E637" s="191" t="s">
        <v>305</v>
      </c>
      <c r="F637" s="192">
        <v>6</v>
      </c>
      <c r="G637" s="191">
        <v>100</v>
      </c>
      <c r="H637" s="189" t="s">
        <v>1718</v>
      </c>
      <c r="I637" s="193" t="s">
        <v>1719</v>
      </c>
      <c r="J637" s="82" t="s">
        <v>305</v>
      </c>
      <c r="K637" s="83" t="s">
        <v>184</v>
      </c>
      <c r="O637" s="84"/>
      <c r="P637" s="84"/>
      <c r="Q637" s="84"/>
      <c r="R637" s="84"/>
      <c r="S637" s="84"/>
      <c r="T637" s="84"/>
      <c r="U637" s="84"/>
      <c r="V637" s="84"/>
      <c r="W637" s="84"/>
      <c r="X637" s="84"/>
      <c r="Y637" s="84"/>
      <c r="Z637" s="84"/>
    </row>
    <row r="638" spans="1:26" ht="15.75" customHeight="1" x14ac:dyDescent="0.25">
      <c r="A638" s="85" t="s">
        <v>1720</v>
      </c>
      <c r="B638" s="189" t="s">
        <v>335</v>
      </c>
      <c r="C638" s="9" t="s">
        <v>314</v>
      </c>
      <c r="D638" s="190">
        <v>4</v>
      </c>
      <c r="E638" s="191">
        <v>40</v>
      </c>
      <c r="F638" s="192">
        <v>6</v>
      </c>
      <c r="G638" s="191">
        <v>100</v>
      </c>
      <c r="H638" s="189" t="s">
        <v>315</v>
      </c>
      <c r="I638" s="193" t="s">
        <v>316</v>
      </c>
      <c r="J638" s="82" t="s">
        <v>305</v>
      </c>
      <c r="K638" s="83" t="s">
        <v>184</v>
      </c>
      <c r="O638" s="84"/>
      <c r="P638" s="84"/>
      <c r="Q638" s="84"/>
      <c r="R638" s="84"/>
      <c r="S638" s="84"/>
      <c r="T638" s="84"/>
      <c r="U638" s="84"/>
      <c r="V638" s="84"/>
      <c r="W638" s="84"/>
      <c r="X638" s="84"/>
      <c r="Y638" s="84"/>
      <c r="Z638" s="84"/>
    </row>
    <row r="639" spans="1:26" ht="15.75" customHeight="1" x14ac:dyDescent="0.25">
      <c r="A639" s="85" t="s">
        <v>1721</v>
      </c>
      <c r="B639" s="189" t="s">
        <v>356</v>
      </c>
      <c r="C639" s="9" t="s">
        <v>322</v>
      </c>
      <c r="D639" s="190" t="s">
        <v>304</v>
      </c>
      <c r="E639" s="191" t="s">
        <v>305</v>
      </c>
      <c r="F639" s="192" t="s">
        <v>304</v>
      </c>
      <c r="G639" s="191" t="s">
        <v>305</v>
      </c>
      <c r="H639" s="189" t="s">
        <v>1722</v>
      </c>
      <c r="I639" s="193" t="s">
        <v>1723</v>
      </c>
      <c r="J639" s="82" t="s">
        <v>305</v>
      </c>
      <c r="K639" s="83" t="s">
        <v>184</v>
      </c>
      <c r="O639" s="84"/>
      <c r="P639" s="84"/>
      <c r="Q639" s="84"/>
      <c r="R639" s="84"/>
      <c r="S639" s="84"/>
      <c r="T639" s="84"/>
      <c r="U639" s="84"/>
      <c r="V639" s="84"/>
      <c r="W639" s="84"/>
      <c r="X639" s="84"/>
      <c r="Y639" s="84"/>
      <c r="Z639" s="84"/>
    </row>
    <row r="640" spans="1:26" ht="15.75" customHeight="1" x14ac:dyDescent="0.25">
      <c r="A640" s="85" t="s">
        <v>1724</v>
      </c>
      <c r="B640" s="189" t="s">
        <v>411</v>
      </c>
      <c r="C640" s="9" t="s">
        <v>322</v>
      </c>
      <c r="D640" s="190" t="s">
        <v>304</v>
      </c>
      <c r="E640" s="191" t="s">
        <v>305</v>
      </c>
      <c r="F640" s="192" t="s">
        <v>304</v>
      </c>
      <c r="G640" s="191" t="s">
        <v>305</v>
      </c>
      <c r="H640" s="189" t="s">
        <v>1725</v>
      </c>
      <c r="I640" s="193" t="s">
        <v>1726</v>
      </c>
      <c r="J640" s="82" t="s">
        <v>305</v>
      </c>
      <c r="K640" s="83" t="s">
        <v>184</v>
      </c>
      <c r="O640" s="84"/>
      <c r="P640" s="84"/>
      <c r="Q640" s="84"/>
      <c r="R640" s="84"/>
      <c r="S640" s="84"/>
      <c r="T640" s="84"/>
      <c r="U640" s="84"/>
      <c r="V640" s="84"/>
      <c r="W640" s="84"/>
      <c r="X640" s="84"/>
      <c r="Y640" s="84"/>
      <c r="Z640" s="84"/>
    </row>
    <row r="641" spans="1:26" ht="15.75" customHeight="1" x14ac:dyDescent="0.25">
      <c r="A641" s="85" t="s">
        <v>1727</v>
      </c>
      <c r="B641" s="189" t="s">
        <v>335</v>
      </c>
      <c r="C641" s="9" t="s">
        <v>314</v>
      </c>
      <c r="D641" s="190">
        <v>2</v>
      </c>
      <c r="E641" s="191">
        <v>20</v>
      </c>
      <c r="F641" s="192">
        <v>6</v>
      </c>
      <c r="G641" s="191">
        <v>100</v>
      </c>
      <c r="H641" s="189" t="s">
        <v>1728</v>
      </c>
      <c r="I641" s="193" t="s">
        <v>1729</v>
      </c>
      <c r="J641" s="82" t="s">
        <v>305</v>
      </c>
      <c r="K641" s="83" t="s">
        <v>184</v>
      </c>
      <c r="O641" s="84"/>
      <c r="P641" s="84"/>
      <c r="Q641" s="84"/>
      <c r="R641" s="84"/>
      <c r="S641" s="84"/>
      <c r="T641" s="84"/>
      <c r="U641" s="84"/>
      <c r="V641" s="84"/>
      <c r="W641" s="84"/>
      <c r="X641" s="84"/>
      <c r="Y641" s="84"/>
      <c r="Z641" s="84"/>
    </row>
    <row r="642" spans="1:26" ht="15.75" customHeight="1" x14ac:dyDescent="0.25">
      <c r="A642" s="85" t="s">
        <v>1730</v>
      </c>
      <c r="B642" s="189" t="s">
        <v>407</v>
      </c>
      <c r="C642" s="9" t="s">
        <v>314</v>
      </c>
      <c r="D642" s="190">
        <v>5</v>
      </c>
      <c r="E642" s="191">
        <v>50</v>
      </c>
      <c r="F642" s="192">
        <v>6</v>
      </c>
      <c r="G642" s="191">
        <v>100</v>
      </c>
      <c r="H642" s="189" t="s">
        <v>1731</v>
      </c>
      <c r="I642" s="193" t="s">
        <v>1732</v>
      </c>
      <c r="J642" s="82" t="s">
        <v>305</v>
      </c>
      <c r="K642" s="83" t="s">
        <v>184</v>
      </c>
      <c r="O642" s="84"/>
      <c r="P642" s="84"/>
      <c r="Q642" s="84"/>
      <c r="R642" s="84"/>
      <c r="S642" s="84"/>
      <c r="T642" s="84"/>
      <c r="U642" s="84"/>
      <c r="V642" s="84"/>
      <c r="W642" s="84"/>
      <c r="X642" s="84"/>
      <c r="Y642" s="84"/>
      <c r="Z642" s="84"/>
    </row>
    <row r="643" spans="1:26" ht="15.75" customHeight="1" x14ac:dyDescent="0.25">
      <c r="A643" s="85" t="s">
        <v>1733</v>
      </c>
      <c r="B643" s="189" t="s">
        <v>411</v>
      </c>
      <c r="C643" s="9" t="s">
        <v>322</v>
      </c>
      <c r="D643" s="190" t="s">
        <v>304</v>
      </c>
      <c r="E643" s="191" t="s">
        <v>305</v>
      </c>
      <c r="F643" s="192" t="s">
        <v>304</v>
      </c>
      <c r="G643" s="191" t="s">
        <v>305</v>
      </c>
      <c r="H643" s="189" t="s">
        <v>1734</v>
      </c>
      <c r="I643" s="193" t="s">
        <v>1735</v>
      </c>
      <c r="J643" s="82" t="s">
        <v>305</v>
      </c>
      <c r="K643" s="83" t="s">
        <v>184</v>
      </c>
      <c r="O643" s="84"/>
      <c r="P643" s="84"/>
      <c r="Q643" s="84"/>
      <c r="R643" s="84"/>
      <c r="S643" s="84"/>
      <c r="T643" s="84"/>
      <c r="U643" s="84"/>
      <c r="V643" s="84"/>
      <c r="W643" s="84"/>
      <c r="X643" s="84"/>
      <c r="Y643" s="84"/>
      <c r="Z643" s="84"/>
    </row>
    <row r="644" spans="1:26" ht="15.75" customHeight="1" x14ac:dyDescent="0.25">
      <c r="A644" s="85" t="s">
        <v>1736</v>
      </c>
      <c r="B644" s="189" t="s">
        <v>335</v>
      </c>
      <c r="C644" s="9" t="s">
        <v>314</v>
      </c>
      <c r="D644" s="190">
        <v>9</v>
      </c>
      <c r="E644" s="191">
        <v>90</v>
      </c>
      <c r="F644" s="192">
        <v>6</v>
      </c>
      <c r="G644" s="191">
        <v>100</v>
      </c>
      <c r="H644" s="189" t="s">
        <v>1737</v>
      </c>
      <c r="I644" s="193" t="s">
        <v>1738</v>
      </c>
      <c r="J644" s="82" t="s">
        <v>305</v>
      </c>
      <c r="K644" s="83" t="s">
        <v>184</v>
      </c>
      <c r="O644" s="84"/>
      <c r="P644" s="84"/>
      <c r="Q644" s="84"/>
      <c r="R644" s="84"/>
      <c r="S644" s="84"/>
      <c r="T644" s="84"/>
      <c r="U644" s="84"/>
      <c r="V644" s="84"/>
      <c r="W644" s="84"/>
      <c r="X644" s="84"/>
      <c r="Y644" s="84"/>
      <c r="Z644" s="84"/>
    </row>
    <row r="645" spans="1:26" ht="15.75" customHeight="1" x14ac:dyDescent="0.25">
      <c r="A645" s="85" t="s">
        <v>1739</v>
      </c>
      <c r="B645" s="189" t="s">
        <v>390</v>
      </c>
      <c r="C645" s="9" t="s">
        <v>314</v>
      </c>
      <c r="D645" s="190">
        <v>12</v>
      </c>
      <c r="E645" s="191">
        <v>120</v>
      </c>
      <c r="F645" s="192">
        <v>6</v>
      </c>
      <c r="G645" s="191">
        <v>100</v>
      </c>
      <c r="H645" s="189" t="s">
        <v>1740</v>
      </c>
      <c r="I645" s="193" t="s">
        <v>1741</v>
      </c>
      <c r="J645" s="82" t="s">
        <v>305</v>
      </c>
      <c r="K645" s="83" t="s">
        <v>184</v>
      </c>
      <c r="O645" s="84"/>
      <c r="P645" s="84"/>
      <c r="Q645" s="84"/>
      <c r="R645" s="84"/>
      <c r="S645" s="84"/>
      <c r="T645" s="84"/>
      <c r="U645" s="84"/>
      <c r="V645" s="84"/>
      <c r="W645" s="84"/>
      <c r="X645" s="84"/>
      <c r="Y645" s="84"/>
      <c r="Z645" s="84"/>
    </row>
    <row r="646" spans="1:26" ht="15.75" customHeight="1" x14ac:dyDescent="0.25">
      <c r="A646" s="85" t="s">
        <v>1742</v>
      </c>
      <c r="B646" s="189" t="s">
        <v>377</v>
      </c>
      <c r="C646" s="9" t="s">
        <v>322</v>
      </c>
      <c r="D646" s="190" t="s">
        <v>304</v>
      </c>
      <c r="E646" s="191" t="s">
        <v>305</v>
      </c>
      <c r="F646" s="192" t="s">
        <v>304</v>
      </c>
      <c r="G646" s="191" t="s">
        <v>305</v>
      </c>
      <c r="H646" s="189" t="s">
        <v>1743</v>
      </c>
      <c r="I646" s="193" t="s">
        <v>1744</v>
      </c>
      <c r="J646" s="82" t="s">
        <v>305</v>
      </c>
      <c r="K646" s="83" t="s">
        <v>184</v>
      </c>
      <c r="O646" s="84"/>
      <c r="P646" s="84"/>
      <c r="Q646" s="84"/>
      <c r="R646" s="84"/>
      <c r="S646" s="84"/>
      <c r="T646" s="84"/>
      <c r="U646" s="84"/>
      <c r="V646" s="84"/>
      <c r="W646" s="84"/>
      <c r="X646" s="84"/>
      <c r="Y646" s="84"/>
      <c r="Z646" s="84"/>
    </row>
    <row r="647" spans="1:26" ht="15.75" customHeight="1" x14ac:dyDescent="0.25">
      <c r="A647" s="85" t="s">
        <v>1745</v>
      </c>
      <c r="B647" s="189" t="s">
        <v>335</v>
      </c>
      <c r="C647" s="9" t="s">
        <v>314</v>
      </c>
      <c r="D647" s="190">
        <v>5</v>
      </c>
      <c r="E647" s="191">
        <v>50</v>
      </c>
      <c r="F647" s="192">
        <v>6</v>
      </c>
      <c r="G647" s="191">
        <v>100</v>
      </c>
      <c r="H647" s="189" t="s">
        <v>1746</v>
      </c>
      <c r="I647" s="193" t="s">
        <v>1747</v>
      </c>
      <c r="J647" s="82">
        <v>100</v>
      </c>
      <c r="K647" s="83">
        <v>1</v>
      </c>
      <c r="O647" s="84"/>
      <c r="P647" s="84"/>
      <c r="Q647" s="84"/>
      <c r="R647" s="84"/>
      <c r="S647" s="84"/>
      <c r="T647" s="84"/>
      <c r="U647" s="84"/>
      <c r="V647" s="84"/>
      <c r="W647" s="84"/>
      <c r="X647" s="84"/>
      <c r="Y647" s="84"/>
      <c r="Z647" s="84"/>
    </row>
    <row r="648" spans="1:26" ht="15.75" customHeight="1" x14ac:dyDescent="0.25">
      <c r="A648" s="85" t="s">
        <v>1748</v>
      </c>
      <c r="B648" s="189" t="s">
        <v>309</v>
      </c>
      <c r="C648" s="9" t="s">
        <v>314</v>
      </c>
      <c r="D648" s="190">
        <v>6</v>
      </c>
      <c r="E648" s="191">
        <v>55</v>
      </c>
      <c r="F648" s="192">
        <v>7</v>
      </c>
      <c r="G648" s="191">
        <v>95</v>
      </c>
      <c r="H648" s="189" t="s">
        <v>342</v>
      </c>
      <c r="I648" s="193" t="s">
        <v>343</v>
      </c>
      <c r="J648" s="82" t="s">
        <v>305</v>
      </c>
      <c r="K648" s="83" t="s">
        <v>184</v>
      </c>
      <c r="O648" s="84"/>
      <c r="P648" s="84"/>
      <c r="Q648" s="84"/>
      <c r="R648" s="84"/>
      <c r="S648" s="84"/>
      <c r="T648" s="84"/>
      <c r="U648" s="84"/>
      <c r="V648" s="84"/>
      <c r="W648" s="84"/>
      <c r="X648" s="84"/>
      <c r="Y648" s="84"/>
      <c r="Z648" s="84"/>
    </row>
    <row r="649" spans="1:26" ht="15.75" customHeight="1" x14ac:dyDescent="0.25">
      <c r="A649" s="85" t="s">
        <v>1749</v>
      </c>
      <c r="B649" s="189" t="s">
        <v>377</v>
      </c>
      <c r="C649" s="9" t="s">
        <v>314</v>
      </c>
      <c r="D649" s="190">
        <v>8</v>
      </c>
      <c r="E649" s="191">
        <v>75</v>
      </c>
      <c r="F649" s="192">
        <v>7</v>
      </c>
      <c r="G649" s="191">
        <v>95</v>
      </c>
      <c r="H649" s="189" t="s">
        <v>689</v>
      </c>
      <c r="I649" s="193" t="s">
        <v>690</v>
      </c>
      <c r="J649" s="82">
        <v>50</v>
      </c>
      <c r="K649" s="83">
        <v>11</v>
      </c>
      <c r="O649" s="84"/>
      <c r="P649" s="84"/>
      <c r="Q649" s="84"/>
      <c r="R649" s="84"/>
      <c r="S649" s="84"/>
      <c r="T649" s="84"/>
      <c r="U649" s="84"/>
      <c r="V649" s="84"/>
      <c r="W649" s="84"/>
      <c r="X649" s="84"/>
      <c r="Y649" s="84"/>
      <c r="Z649" s="84"/>
    </row>
    <row r="650" spans="1:26" ht="15.75" customHeight="1" x14ac:dyDescent="0.25">
      <c r="A650" s="85" t="s">
        <v>1750</v>
      </c>
      <c r="B650" s="189" t="s">
        <v>335</v>
      </c>
      <c r="C650" s="9" t="s">
        <v>303</v>
      </c>
      <c r="D650" s="190">
        <v>8</v>
      </c>
      <c r="E650" s="191">
        <v>80</v>
      </c>
      <c r="F650" s="192">
        <v>6</v>
      </c>
      <c r="G650" s="191">
        <v>100</v>
      </c>
      <c r="H650" s="189" t="s">
        <v>1751</v>
      </c>
      <c r="I650" s="193" t="s">
        <v>1752</v>
      </c>
      <c r="J650" s="82" t="s">
        <v>305</v>
      </c>
      <c r="K650" s="83" t="s">
        <v>184</v>
      </c>
      <c r="O650" s="84"/>
      <c r="P650" s="84"/>
      <c r="Q650" s="84"/>
      <c r="R650" s="84"/>
      <c r="S650" s="84"/>
      <c r="T650" s="84"/>
      <c r="U650" s="84"/>
      <c r="V650" s="84"/>
      <c r="W650" s="84"/>
      <c r="X650" s="84"/>
      <c r="Y650" s="84"/>
      <c r="Z650" s="84"/>
    </row>
    <row r="651" spans="1:26" ht="15.75" customHeight="1" x14ac:dyDescent="0.25">
      <c r="A651" s="85" t="s">
        <v>1753</v>
      </c>
      <c r="B651" s="189" t="s">
        <v>335</v>
      </c>
      <c r="C651" s="9" t="s">
        <v>322</v>
      </c>
      <c r="D651" s="190" t="s">
        <v>304</v>
      </c>
      <c r="E651" s="191" t="s">
        <v>305</v>
      </c>
      <c r="F651" s="192" t="s">
        <v>304</v>
      </c>
      <c r="G651" s="191" t="s">
        <v>305</v>
      </c>
      <c r="H651" s="189" t="s">
        <v>1179</v>
      </c>
      <c r="I651" s="193" t="s">
        <v>1180</v>
      </c>
      <c r="J651" s="82" t="s">
        <v>305</v>
      </c>
      <c r="K651" s="83" t="s">
        <v>184</v>
      </c>
      <c r="O651" s="84"/>
      <c r="P651" s="84"/>
      <c r="Q651" s="84"/>
      <c r="R651" s="84"/>
      <c r="S651" s="84"/>
      <c r="T651" s="84"/>
      <c r="U651" s="84"/>
      <c r="V651" s="84"/>
      <c r="W651" s="84"/>
      <c r="X651" s="84"/>
      <c r="Y651" s="84"/>
      <c r="Z651" s="84"/>
    </row>
    <row r="652" spans="1:26" ht="15.75" customHeight="1" x14ac:dyDescent="0.25">
      <c r="A652" s="85" t="s">
        <v>1754</v>
      </c>
      <c r="B652" s="189" t="s">
        <v>335</v>
      </c>
      <c r="C652" s="9" t="s">
        <v>322</v>
      </c>
      <c r="D652" s="190" t="s">
        <v>304</v>
      </c>
      <c r="E652" s="191" t="s">
        <v>305</v>
      </c>
      <c r="F652" s="192" t="s">
        <v>304</v>
      </c>
      <c r="G652" s="191" t="s">
        <v>305</v>
      </c>
      <c r="H652" s="189" t="s">
        <v>1755</v>
      </c>
      <c r="I652" s="193" t="s">
        <v>1756</v>
      </c>
      <c r="J652" s="82" t="s">
        <v>305</v>
      </c>
      <c r="K652" s="83" t="s">
        <v>184</v>
      </c>
      <c r="O652" s="84"/>
      <c r="P652" s="84"/>
      <c r="Q652" s="84"/>
      <c r="R652" s="84"/>
      <c r="S652" s="84"/>
      <c r="T652" s="84"/>
      <c r="U652" s="84"/>
      <c r="V652" s="84"/>
      <c r="W652" s="84"/>
      <c r="X652" s="84"/>
      <c r="Y652" s="84"/>
      <c r="Z652" s="84"/>
    </row>
    <row r="653" spans="1:26" ht="15.75" customHeight="1" x14ac:dyDescent="0.25">
      <c r="A653" s="85" t="s">
        <v>1757</v>
      </c>
      <c r="B653" s="189" t="s">
        <v>348</v>
      </c>
      <c r="C653" s="9" t="s">
        <v>322</v>
      </c>
      <c r="D653" s="190" t="s">
        <v>304</v>
      </c>
      <c r="E653" s="191" t="s">
        <v>305</v>
      </c>
      <c r="F653" s="192" t="s">
        <v>304</v>
      </c>
      <c r="G653" s="191" t="s">
        <v>305</v>
      </c>
      <c r="H653" s="189" t="s">
        <v>1758</v>
      </c>
      <c r="I653" s="193" t="s">
        <v>1759</v>
      </c>
      <c r="J653" s="82" t="s">
        <v>305</v>
      </c>
      <c r="K653" s="83" t="s">
        <v>184</v>
      </c>
      <c r="O653" s="84"/>
      <c r="P653" s="84"/>
      <c r="Q653" s="84"/>
      <c r="R653" s="84"/>
      <c r="S653" s="84"/>
      <c r="T653" s="84"/>
      <c r="U653" s="84"/>
      <c r="V653" s="84"/>
      <c r="W653" s="84"/>
      <c r="X653" s="84"/>
      <c r="Y653" s="84"/>
      <c r="Z653" s="84"/>
    </row>
    <row r="654" spans="1:26" ht="15.75" customHeight="1" x14ac:dyDescent="0.25">
      <c r="A654" s="85" t="s">
        <v>1760</v>
      </c>
      <c r="B654" s="189" t="s">
        <v>335</v>
      </c>
      <c r="C654" s="9" t="s">
        <v>322</v>
      </c>
      <c r="D654" s="190" t="s">
        <v>304</v>
      </c>
      <c r="E654" s="191" t="s">
        <v>305</v>
      </c>
      <c r="F654" s="192" t="s">
        <v>304</v>
      </c>
      <c r="G654" s="191" t="s">
        <v>305</v>
      </c>
      <c r="H654" s="189" t="s">
        <v>1761</v>
      </c>
      <c r="I654" s="193" t="s">
        <v>1762</v>
      </c>
      <c r="J654" s="82" t="s">
        <v>305</v>
      </c>
      <c r="K654" s="83" t="s">
        <v>184</v>
      </c>
      <c r="O654" s="84"/>
      <c r="P654" s="84"/>
      <c r="Q654" s="84"/>
      <c r="R654" s="84"/>
      <c r="S654" s="84"/>
      <c r="T654" s="84"/>
      <c r="U654" s="84"/>
      <c r="V654" s="84"/>
      <c r="W654" s="84"/>
      <c r="X654" s="84"/>
      <c r="Y654" s="84"/>
      <c r="Z654" s="84"/>
    </row>
    <row r="655" spans="1:26" ht="15.75" customHeight="1" x14ac:dyDescent="0.25">
      <c r="A655" s="85" t="s">
        <v>1763</v>
      </c>
      <c r="B655" s="189" t="s">
        <v>335</v>
      </c>
      <c r="C655" s="9" t="s">
        <v>322</v>
      </c>
      <c r="D655" s="190" t="s">
        <v>304</v>
      </c>
      <c r="E655" s="191" t="s">
        <v>305</v>
      </c>
      <c r="F655" s="192" t="s">
        <v>304</v>
      </c>
      <c r="G655" s="191" t="s">
        <v>305</v>
      </c>
      <c r="H655" s="189" t="s">
        <v>1764</v>
      </c>
      <c r="I655" s="193" t="s">
        <v>1764</v>
      </c>
      <c r="J655" s="82" t="s">
        <v>305</v>
      </c>
      <c r="K655" s="83" t="s">
        <v>184</v>
      </c>
      <c r="O655" s="84"/>
      <c r="P655" s="84"/>
      <c r="Q655" s="84"/>
      <c r="R655" s="84"/>
      <c r="S655" s="84"/>
      <c r="T655" s="84"/>
      <c r="U655" s="84"/>
      <c r="V655" s="84"/>
      <c r="W655" s="84"/>
      <c r="X655" s="84"/>
      <c r="Y655" s="84"/>
      <c r="Z655" s="84"/>
    </row>
    <row r="656" spans="1:26" ht="15.75" customHeight="1" x14ac:dyDescent="0.25">
      <c r="A656" s="85" t="s">
        <v>1765</v>
      </c>
      <c r="B656" s="189" t="s">
        <v>335</v>
      </c>
      <c r="C656" s="9" t="s">
        <v>303</v>
      </c>
      <c r="D656" s="190">
        <v>8</v>
      </c>
      <c r="E656" s="191">
        <v>75</v>
      </c>
      <c r="F656" s="192">
        <v>6</v>
      </c>
      <c r="G656" s="191">
        <v>100</v>
      </c>
      <c r="H656" s="189" t="s">
        <v>1766</v>
      </c>
      <c r="I656" s="193" t="s">
        <v>1767</v>
      </c>
      <c r="J656" s="82">
        <v>10</v>
      </c>
      <c r="K656" s="83">
        <v>19</v>
      </c>
      <c r="O656" s="84"/>
      <c r="P656" s="84"/>
      <c r="Q656" s="84"/>
      <c r="R656" s="84"/>
      <c r="S656" s="84"/>
      <c r="T656" s="84"/>
      <c r="U656" s="84"/>
      <c r="V656" s="84"/>
      <c r="W656" s="84"/>
      <c r="X656" s="84"/>
      <c r="Y656" s="84"/>
      <c r="Z656" s="84"/>
    </row>
    <row r="657" spans="1:26" ht="15.75" customHeight="1" x14ac:dyDescent="0.25">
      <c r="A657" s="85" t="s">
        <v>1768</v>
      </c>
      <c r="B657" s="189" t="s">
        <v>348</v>
      </c>
      <c r="C657" s="9" t="s">
        <v>322</v>
      </c>
      <c r="D657" s="190" t="s">
        <v>304</v>
      </c>
      <c r="E657" s="191" t="s">
        <v>305</v>
      </c>
      <c r="F657" s="192" t="s">
        <v>304</v>
      </c>
      <c r="G657" s="191" t="s">
        <v>305</v>
      </c>
      <c r="H657" s="189" t="s">
        <v>1769</v>
      </c>
      <c r="I657" s="193" t="s">
        <v>1769</v>
      </c>
      <c r="J657" s="82" t="s">
        <v>305</v>
      </c>
      <c r="K657" s="83" t="s">
        <v>184</v>
      </c>
      <c r="O657" s="84"/>
      <c r="P657" s="84"/>
      <c r="Q657" s="84"/>
      <c r="R657" s="84"/>
      <c r="S657" s="84"/>
      <c r="T657" s="84"/>
      <c r="U657" s="84"/>
      <c r="V657" s="84"/>
      <c r="W657" s="84"/>
      <c r="X657" s="84"/>
      <c r="Y657" s="84"/>
      <c r="Z657" s="84"/>
    </row>
    <row r="658" spans="1:26" ht="15.75" customHeight="1" x14ac:dyDescent="0.25">
      <c r="A658" s="85" t="s">
        <v>1770</v>
      </c>
      <c r="B658" s="189" t="s">
        <v>335</v>
      </c>
      <c r="C658" s="9" t="s">
        <v>314</v>
      </c>
      <c r="D658" s="190">
        <v>7</v>
      </c>
      <c r="E658" s="191">
        <v>70</v>
      </c>
      <c r="F658" s="192">
        <v>6</v>
      </c>
      <c r="G658" s="191">
        <v>100</v>
      </c>
      <c r="H658" s="189" t="s">
        <v>1771</v>
      </c>
      <c r="I658" s="193" t="s">
        <v>1772</v>
      </c>
      <c r="J658" s="82" t="s">
        <v>305</v>
      </c>
      <c r="K658" s="83" t="s">
        <v>184</v>
      </c>
      <c r="O658" s="84"/>
      <c r="P658" s="84"/>
      <c r="Q658" s="84"/>
      <c r="R658" s="84"/>
      <c r="S658" s="84"/>
      <c r="T658" s="84"/>
      <c r="U658" s="84"/>
      <c r="V658" s="84"/>
      <c r="W658" s="84"/>
      <c r="X658" s="84"/>
      <c r="Y658" s="84"/>
      <c r="Z658" s="84"/>
    </row>
    <row r="659" spans="1:26" ht="15.75" customHeight="1" x14ac:dyDescent="0.25">
      <c r="A659" s="85" t="s">
        <v>1773</v>
      </c>
      <c r="B659" s="189" t="s">
        <v>335</v>
      </c>
      <c r="C659" s="9" t="s">
        <v>314</v>
      </c>
      <c r="D659" s="190" t="s">
        <v>304</v>
      </c>
      <c r="E659" s="191" t="s">
        <v>305</v>
      </c>
      <c r="F659" s="192">
        <v>6</v>
      </c>
      <c r="G659" s="191">
        <v>100</v>
      </c>
      <c r="H659" s="189" t="s">
        <v>1774</v>
      </c>
      <c r="I659" s="193" t="s">
        <v>1775</v>
      </c>
      <c r="J659" s="82" t="s">
        <v>305</v>
      </c>
      <c r="K659" s="83" t="s">
        <v>184</v>
      </c>
      <c r="O659" s="84"/>
      <c r="P659" s="84"/>
      <c r="Q659" s="84"/>
      <c r="R659" s="84"/>
      <c r="S659" s="84"/>
      <c r="T659" s="84"/>
      <c r="U659" s="84"/>
      <c r="V659" s="84"/>
      <c r="W659" s="84"/>
      <c r="X659" s="84"/>
      <c r="Y659" s="84"/>
      <c r="Z659" s="84"/>
    </row>
    <row r="660" spans="1:26" ht="15.75" customHeight="1" x14ac:dyDescent="0.25">
      <c r="A660" s="85" t="s">
        <v>1776</v>
      </c>
      <c r="B660" s="189" t="s">
        <v>335</v>
      </c>
      <c r="C660" s="9" t="s">
        <v>303</v>
      </c>
      <c r="D660" s="190">
        <v>9</v>
      </c>
      <c r="E660" s="191">
        <v>90</v>
      </c>
      <c r="F660" s="192">
        <v>6</v>
      </c>
      <c r="G660" s="191">
        <v>100</v>
      </c>
      <c r="H660" s="189" t="s">
        <v>1777</v>
      </c>
      <c r="I660" s="193" t="s">
        <v>1777</v>
      </c>
      <c r="J660" s="82" t="s">
        <v>305</v>
      </c>
      <c r="K660" s="83" t="s">
        <v>184</v>
      </c>
      <c r="O660" s="84"/>
      <c r="P660" s="84"/>
      <c r="Q660" s="84"/>
      <c r="R660" s="84"/>
      <c r="S660" s="84"/>
      <c r="T660" s="84"/>
      <c r="U660" s="84"/>
      <c r="V660" s="84"/>
      <c r="W660" s="84"/>
      <c r="X660" s="84"/>
      <c r="Y660" s="84"/>
      <c r="Z660" s="84"/>
    </row>
    <row r="661" spans="1:26" ht="15.75" customHeight="1" x14ac:dyDescent="0.25">
      <c r="A661" s="85" t="s">
        <v>1778</v>
      </c>
      <c r="B661" s="189" t="s">
        <v>356</v>
      </c>
      <c r="C661" s="9" t="s">
        <v>314</v>
      </c>
      <c r="D661" s="190">
        <v>6</v>
      </c>
      <c r="E661" s="191">
        <v>60</v>
      </c>
      <c r="F661" s="192">
        <v>6</v>
      </c>
      <c r="G661" s="191">
        <v>100</v>
      </c>
      <c r="H661" s="189" t="s">
        <v>1779</v>
      </c>
      <c r="I661" s="193" t="s">
        <v>1780</v>
      </c>
      <c r="J661" s="82" t="s">
        <v>305</v>
      </c>
      <c r="K661" s="83" t="s">
        <v>184</v>
      </c>
      <c r="O661" s="84"/>
      <c r="P661" s="84"/>
      <c r="Q661" s="84"/>
      <c r="R661" s="84"/>
      <c r="S661" s="84"/>
      <c r="T661" s="84"/>
      <c r="U661" s="84"/>
      <c r="V661" s="84"/>
      <c r="W661" s="84"/>
      <c r="X661" s="84"/>
      <c r="Y661" s="84"/>
      <c r="Z661" s="84"/>
    </row>
    <row r="662" spans="1:26" ht="15.75" customHeight="1" x14ac:dyDescent="0.25">
      <c r="A662" s="85" t="s">
        <v>1781</v>
      </c>
      <c r="B662" s="189" t="s">
        <v>356</v>
      </c>
      <c r="C662" s="9" t="s">
        <v>314</v>
      </c>
      <c r="D662" s="190" t="s">
        <v>304</v>
      </c>
      <c r="E662" s="191" t="s">
        <v>305</v>
      </c>
      <c r="F662" s="192">
        <v>6</v>
      </c>
      <c r="G662" s="191">
        <v>100</v>
      </c>
      <c r="H662" s="189" t="s">
        <v>909</v>
      </c>
      <c r="I662" s="193" t="s">
        <v>910</v>
      </c>
      <c r="J662" s="82" t="s">
        <v>305</v>
      </c>
      <c r="K662" s="83" t="s">
        <v>184</v>
      </c>
      <c r="O662" s="84"/>
      <c r="P662" s="84"/>
      <c r="Q662" s="84"/>
      <c r="R662" s="84"/>
      <c r="S662" s="84"/>
      <c r="T662" s="84"/>
      <c r="U662" s="84"/>
      <c r="V662" s="84"/>
      <c r="W662" s="84"/>
      <c r="X662" s="84"/>
      <c r="Y662" s="84"/>
      <c r="Z662" s="84"/>
    </row>
    <row r="663" spans="1:26" ht="15.75" customHeight="1" x14ac:dyDescent="0.25">
      <c r="A663" s="85" t="s">
        <v>1782</v>
      </c>
      <c r="B663" s="189" t="s">
        <v>335</v>
      </c>
      <c r="C663" s="9" t="s">
        <v>322</v>
      </c>
      <c r="D663" s="190" t="s">
        <v>304</v>
      </c>
      <c r="E663" s="191" t="s">
        <v>305</v>
      </c>
      <c r="F663" s="192" t="s">
        <v>304</v>
      </c>
      <c r="G663" s="191" t="s">
        <v>305</v>
      </c>
      <c r="H663" s="189" t="s">
        <v>1783</v>
      </c>
      <c r="I663" s="193" t="s">
        <v>1784</v>
      </c>
      <c r="J663" s="82" t="s">
        <v>305</v>
      </c>
      <c r="K663" s="83" t="s">
        <v>184</v>
      </c>
      <c r="O663" s="84"/>
      <c r="P663" s="84"/>
      <c r="Q663" s="84"/>
      <c r="R663" s="84"/>
      <c r="S663" s="84"/>
      <c r="T663" s="84"/>
      <c r="U663" s="84"/>
      <c r="V663" s="84"/>
      <c r="W663" s="84"/>
      <c r="X663" s="84"/>
      <c r="Y663" s="84"/>
      <c r="Z663" s="84"/>
    </row>
    <row r="664" spans="1:26" ht="15.75" customHeight="1" x14ac:dyDescent="0.25">
      <c r="A664" s="85" t="s">
        <v>1785</v>
      </c>
      <c r="B664" s="189" t="s">
        <v>302</v>
      </c>
      <c r="C664" s="9" t="s">
        <v>303</v>
      </c>
      <c r="D664" s="190">
        <v>7</v>
      </c>
      <c r="E664" s="191">
        <v>70</v>
      </c>
      <c r="F664" s="192">
        <v>6</v>
      </c>
      <c r="G664" s="191">
        <v>100</v>
      </c>
      <c r="H664" s="189" t="s">
        <v>1786</v>
      </c>
      <c r="I664" s="193" t="s">
        <v>1786</v>
      </c>
      <c r="J664" s="82" t="s">
        <v>305</v>
      </c>
      <c r="K664" s="83" t="s">
        <v>184</v>
      </c>
      <c r="O664" s="84"/>
      <c r="P664" s="84"/>
      <c r="Q664" s="84"/>
      <c r="R664" s="84"/>
      <c r="S664" s="84"/>
      <c r="T664" s="84"/>
      <c r="U664" s="84"/>
      <c r="V664" s="84"/>
      <c r="W664" s="84"/>
      <c r="X664" s="84"/>
      <c r="Y664" s="84"/>
      <c r="Z664" s="84"/>
    </row>
    <row r="665" spans="1:26" ht="15.75" customHeight="1" x14ac:dyDescent="0.25">
      <c r="A665" s="85" t="s">
        <v>1787</v>
      </c>
      <c r="B665" s="189" t="s">
        <v>335</v>
      </c>
      <c r="C665" s="9" t="s">
        <v>322</v>
      </c>
      <c r="D665" s="190" t="s">
        <v>304</v>
      </c>
      <c r="E665" s="191" t="s">
        <v>305</v>
      </c>
      <c r="F665" s="192" t="s">
        <v>304</v>
      </c>
      <c r="G665" s="191" t="s">
        <v>305</v>
      </c>
      <c r="H665" s="189" t="s">
        <v>610</v>
      </c>
      <c r="I665" s="193" t="s">
        <v>611</v>
      </c>
      <c r="J665" s="82" t="s">
        <v>305</v>
      </c>
      <c r="K665" s="83" t="s">
        <v>184</v>
      </c>
      <c r="O665" s="84"/>
      <c r="P665" s="84"/>
      <c r="Q665" s="84"/>
      <c r="R665" s="84"/>
      <c r="S665" s="84"/>
      <c r="T665" s="84"/>
      <c r="U665" s="84"/>
      <c r="V665" s="84"/>
      <c r="W665" s="84"/>
      <c r="X665" s="84"/>
      <c r="Y665" s="84"/>
      <c r="Z665" s="84"/>
    </row>
    <row r="666" spans="1:26" ht="15.75" customHeight="1" x14ac:dyDescent="0.25">
      <c r="A666" s="85" t="s">
        <v>1788</v>
      </c>
      <c r="B666" s="189" t="s">
        <v>530</v>
      </c>
      <c r="C666" s="9" t="s">
        <v>303</v>
      </c>
      <c r="D666" s="190">
        <v>15</v>
      </c>
      <c r="E666" s="191">
        <v>150</v>
      </c>
      <c r="F666" s="192">
        <v>8</v>
      </c>
      <c r="G666" s="191">
        <v>90</v>
      </c>
      <c r="H666" s="189" t="s">
        <v>482</v>
      </c>
      <c r="I666" s="193" t="s">
        <v>483</v>
      </c>
      <c r="J666" s="82" t="s">
        <v>305</v>
      </c>
      <c r="K666" s="83" t="s">
        <v>184</v>
      </c>
      <c r="O666" s="84"/>
      <c r="P666" s="84"/>
      <c r="Q666" s="84"/>
      <c r="R666" s="84"/>
      <c r="S666" s="84"/>
      <c r="T666" s="84"/>
      <c r="U666" s="84"/>
      <c r="V666" s="84"/>
      <c r="W666" s="84"/>
      <c r="X666" s="84"/>
      <c r="Y666" s="84"/>
      <c r="Z666" s="84"/>
    </row>
    <row r="667" spans="1:26" ht="15.75" customHeight="1" x14ac:dyDescent="0.25">
      <c r="A667" s="85" t="s">
        <v>1789</v>
      </c>
      <c r="B667" s="189" t="s">
        <v>313</v>
      </c>
      <c r="C667" s="9" t="s">
        <v>314</v>
      </c>
      <c r="D667" s="190">
        <v>3</v>
      </c>
      <c r="E667" s="191">
        <v>25</v>
      </c>
      <c r="F667" s="192">
        <v>8</v>
      </c>
      <c r="G667" s="191">
        <v>90</v>
      </c>
      <c r="H667" s="189" t="s">
        <v>387</v>
      </c>
      <c r="I667" s="193" t="s">
        <v>388</v>
      </c>
      <c r="J667" s="82" t="s">
        <v>305</v>
      </c>
      <c r="K667" s="83" t="s">
        <v>184</v>
      </c>
      <c r="O667" s="84"/>
      <c r="P667" s="84"/>
      <c r="Q667" s="84"/>
      <c r="R667" s="84"/>
      <c r="S667" s="84"/>
      <c r="T667" s="84"/>
      <c r="U667" s="84"/>
      <c r="V667" s="84"/>
      <c r="W667" s="84"/>
      <c r="X667" s="84"/>
      <c r="Y667" s="84"/>
      <c r="Z667" s="84"/>
    </row>
    <row r="668" spans="1:26" ht="15.75" customHeight="1" x14ac:dyDescent="0.25">
      <c r="A668" s="85" t="s">
        <v>1790</v>
      </c>
      <c r="B668" s="189" t="s">
        <v>335</v>
      </c>
      <c r="C668" s="9" t="s">
        <v>314</v>
      </c>
      <c r="D668" s="190">
        <v>9</v>
      </c>
      <c r="E668" s="191">
        <v>90</v>
      </c>
      <c r="F668" s="192">
        <v>9</v>
      </c>
      <c r="G668" s="191">
        <v>85</v>
      </c>
      <c r="H668" s="189" t="s">
        <v>644</v>
      </c>
      <c r="I668" s="193" t="s">
        <v>645</v>
      </c>
      <c r="J668" s="82">
        <v>20</v>
      </c>
      <c r="K668" s="83">
        <v>17</v>
      </c>
      <c r="O668" s="84"/>
      <c r="P668" s="84"/>
      <c r="Q668" s="84"/>
      <c r="R668" s="84"/>
      <c r="S668" s="84"/>
      <c r="T668" s="84"/>
      <c r="U668" s="84"/>
      <c r="V668" s="84"/>
      <c r="W668" s="84"/>
      <c r="X668" s="84"/>
      <c r="Y668" s="84"/>
      <c r="Z668" s="84"/>
    </row>
    <row r="669" spans="1:26" ht="15.75" customHeight="1" x14ac:dyDescent="0.25">
      <c r="A669" s="85" t="s">
        <v>1791</v>
      </c>
      <c r="B669" s="189" t="s">
        <v>313</v>
      </c>
      <c r="C669" s="9" t="s">
        <v>322</v>
      </c>
      <c r="D669" s="190" t="s">
        <v>304</v>
      </c>
      <c r="E669" s="191" t="s">
        <v>305</v>
      </c>
      <c r="F669" s="192" t="s">
        <v>304</v>
      </c>
      <c r="G669" s="191" t="s">
        <v>305</v>
      </c>
      <c r="H669" s="189" t="s">
        <v>349</v>
      </c>
      <c r="I669" s="193" t="s">
        <v>350</v>
      </c>
      <c r="J669" s="82" t="s">
        <v>305</v>
      </c>
      <c r="K669" s="83" t="s">
        <v>184</v>
      </c>
      <c r="O669" s="84"/>
      <c r="P669" s="84"/>
      <c r="Q669" s="84"/>
      <c r="R669" s="84"/>
      <c r="S669" s="84"/>
      <c r="T669" s="84"/>
      <c r="U669" s="84"/>
      <c r="V669" s="84"/>
      <c r="W669" s="84"/>
      <c r="X669" s="84"/>
      <c r="Y669" s="84"/>
      <c r="Z669" s="84"/>
    </row>
    <row r="670" spans="1:26" ht="15.75" customHeight="1" x14ac:dyDescent="0.25">
      <c r="A670" s="85" t="s">
        <v>1792</v>
      </c>
      <c r="B670" s="189" t="s">
        <v>313</v>
      </c>
      <c r="C670" s="9" t="s">
        <v>314</v>
      </c>
      <c r="D670" s="190">
        <v>8</v>
      </c>
      <c r="E670" s="191">
        <v>75</v>
      </c>
      <c r="F670" s="192">
        <v>8</v>
      </c>
      <c r="G670" s="191">
        <v>90</v>
      </c>
      <c r="H670" s="189" t="s">
        <v>353</v>
      </c>
      <c r="I670" s="193" t="s">
        <v>354</v>
      </c>
      <c r="J670" s="82">
        <v>30</v>
      </c>
      <c r="K670" s="83">
        <v>15</v>
      </c>
      <c r="O670" s="84"/>
      <c r="P670" s="84"/>
      <c r="Q670" s="84"/>
      <c r="R670" s="84"/>
      <c r="S670" s="84"/>
      <c r="T670" s="84"/>
      <c r="U670" s="84"/>
      <c r="V670" s="84"/>
      <c r="W670" s="84"/>
      <c r="X670" s="84"/>
      <c r="Y670" s="84"/>
      <c r="Z670" s="84"/>
    </row>
    <row r="671" spans="1:26" ht="15.75" customHeight="1" x14ac:dyDescent="0.25">
      <c r="A671" s="85" t="s">
        <v>1793</v>
      </c>
      <c r="B671" s="189" t="s">
        <v>356</v>
      </c>
      <c r="C671" s="9" t="s">
        <v>314</v>
      </c>
      <c r="D671" s="190">
        <v>4</v>
      </c>
      <c r="E671" s="191">
        <v>40</v>
      </c>
      <c r="F671" s="192">
        <v>6</v>
      </c>
      <c r="G671" s="191">
        <v>100</v>
      </c>
      <c r="H671" s="189" t="s">
        <v>689</v>
      </c>
      <c r="I671" s="193" t="s">
        <v>690</v>
      </c>
      <c r="J671" s="82">
        <v>50</v>
      </c>
      <c r="K671" s="83">
        <v>11</v>
      </c>
      <c r="O671" s="84"/>
      <c r="P671" s="84"/>
      <c r="Q671" s="84"/>
      <c r="R671" s="84"/>
      <c r="S671" s="84"/>
      <c r="T671" s="84"/>
      <c r="U671" s="84"/>
      <c r="V671" s="84"/>
      <c r="W671" s="84"/>
      <c r="X671" s="84"/>
      <c r="Y671" s="84"/>
      <c r="Z671" s="84"/>
    </row>
    <row r="672" spans="1:26" ht="15.75" customHeight="1" x14ac:dyDescent="0.25">
      <c r="A672" s="85" t="s">
        <v>1794</v>
      </c>
      <c r="B672" s="189" t="s">
        <v>313</v>
      </c>
      <c r="C672" s="9" t="s">
        <v>314</v>
      </c>
      <c r="D672" s="190">
        <v>5</v>
      </c>
      <c r="E672" s="191">
        <v>50</v>
      </c>
      <c r="F672" s="192">
        <v>8</v>
      </c>
      <c r="G672" s="191">
        <v>90</v>
      </c>
      <c r="H672" s="189"/>
      <c r="I672" s="193" t="s">
        <v>184</v>
      </c>
      <c r="J672" s="82" t="s">
        <v>305</v>
      </c>
      <c r="K672" s="83" t="s">
        <v>184</v>
      </c>
      <c r="O672" s="84"/>
      <c r="P672" s="84"/>
      <c r="Q672" s="84"/>
      <c r="R672" s="84"/>
      <c r="S672" s="84"/>
      <c r="T672" s="84"/>
      <c r="U672" s="84"/>
      <c r="V672" s="84"/>
      <c r="W672" s="84"/>
      <c r="X672" s="84"/>
      <c r="Y672" s="84"/>
      <c r="Z672" s="84"/>
    </row>
    <row r="673" spans="1:26" ht="15.75" customHeight="1" x14ac:dyDescent="0.25">
      <c r="A673" s="85" t="s">
        <v>1795</v>
      </c>
      <c r="B673" s="189" t="s">
        <v>313</v>
      </c>
      <c r="C673" s="9" t="s">
        <v>314</v>
      </c>
      <c r="D673" s="190">
        <v>6</v>
      </c>
      <c r="E673" s="191">
        <v>60</v>
      </c>
      <c r="F673" s="192">
        <v>7</v>
      </c>
      <c r="G673" s="191">
        <v>95</v>
      </c>
      <c r="H673" s="189" t="s">
        <v>556</v>
      </c>
      <c r="I673" s="193" t="s">
        <v>557</v>
      </c>
      <c r="J673" s="82">
        <v>100</v>
      </c>
      <c r="K673" s="83">
        <v>1</v>
      </c>
      <c r="O673" s="84"/>
      <c r="P673" s="84"/>
      <c r="Q673" s="84"/>
      <c r="R673" s="84"/>
      <c r="S673" s="84"/>
      <c r="T673" s="84"/>
      <c r="U673" s="84"/>
      <c r="V673" s="84"/>
      <c r="W673" s="84"/>
      <c r="X673" s="84"/>
      <c r="Y673" s="84"/>
      <c r="Z673" s="84"/>
    </row>
    <row r="674" spans="1:26" ht="15.75" customHeight="1" x14ac:dyDescent="0.25">
      <c r="A674" s="85" t="s">
        <v>1796</v>
      </c>
      <c r="B674" s="189" t="s">
        <v>313</v>
      </c>
      <c r="C674" s="9" t="s">
        <v>314</v>
      </c>
      <c r="D674" s="190">
        <v>15</v>
      </c>
      <c r="E674" s="191">
        <v>150</v>
      </c>
      <c r="F674" s="192">
        <v>8</v>
      </c>
      <c r="G674" s="191">
        <v>90</v>
      </c>
      <c r="H674" s="189" t="s">
        <v>482</v>
      </c>
      <c r="I674" s="193" t="s">
        <v>483</v>
      </c>
      <c r="J674" s="82" t="s">
        <v>305</v>
      </c>
      <c r="K674" s="83" t="s">
        <v>184</v>
      </c>
      <c r="O674" s="84"/>
      <c r="P674" s="84"/>
      <c r="Q674" s="84"/>
      <c r="R674" s="84"/>
      <c r="S674" s="84"/>
      <c r="T674" s="84"/>
      <c r="U674" s="84"/>
      <c r="V674" s="84"/>
      <c r="W674" s="84"/>
      <c r="X674" s="84"/>
      <c r="Y674" s="84"/>
      <c r="Z674" s="84"/>
    </row>
    <row r="675" spans="1:26" ht="15.75" customHeight="1" x14ac:dyDescent="0.25">
      <c r="A675" s="85" t="s">
        <v>1797</v>
      </c>
      <c r="B675" s="189" t="s">
        <v>348</v>
      </c>
      <c r="C675" s="9" t="s">
        <v>322</v>
      </c>
      <c r="D675" s="190" t="s">
        <v>304</v>
      </c>
      <c r="E675" s="191" t="s">
        <v>305</v>
      </c>
      <c r="F675" s="192" t="s">
        <v>304</v>
      </c>
      <c r="G675" s="191" t="s">
        <v>305</v>
      </c>
      <c r="H675" s="189" t="s">
        <v>1798</v>
      </c>
      <c r="I675" s="193" t="s">
        <v>1799</v>
      </c>
      <c r="J675" s="82" t="s">
        <v>305</v>
      </c>
      <c r="K675" s="83" t="s">
        <v>184</v>
      </c>
      <c r="O675" s="84"/>
      <c r="P675" s="84"/>
      <c r="Q675" s="84"/>
      <c r="R675" s="84"/>
      <c r="S675" s="84"/>
      <c r="T675" s="84"/>
      <c r="U675" s="84"/>
      <c r="V675" s="84"/>
      <c r="W675" s="84"/>
      <c r="X675" s="84"/>
      <c r="Y675" s="84"/>
      <c r="Z675" s="84"/>
    </row>
    <row r="676" spans="1:26" ht="15.75" customHeight="1" x14ac:dyDescent="0.25">
      <c r="A676" s="85" t="s">
        <v>1800</v>
      </c>
      <c r="B676" s="189" t="s">
        <v>356</v>
      </c>
      <c r="C676" s="9" t="s">
        <v>314</v>
      </c>
      <c r="D676" s="190">
        <v>6</v>
      </c>
      <c r="E676" s="191">
        <v>60</v>
      </c>
      <c r="F676" s="192">
        <v>9</v>
      </c>
      <c r="G676" s="191">
        <v>85</v>
      </c>
      <c r="H676" s="189" t="s">
        <v>353</v>
      </c>
      <c r="I676" s="193" t="s">
        <v>354</v>
      </c>
      <c r="J676" s="82">
        <v>30</v>
      </c>
      <c r="K676" s="83">
        <v>15</v>
      </c>
      <c r="O676" s="84"/>
      <c r="P676" s="84"/>
      <c r="Q676" s="84"/>
      <c r="R676" s="84"/>
      <c r="S676" s="84"/>
      <c r="T676" s="84"/>
      <c r="U676" s="84"/>
      <c r="V676" s="84"/>
      <c r="W676" s="84"/>
      <c r="X676" s="84"/>
      <c r="Y676" s="84"/>
      <c r="Z676" s="84"/>
    </row>
    <row r="677" spans="1:26" ht="15.75" customHeight="1" x14ac:dyDescent="0.25">
      <c r="A677" s="85" t="s">
        <v>1801</v>
      </c>
      <c r="B677" s="189" t="s">
        <v>313</v>
      </c>
      <c r="C677" s="9" t="s">
        <v>314</v>
      </c>
      <c r="D677" s="190">
        <v>3</v>
      </c>
      <c r="E677" s="191">
        <v>30</v>
      </c>
      <c r="F677" s="192">
        <v>8</v>
      </c>
      <c r="G677" s="191">
        <v>90</v>
      </c>
      <c r="H677" s="189" t="s">
        <v>1240</v>
      </c>
      <c r="I677" s="193" t="s">
        <v>1241</v>
      </c>
      <c r="J677" s="82" t="s">
        <v>305</v>
      </c>
      <c r="K677" s="83" t="s">
        <v>184</v>
      </c>
      <c r="O677" s="84"/>
      <c r="P677" s="84"/>
      <c r="Q677" s="84"/>
      <c r="R677" s="84"/>
      <c r="S677" s="84"/>
      <c r="T677" s="84"/>
      <c r="U677" s="84"/>
      <c r="V677" s="84"/>
      <c r="W677" s="84"/>
      <c r="X677" s="84"/>
      <c r="Y677" s="84"/>
      <c r="Z677" s="84"/>
    </row>
    <row r="678" spans="1:26" ht="15.75" customHeight="1" x14ac:dyDescent="0.25">
      <c r="A678" s="85" t="s">
        <v>1802</v>
      </c>
      <c r="B678" s="189" t="s">
        <v>331</v>
      </c>
      <c r="C678" s="9" t="s">
        <v>322</v>
      </c>
      <c r="D678" s="190" t="s">
        <v>304</v>
      </c>
      <c r="E678" s="191" t="s">
        <v>305</v>
      </c>
      <c r="F678" s="192" t="s">
        <v>304</v>
      </c>
      <c r="G678" s="191" t="s">
        <v>305</v>
      </c>
      <c r="H678" s="189" t="s">
        <v>1803</v>
      </c>
      <c r="I678" s="193" t="s">
        <v>1804</v>
      </c>
      <c r="J678" s="82" t="s">
        <v>305</v>
      </c>
      <c r="K678" s="83" t="s">
        <v>184</v>
      </c>
      <c r="O678" s="84"/>
      <c r="P678" s="84"/>
      <c r="Q678" s="84"/>
      <c r="R678" s="84"/>
      <c r="S678" s="84"/>
      <c r="T678" s="84"/>
      <c r="U678" s="84"/>
      <c r="V678" s="84"/>
      <c r="W678" s="84"/>
      <c r="X678" s="84"/>
      <c r="Y678" s="84"/>
      <c r="Z678" s="84"/>
    </row>
    <row r="679" spans="1:26" ht="15.75" customHeight="1" x14ac:dyDescent="0.25">
      <c r="A679" s="85" t="s">
        <v>1805</v>
      </c>
      <c r="B679" s="189" t="s">
        <v>515</v>
      </c>
      <c r="C679" s="9" t="s">
        <v>322</v>
      </c>
      <c r="D679" s="190" t="s">
        <v>304</v>
      </c>
      <c r="E679" s="191" t="s">
        <v>305</v>
      </c>
      <c r="F679" s="192" t="s">
        <v>304</v>
      </c>
      <c r="G679" s="191" t="s">
        <v>305</v>
      </c>
      <c r="H679" s="189" t="s">
        <v>1806</v>
      </c>
      <c r="I679" s="193" t="s">
        <v>1807</v>
      </c>
      <c r="J679" s="82">
        <v>100</v>
      </c>
      <c r="K679" s="83">
        <v>1</v>
      </c>
      <c r="O679" s="84"/>
      <c r="P679" s="84"/>
      <c r="Q679" s="84"/>
      <c r="R679" s="84"/>
      <c r="S679" s="84"/>
      <c r="T679" s="84"/>
      <c r="U679" s="84"/>
      <c r="V679" s="84"/>
      <c r="W679" s="84"/>
      <c r="X679" s="84"/>
      <c r="Y679" s="84"/>
      <c r="Z679" s="84"/>
    </row>
    <row r="680" spans="1:26" ht="15.75" customHeight="1" x14ac:dyDescent="0.25">
      <c r="A680" s="85" t="s">
        <v>1808</v>
      </c>
      <c r="B680" s="189" t="s">
        <v>335</v>
      </c>
      <c r="C680" s="9" t="s">
        <v>303</v>
      </c>
      <c r="D680" s="190">
        <v>6</v>
      </c>
      <c r="E680" s="191">
        <v>60</v>
      </c>
      <c r="F680" s="192">
        <v>6</v>
      </c>
      <c r="G680" s="191">
        <v>100</v>
      </c>
      <c r="H680" s="189" t="s">
        <v>1809</v>
      </c>
      <c r="I680" s="193" t="s">
        <v>1810</v>
      </c>
      <c r="J680" s="82" t="s">
        <v>305</v>
      </c>
      <c r="K680" s="83" t="s">
        <v>184</v>
      </c>
      <c r="O680" s="84"/>
      <c r="P680" s="84"/>
      <c r="Q680" s="84"/>
      <c r="R680" s="84"/>
      <c r="S680" s="84"/>
      <c r="T680" s="84"/>
      <c r="U680" s="84"/>
      <c r="V680" s="84"/>
      <c r="W680" s="84"/>
      <c r="X680" s="84"/>
      <c r="Y680" s="84"/>
      <c r="Z680" s="84"/>
    </row>
    <row r="681" spans="1:26" ht="15.75" customHeight="1" x14ac:dyDescent="0.25">
      <c r="A681" s="85" t="s">
        <v>1811</v>
      </c>
      <c r="B681" s="189" t="s">
        <v>403</v>
      </c>
      <c r="C681" s="9" t="s">
        <v>303</v>
      </c>
      <c r="D681" s="190">
        <v>0</v>
      </c>
      <c r="E681" s="191">
        <v>1</v>
      </c>
      <c r="F681" s="192">
        <v>8</v>
      </c>
      <c r="G681" s="191">
        <v>90</v>
      </c>
      <c r="H681" s="189" t="s">
        <v>1812</v>
      </c>
      <c r="I681" s="193" t="s">
        <v>1813</v>
      </c>
      <c r="J681" s="82" t="s">
        <v>305</v>
      </c>
      <c r="K681" s="83" t="s">
        <v>184</v>
      </c>
      <c r="O681" s="84"/>
      <c r="P681" s="84"/>
      <c r="Q681" s="84"/>
      <c r="R681" s="84"/>
      <c r="S681" s="84"/>
      <c r="T681" s="84"/>
      <c r="U681" s="84"/>
      <c r="V681" s="84"/>
      <c r="W681" s="84"/>
      <c r="X681" s="84"/>
      <c r="Y681" s="84"/>
      <c r="Z681" s="84"/>
    </row>
    <row r="682" spans="1:26" ht="15.75" customHeight="1" x14ac:dyDescent="0.25">
      <c r="A682" s="85" t="s">
        <v>1814</v>
      </c>
      <c r="B682" s="189" t="s">
        <v>390</v>
      </c>
      <c r="C682" s="9" t="s">
        <v>314</v>
      </c>
      <c r="D682" s="190">
        <v>10</v>
      </c>
      <c r="E682" s="191">
        <v>100</v>
      </c>
      <c r="F682" s="192">
        <v>7</v>
      </c>
      <c r="G682" s="191">
        <v>95</v>
      </c>
      <c r="H682" s="189" t="s">
        <v>502</v>
      </c>
      <c r="I682" s="193" t="s">
        <v>503</v>
      </c>
      <c r="J682" s="82">
        <v>50</v>
      </c>
      <c r="K682" s="83">
        <v>11</v>
      </c>
      <c r="O682" s="84"/>
      <c r="P682" s="84"/>
      <c r="Q682" s="84"/>
      <c r="R682" s="84"/>
      <c r="S682" s="84"/>
      <c r="T682" s="84"/>
      <c r="U682" s="84"/>
      <c r="V682" s="84"/>
      <c r="W682" s="84"/>
      <c r="X682" s="84"/>
      <c r="Y682" s="84"/>
      <c r="Z682" s="84"/>
    </row>
    <row r="683" spans="1:26" ht="15.75" customHeight="1" x14ac:dyDescent="0.25">
      <c r="A683" s="85" t="s">
        <v>1815</v>
      </c>
      <c r="B683" s="189" t="s">
        <v>356</v>
      </c>
      <c r="C683" s="9" t="s">
        <v>314</v>
      </c>
      <c r="D683" s="190">
        <v>9</v>
      </c>
      <c r="E683" s="191">
        <v>90</v>
      </c>
      <c r="F683" s="192">
        <v>6</v>
      </c>
      <c r="G683" s="191">
        <v>100</v>
      </c>
      <c r="H683" s="189" t="s">
        <v>605</v>
      </c>
      <c r="I683" s="193" t="s">
        <v>606</v>
      </c>
      <c r="J683" s="82" t="s">
        <v>305</v>
      </c>
      <c r="K683" s="83" t="s">
        <v>184</v>
      </c>
      <c r="O683" s="84"/>
      <c r="P683" s="84"/>
      <c r="Q683" s="84"/>
      <c r="R683" s="84"/>
      <c r="S683" s="84"/>
      <c r="T683" s="84"/>
      <c r="U683" s="84"/>
      <c r="V683" s="84"/>
      <c r="W683" s="84"/>
      <c r="X683" s="84"/>
      <c r="Y683" s="84"/>
      <c r="Z683" s="84"/>
    </row>
    <row r="684" spans="1:26" ht="15.75" customHeight="1" x14ac:dyDescent="0.25">
      <c r="A684" s="85" t="s">
        <v>1816</v>
      </c>
      <c r="B684" s="189" t="s">
        <v>335</v>
      </c>
      <c r="C684" s="9" t="s">
        <v>322</v>
      </c>
      <c r="D684" s="190" t="s">
        <v>304</v>
      </c>
      <c r="E684" s="191" t="s">
        <v>305</v>
      </c>
      <c r="F684" s="192" t="s">
        <v>304</v>
      </c>
      <c r="G684" s="191" t="s">
        <v>305</v>
      </c>
      <c r="H684" s="189" t="s">
        <v>1817</v>
      </c>
      <c r="I684" s="193" t="s">
        <v>1818</v>
      </c>
      <c r="J684" s="82" t="s">
        <v>305</v>
      </c>
      <c r="K684" s="83" t="s">
        <v>184</v>
      </c>
      <c r="O684" s="84"/>
      <c r="P684" s="84"/>
      <c r="Q684" s="84"/>
      <c r="R684" s="84"/>
      <c r="S684" s="84"/>
      <c r="T684" s="84"/>
      <c r="U684" s="84"/>
      <c r="V684" s="84"/>
      <c r="W684" s="84"/>
      <c r="X684" s="84"/>
      <c r="Y684" s="84"/>
      <c r="Z684" s="84"/>
    </row>
    <row r="685" spans="1:26" ht="15.75" customHeight="1" x14ac:dyDescent="0.25">
      <c r="A685" s="85" t="s">
        <v>1819</v>
      </c>
      <c r="B685" s="189" t="s">
        <v>313</v>
      </c>
      <c r="C685" s="9" t="s">
        <v>314</v>
      </c>
      <c r="D685" s="190">
        <v>4</v>
      </c>
      <c r="E685" s="191">
        <v>40</v>
      </c>
      <c r="F685" s="192">
        <v>6</v>
      </c>
      <c r="G685" s="191">
        <v>100</v>
      </c>
      <c r="H685" s="189" t="s">
        <v>1820</v>
      </c>
      <c r="I685" s="193" t="s">
        <v>1821</v>
      </c>
      <c r="J685" s="82" t="s">
        <v>305</v>
      </c>
      <c r="K685" s="83" t="s">
        <v>184</v>
      </c>
      <c r="O685" s="84"/>
      <c r="P685" s="84"/>
      <c r="Q685" s="84"/>
      <c r="R685" s="84"/>
      <c r="S685" s="84"/>
      <c r="T685" s="84"/>
      <c r="U685" s="84"/>
      <c r="V685" s="84"/>
      <c r="W685" s="84"/>
      <c r="X685" s="84"/>
      <c r="Y685" s="84"/>
      <c r="Z685" s="84"/>
    </row>
    <row r="686" spans="1:26" ht="15.75" customHeight="1" x14ac:dyDescent="0.25">
      <c r="A686" s="85" t="s">
        <v>1822</v>
      </c>
      <c r="B686" s="189" t="s">
        <v>515</v>
      </c>
      <c r="C686" s="9" t="s">
        <v>322</v>
      </c>
      <c r="D686" s="190" t="s">
        <v>304</v>
      </c>
      <c r="E686" s="191" t="s">
        <v>305</v>
      </c>
      <c r="F686" s="192">
        <v>6</v>
      </c>
      <c r="G686" s="191">
        <v>100</v>
      </c>
      <c r="H686" s="189" t="s">
        <v>921</v>
      </c>
      <c r="I686" s="193" t="s">
        <v>922</v>
      </c>
      <c r="J686" s="82" t="s">
        <v>305</v>
      </c>
      <c r="K686" s="83" t="s">
        <v>184</v>
      </c>
      <c r="O686" s="84"/>
      <c r="P686" s="84"/>
      <c r="Q686" s="84"/>
      <c r="R686" s="84"/>
      <c r="S686" s="84"/>
      <c r="T686" s="84"/>
      <c r="U686" s="84"/>
      <c r="V686" s="84"/>
      <c r="W686" s="84"/>
      <c r="X686" s="84"/>
      <c r="Y686" s="84"/>
      <c r="Z686" s="84"/>
    </row>
    <row r="687" spans="1:26" ht="15.75" customHeight="1" x14ac:dyDescent="0.25">
      <c r="A687" s="85" t="s">
        <v>1823</v>
      </c>
      <c r="B687" s="189" t="s">
        <v>515</v>
      </c>
      <c r="C687" s="9" t="s">
        <v>314</v>
      </c>
      <c r="D687" s="190">
        <v>4</v>
      </c>
      <c r="E687" s="191">
        <v>35</v>
      </c>
      <c r="F687" s="192">
        <v>9</v>
      </c>
      <c r="G687" s="191">
        <v>85</v>
      </c>
      <c r="H687" s="189" t="s">
        <v>474</v>
      </c>
      <c r="I687" s="193" t="s">
        <v>475</v>
      </c>
      <c r="J687" s="82">
        <v>100</v>
      </c>
      <c r="K687" s="83">
        <v>1</v>
      </c>
      <c r="O687" s="84"/>
      <c r="P687" s="84"/>
      <c r="Q687" s="84"/>
      <c r="R687" s="84"/>
      <c r="S687" s="84"/>
      <c r="T687" s="84"/>
      <c r="U687" s="84"/>
      <c r="V687" s="84"/>
      <c r="W687" s="84"/>
      <c r="X687" s="84"/>
      <c r="Y687" s="84"/>
      <c r="Z687" s="84"/>
    </row>
    <row r="688" spans="1:26" ht="15.75" customHeight="1" x14ac:dyDescent="0.25">
      <c r="A688" s="85" t="s">
        <v>1824</v>
      </c>
      <c r="B688" s="189" t="s">
        <v>515</v>
      </c>
      <c r="C688" s="9" t="s">
        <v>303</v>
      </c>
      <c r="D688" s="190">
        <v>10</v>
      </c>
      <c r="E688" s="191">
        <v>100</v>
      </c>
      <c r="F688" s="192">
        <v>10</v>
      </c>
      <c r="G688" s="191">
        <v>80</v>
      </c>
      <c r="H688" s="189" t="s">
        <v>1825</v>
      </c>
      <c r="I688" s="193" t="s">
        <v>1826</v>
      </c>
      <c r="J688" s="82" t="s">
        <v>305</v>
      </c>
      <c r="K688" s="83" t="s">
        <v>184</v>
      </c>
      <c r="O688" s="84"/>
      <c r="P688" s="84"/>
      <c r="Q688" s="84"/>
      <c r="R688" s="84"/>
      <c r="S688" s="84"/>
      <c r="T688" s="84"/>
      <c r="U688" s="84"/>
      <c r="V688" s="84"/>
      <c r="W688" s="84"/>
      <c r="X688" s="84"/>
      <c r="Y688" s="84"/>
      <c r="Z688" s="84"/>
    </row>
    <row r="689" spans="1:26" ht="15.75" customHeight="1" x14ac:dyDescent="0.25">
      <c r="A689" s="85" t="s">
        <v>1827</v>
      </c>
      <c r="B689" s="189" t="s">
        <v>313</v>
      </c>
      <c r="C689" s="9" t="s">
        <v>322</v>
      </c>
      <c r="D689" s="190" t="s">
        <v>304</v>
      </c>
      <c r="E689" s="191" t="s">
        <v>305</v>
      </c>
      <c r="F689" s="192" t="s">
        <v>304</v>
      </c>
      <c r="G689" s="191" t="s">
        <v>305</v>
      </c>
      <c r="H689" s="189" t="s">
        <v>1828</v>
      </c>
      <c r="I689" s="193" t="s">
        <v>1828</v>
      </c>
      <c r="J689" s="82" t="s">
        <v>305</v>
      </c>
      <c r="K689" s="83" t="s">
        <v>184</v>
      </c>
      <c r="O689" s="84"/>
      <c r="P689" s="84"/>
      <c r="Q689" s="84"/>
      <c r="R689" s="84"/>
      <c r="S689" s="84"/>
      <c r="T689" s="84"/>
      <c r="U689" s="84"/>
      <c r="V689" s="84"/>
      <c r="W689" s="84"/>
      <c r="X689" s="84"/>
      <c r="Y689" s="84"/>
      <c r="Z689" s="84"/>
    </row>
    <row r="690" spans="1:26" ht="15.75" customHeight="1" x14ac:dyDescent="0.25">
      <c r="A690" s="85" t="s">
        <v>1829</v>
      </c>
      <c r="B690" s="189" t="s">
        <v>309</v>
      </c>
      <c r="C690" s="9" t="s">
        <v>314</v>
      </c>
      <c r="D690" s="190">
        <v>9</v>
      </c>
      <c r="E690" s="191">
        <v>90</v>
      </c>
      <c r="F690" s="192">
        <v>6</v>
      </c>
      <c r="G690" s="191">
        <v>100</v>
      </c>
      <c r="H690" s="189" t="s">
        <v>1326</v>
      </c>
      <c r="I690" s="193" t="s">
        <v>1327</v>
      </c>
      <c r="J690" s="82">
        <v>100</v>
      </c>
      <c r="K690" s="83">
        <v>1</v>
      </c>
      <c r="O690" s="84"/>
      <c r="P690" s="84"/>
      <c r="Q690" s="84"/>
      <c r="R690" s="84"/>
      <c r="S690" s="84"/>
      <c r="T690" s="84"/>
      <c r="U690" s="84"/>
      <c r="V690" s="84"/>
      <c r="W690" s="84"/>
      <c r="X690" s="84"/>
      <c r="Y690" s="84"/>
      <c r="Z690" s="84"/>
    </row>
    <row r="691" spans="1:26" ht="15.75" customHeight="1" x14ac:dyDescent="0.25">
      <c r="A691" s="85" t="s">
        <v>1830</v>
      </c>
      <c r="B691" s="189" t="s">
        <v>411</v>
      </c>
      <c r="C691" s="9" t="s">
        <v>305</v>
      </c>
      <c r="D691" s="190" t="s">
        <v>304</v>
      </c>
      <c r="E691" s="191" t="s">
        <v>305</v>
      </c>
      <c r="F691" s="192" t="s">
        <v>304</v>
      </c>
      <c r="G691" s="191" t="s">
        <v>305</v>
      </c>
      <c r="H691" s="189" t="s">
        <v>1831</v>
      </c>
      <c r="I691" s="193" t="s">
        <v>1831</v>
      </c>
      <c r="J691" s="82" t="s">
        <v>305</v>
      </c>
      <c r="K691" s="83" t="s">
        <v>184</v>
      </c>
      <c r="O691" s="84"/>
      <c r="P691" s="84"/>
      <c r="Q691" s="84"/>
      <c r="R691" s="84"/>
      <c r="S691" s="84"/>
      <c r="T691" s="84"/>
      <c r="U691" s="84"/>
      <c r="V691" s="84"/>
      <c r="W691" s="84"/>
      <c r="X691" s="84"/>
      <c r="Y691" s="84"/>
      <c r="Z691" s="84"/>
    </row>
    <row r="692" spans="1:26" ht="15.75" customHeight="1" x14ac:dyDescent="0.25">
      <c r="A692" s="85" t="s">
        <v>1832</v>
      </c>
      <c r="B692" s="189" t="s">
        <v>377</v>
      </c>
      <c r="C692" s="9" t="s">
        <v>303</v>
      </c>
      <c r="D692" s="190">
        <v>8</v>
      </c>
      <c r="E692" s="191">
        <v>80</v>
      </c>
      <c r="F692" s="192">
        <v>6</v>
      </c>
      <c r="G692" s="191">
        <v>100</v>
      </c>
      <c r="H692" s="189" t="s">
        <v>502</v>
      </c>
      <c r="I692" s="193" t="s">
        <v>503</v>
      </c>
      <c r="J692" s="82">
        <v>30</v>
      </c>
      <c r="K692" s="83">
        <v>15</v>
      </c>
      <c r="O692" s="84"/>
      <c r="P692" s="84"/>
      <c r="Q692" s="84"/>
      <c r="R692" s="84"/>
      <c r="S692" s="84"/>
      <c r="T692" s="84"/>
      <c r="U692" s="84"/>
      <c r="V692" s="84"/>
      <c r="W692" s="84"/>
      <c r="X692" s="84"/>
      <c r="Y692" s="84"/>
      <c r="Z692" s="84"/>
    </row>
    <row r="693" spans="1:26" ht="15.75" customHeight="1" x14ac:dyDescent="0.25">
      <c r="A693" s="85" t="s">
        <v>1833</v>
      </c>
      <c r="B693" s="189" t="s">
        <v>530</v>
      </c>
      <c r="C693" s="9" t="s">
        <v>314</v>
      </c>
      <c r="D693" s="190">
        <v>3</v>
      </c>
      <c r="E693" s="191">
        <v>25</v>
      </c>
      <c r="F693" s="192">
        <v>8</v>
      </c>
      <c r="G693" s="191">
        <v>90</v>
      </c>
      <c r="H693" s="189" t="s">
        <v>1834</v>
      </c>
      <c r="I693" s="193" t="s">
        <v>1834</v>
      </c>
      <c r="J693" s="82" t="s">
        <v>305</v>
      </c>
      <c r="K693" s="83" t="s">
        <v>184</v>
      </c>
      <c r="O693" s="84"/>
      <c r="P693" s="84"/>
      <c r="Q693" s="84"/>
      <c r="R693" s="84"/>
      <c r="S693" s="84"/>
      <c r="T693" s="84"/>
      <c r="U693" s="84"/>
      <c r="V693" s="84"/>
      <c r="W693" s="84"/>
      <c r="X693" s="84"/>
      <c r="Y693" s="84"/>
      <c r="Z693" s="84"/>
    </row>
    <row r="694" spans="1:26" ht="15.75" customHeight="1" x14ac:dyDescent="0.25">
      <c r="A694" s="85" t="s">
        <v>1835</v>
      </c>
      <c r="B694" s="189" t="s">
        <v>335</v>
      </c>
      <c r="C694" s="9" t="s">
        <v>322</v>
      </c>
      <c r="D694" s="190" t="s">
        <v>304</v>
      </c>
      <c r="E694" s="191" t="s">
        <v>305</v>
      </c>
      <c r="F694" s="192">
        <v>6</v>
      </c>
      <c r="G694" s="191">
        <v>100</v>
      </c>
      <c r="H694" s="189" t="s">
        <v>671</v>
      </c>
      <c r="I694" s="193" t="s">
        <v>672</v>
      </c>
      <c r="J694" s="82" t="s">
        <v>305</v>
      </c>
      <c r="K694" s="83" t="s">
        <v>184</v>
      </c>
      <c r="O694" s="84"/>
      <c r="P694" s="84"/>
      <c r="Q694" s="84"/>
      <c r="R694" s="84"/>
      <c r="S694" s="84"/>
      <c r="T694" s="84"/>
      <c r="U694" s="84"/>
      <c r="V694" s="84"/>
      <c r="W694" s="84"/>
      <c r="X694" s="84"/>
      <c r="Y694" s="84"/>
      <c r="Z694" s="84"/>
    </row>
    <row r="695" spans="1:26" ht="15.75" customHeight="1" x14ac:dyDescent="0.25">
      <c r="A695" s="85" t="s">
        <v>1836</v>
      </c>
      <c r="B695" s="189" t="s">
        <v>515</v>
      </c>
      <c r="C695" s="9" t="s">
        <v>303</v>
      </c>
      <c r="D695" s="190">
        <v>7</v>
      </c>
      <c r="E695" s="191">
        <v>70</v>
      </c>
      <c r="F695" s="192">
        <v>6</v>
      </c>
      <c r="G695" s="191">
        <v>100</v>
      </c>
      <c r="H695" s="189" t="s">
        <v>1837</v>
      </c>
      <c r="I695" s="193" t="s">
        <v>1837</v>
      </c>
      <c r="J695" s="82" t="s">
        <v>305</v>
      </c>
      <c r="K695" s="83" t="s">
        <v>184</v>
      </c>
      <c r="O695" s="84"/>
      <c r="P695" s="84"/>
      <c r="Q695" s="84"/>
      <c r="R695" s="84"/>
      <c r="S695" s="84"/>
      <c r="T695" s="84"/>
      <c r="U695" s="84"/>
      <c r="V695" s="84"/>
      <c r="W695" s="84"/>
      <c r="X695" s="84"/>
      <c r="Y695" s="84"/>
      <c r="Z695" s="84"/>
    </row>
    <row r="696" spans="1:26" ht="15.75" customHeight="1" x14ac:dyDescent="0.25">
      <c r="A696" s="85" t="s">
        <v>1838</v>
      </c>
      <c r="B696" s="189" t="s">
        <v>335</v>
      </c>
      <c r="C696" s="9" t="s">
        <v>314</v>
      </c>
      <c r="D696" s="190">
        <v>4</v>
      </c>
      <c r="E696" s="191">
        <v>40</v>
      </c>
      <c r="F696" s="192">
        <v>6</v>
      </c>
      <c r="G696" s="191">
        <v>100</v>
      </c>
      <c r="H696" s="189" t="s">
        <v>1839</v>
      </c>
      <c r="I696" s="193" t="s">
        <v>1839</v>
      </c>
      <c r="J696" s="82" t="s">
        <v>305</v>
      </c>
      <c r="K696" s="83" t="s">
        <v>184</v>
      </c>
      <c r="O696" s="84"/>
      <c r="P696" s="84"/>
      <c r="Q696" s="84"/>
      <c r="R696" s="84"/>
      <c r="S696" s="84"/>
      <c r="T696" s="84"/>
      <c r="U696" s="84"/>
      <c r="V696" s="84"/>
      <c r="W696" s="84"/>
      <c r="X696" s="84"/>
      <c r="Y696" s="84"/>
      <c r="Z696" s="84"/>
    </row>
    <row r="697" spans="1:26" ht="15.75" customHeight="1" x14ac:dyDescent="0.25">
      <c r="A697" s="85" t="s">
        <v>1840</v>
      </c>
      <c r="B697" s="189" t="s">
        <v>335</v>
      </c>
      <c r="C697" s="9" t="s">
        <v>322</v>
      </c>
      <c r="D697" s="190" t="s">
        <v>304</v>
      </c>
      <c r="E697" s="191" t="s">
        <v>305</v>
      </c>
      <c r="F697" s="192">
        <v>9</v>
      </c>
      <c r="G697" s="191">
        <v>85</v>
      </c>
      <c r="H697" s="189" t="s">
        <v>1841</v>
      </c>
      <c r="I697" s="193" t="s">
        <v>1842</v>
      </c>
      <c r="J697" s="82" t="s">
        <v>305</v>
      </c>
      <c r="K697" s="83" t="s">
        <v>184</v>
      </c>
      <c r="O697" s="84"/>
      <c r="P697" s="84"/>
      <c r="Q697" s="84"/>
      <c r="R697" s="84"/>
      <c r="S697" s="84"/>
      <c r="T697" s="84"/>
      <c r="U697" s="84"/>
      <c r="V697" s="84"/>
      <c r="W697" s="84"/>
      <c r="X697" s="84"/>
      <c r="Y697" s="84"/>
      <c r="Z697" s="84"/>
    </row>
    <row r="698" spans="1:26" ht="15.75" customHeight="1" x14ac:dyDescent="0.25">
      <c r="A698" s="85" t="s">
        <v>1843</v>
      </c>
      <c r="B698" s="189" t="s">
        <v>390</v>
      </c>
      <c r="C698" s="9" t="s">
        <v>303</v>
      </c>
      <c r="D698" s="190">
        <v>10</v>
      </c>
      <c r="E698" s="191">
        <v>100</v>
      </c>
      <c r="F698" s="192">
        <v>6</v>
      </c>
      <c r="G698" s="191">
        <v>100</v>
      </c>
      <c r="H698" s="189" t="s">
        <v>502</v>
      </c>
      <c r="I698" s="193" t="s">
        <v>503</v>
      </c>
      <c r="J698" s="82">
        <v>30</v>
      </c>
      <c r="K698" s="83">
        <v>15</v>
      </c>
      <c r="O698" s="84"/>
      <c r="P698" s="84"/>
      <c r="Q698" s="84"/>
      <c r="R698" s="84"/>
      <c r="S698" s="84"/>
      <c r="T698" s="84"/>
      <c r="U698" s="84"/>
      <c r="V698" s="84"/>
      <c r="W698" s="84"/>
      <c r="X698" s="84"/>
      <c r="Y698" s="84"/>
      <c r="Z698" s="84"/>
    </row>
    <row r="699" spans="1:26" ht="15.75" customHeight="1" x14ac:dyDescent="0.25">
      <c r="A699" s="85" t="s">
        <v>1844</v>
      </c>
      <c r="B699" s="189" t="s">
        <v>367</v>
      </c>
      <c r="C699" s="9" t="s">
        <v>314</v>
      </c>
      <c r="D699" s="190">
        <v>20</v>
      </c>
      <c r="E699" s="191">
        <v>200</v>
      </c>
      <c r="F699" s="192" t="s">
        <v>304</v>
      </c>
      <c r="G699" s="191" t="s">
        <v>305</v>
      </c>
      <c r="H699" s="189" t="s">
        <v>1845</v>
      </c>
      <c r="I699" s="193" t="s">
        <v>1845</v>
      </c>
      <c r="J699" s="82" t="s">
        <v>305</v>
      </c>
      <c r="K699" s="83" t="s">
        <v>184</v>
      </c>
      <c r="O699" s="84"/>
      <c r="P699" s="84"/>
      <c r="Q699" s="84"/>
      <c r="R699" s="84"/>
      <c r="S699" s="84"/>
      <c r="T699" s="84"/>
      <c r="U699" s="84"/>
      <c r="V699" s="84"/>
      <c r="W699" s="84"/>
      <c r="X699" s="84"/>
      <c r="Y699" s="84"/>
      <c r="Z699" s="84"/>
    </row>
    <row r="700" spans="1:26" ht="15.75" customHeight="1" x14ac:dyDescent="0.25">
      <c r="A700" s="85" t="s">
        <v>1846</v>
      </c>
      <c r="B700" s="189" t="s">
        <v>335</v>
      </c>
      <c r="C700" s="9" t="s">
        <v>314</v>
      </c>
      <c r="D700" s="190">
        <v>7</v>
      </c>
      <c r="E700" s="191">
        <v>70</v>
      </c>
      <c r="F700" s="192">
        <v>6</v>
      </c>
      <c r="G700" s="191">
        <v>100</v>
      </c>
      <c r="H700" s="189" t="s">
        <v>1847</v>
      </c>
      <c r="I700" s="193" t="s">
        <v>1847</v>
      </c>
      <c r="J700" s="82">
        <v>30</v>
      </c>
      <c r="K700" s="83">
        <v>15</v>
      </c>
      <c r="O700" s="84"/>
      <c r="P700" s="84"/>
      <c r="Q700" s="84"/>
      <c r="R700" s="84"/>
      <c r="S700" s="84"/>
      <c r="T700" s="84"/>
      <c r="U700" s="84"/>
      <c r="V700" s="84"/>
      <c r="W700" s="84"/>
      <c r="X700" s="84"/>
      <c r="Y700" s="84"/>
      <c r="Z700" s="84"/>
    </row>
    <row r="701" spans="1:26" ht="15.75" customHeight="1" x14ac:dyDescent="0.25">
      <c r="A701" s="85" t="s">
        <v>1848</v>
      </c>
      <c r="B701" s="189" t="s">
        <v>356</v>
      </c>
      <c r="C701" s="9" t="s">
        <v>303</v>
      </c>
      <c r="D701" s="190">
        <v>9</v>
      </c>
      <c r="E701" s="191">
        <v>85</v>
      </c>
      <c r="F701" s="192">
        <v>6</v>
      </c>
      <c r="G701" s="191">
        <v>100</v>
      </c>
      <c r="H701" s="189" t="s">
        <v>1699</v>
      </c>
      <c r="I701" s="193" t="s">
        <v>1700</v>
      </c>
      <c r="J701" s="82" t="s">
        <v>305</v>
      </c>
      <c r="K701" s="83" t="s">
        <v>184</v>
      </c>
      <c r="O701" s="84"/>
      <c r="P701" s="84"/>
      <c r="Q701" s="84"/>
      <c r="R701" s="84"/>
      <c r="S701" s="84"/>
      <c r="T701" s="84"/>
      <c r="U701" s="84"/>
      <c r="V701" s="84"/>
      <c r="W701" s="84"/>
      <c r="X701" s="84"/>
      <c r="Y701" s="84"/>
      <c r="Z701" s="84"/>
    </row>
    <row r="702" spans="1:26" ht="15.75" customHeight="1" x14ac:dyDescent="0.25">
      <c r="A702" s="85" t="s">
        <v>1849</v>
      </c>
      <c r="B702" s="189" t="s">
        <v>309</v>
      </c>
      <c r="C702" s="9" t="s">
        <v>314</v>
      </c>
      <c r="D702" s="190">
        <v>8</v>
      </c>
      <c r="E702" s="191">
        <v>80</v>
      </c>
      <c r="F702" s="192">
        <v>6</v>
      </c>
      <c r="G702" s="191">
        <v>100</v>
      </c>
      <c r="H702" s="189"/>
      <c r="I702" s="193" t="s">
        <v>184</v>
      </c>
      <c r="J702" s="82" t="s">
        <v>305</v>
      </c>
      <c r="K702" s="83" t="s">
        <v>184</v>
      </c>
      <c r="O702" s="84"/>
      <c r="P702" s="84"/>
      <c r="Q702" s="84"/>
      <c r="R702" s="84"/>
      <c r="S702" s="84"/>
      <c r="T702" s="84"/>
      <c r="U702" s="84"/>
      <c r="V702" s="84"/>
      <c r="W702" s="84"/>
      <c r="X702" s="84"/>
      <c r="Y702" s="84"/>
      <c r="Z702" s="84"/>
    </row>
    <row r="703" spans="1:26" ht="15.75" customHeight="1" x14ac:dyDescent="0.25">
      <c r="A703" s="85" t="s">
        <v>1850</v>
      </c>
      <c r="B703" s="189" t="s">
        <v>309</v>
      </c>
      <c r="C703" s="9" t="s">
        <v>303</v>
      </c>
      <c r="D703" s="190">
        <v>12</v>
      </c>
      <c r="E703" s="191">
        <v>120</v>
      </c>
      <c r="F703" s="192">
        <v>9</v>
      </c>
      <c r="G703" s="191">
        <v>85</v>
      </c>
      <c r="H703" s="189" t="s">
        <v>319</v>
      </c>
      <c r="I703" s="193" t="s">
        <v>320</v>
      </c>
      <c r="J703" s="82">
        <v>40</v>
      </c>
      <c r="K703" s="83">
        <v>13</v>
      </c>
      <c r="O703" s="84"/>
      <c r="P703" s="84"/>
      <c r="Q703" s="84"/>
      <c r="R703" s="84"/>
      <c r="S703" s="84"/>
      <c r="T703" s="84"/>
      <c r="U703" s="84"/>
      <c r="V703" s="84"/>
      <c r="W703" s="84"/>
      <c r="X703" s="84"/>
      <c r="Y703" s="84"/>
      <c r="Z703" s="84"/>
    </row>
    <row r="704" spans="1:26" ht="15.75" customHeight="1" x14ac:dyDescent="0.25">
      <c r="A704" s="85" t="s">
        <v>1851</v>
      </c>
      <c r="B704" s="189" t="s">
        <v>356</v>
      </c>
      <c r="C704" s="9" t="s">
        <v>314</v>
      </c>
      <c r="D704" s="190" t="s">
        <v>304</v>
      </c>
      <c r="E704" s="191" t="s">
        <v>305</v>
      </c>
      <c r="F704" s="192">
        <v>6</v>
      </c>
      <c r="G704" s="191">
        <v>100</v>
      </c>
      <c r="H704" s="189" t="s">
        <v>1553</v>
      </c>
      <c r="I704" s="193" t="s">
        <v>1852</v>
      </c>
      <c r="J704" s="82" t="s">
        <v>305</v>
      </c>
      <c r="K704" s="83" t="s">
        <v>184</v>
      </c>
      <c r="O704" s="84"/>
      <c r="P704" s="84"/>
      <c r="Q704" s="84"/>
      <c r="R704" s="84"/>
      <c r="S704" s="84"/>
      <c r="T704" s="84"/>
      <c r="U704" s="84"/>
      <c r="V704" s="84"/>
      <c r="W704" s="84"/>
      <c r="X704" s="84"/>
      <c r="Y704" s="84"/>
      <c r="Z704" s="84"/>
    </row>
    <row r="705" spans="1:26" ht="15.75" customHeight="1" x14ac:dyDescent="0.25">
      <c r="A705" s="85" t="s">
        <v>1853</v>
      </c>
      <c r="B705" s="189" t="s">
        <v>335</v>
      </c>
      <c r="C705" s="9" t="s">
        <v>314</v>
      </c>
      <c r="D705" s="190">
        <v>20</v>
      </c>
      <c r="E705" s="191">
        <v>200</v>
      </c>
      <c r="F705" s="192">
        <v>6</v>
      </c>
      <c r="G705" s="191">
        <v>100</v>
      </c>
      <c r="H705" s="189" t="s">
        <v>853</v>
      </c>
      <c r="I705" s="193" t="s">
        <v>853</v>
      </c>
      <c r="J705" s="82" t="s">
        <v>305</v>
      </c>
      <c r="K705" s="83" t="s">
        <v>184</v>
      </c>
      <c r="O705" s="84"/>
      <c r="P705" s="84"/>
      <c r="Q705" s="84"/>
      <c r="R705" s="84"/>
      <c r="S705" s="84"/>
      <c r="T705" s="84"/>
      <c r="U705" s="84"/>
      <c r="V705" s="84"/>
      <c r="W705" s="84"/>
      <c r="X705" s="84"/>
      <c r="Y705" s="84"/>
      <c r="Z705" s="84"/>
    </row>
    <row r="706" spans="1:26" ht="15.75" customHeight="1" x14ac:dyDescent="0.25">
      <c r="A706" s="85" t="s">
        <v>1854</v>
      </c>
      <c r="B706" s="189" t="s">
        <v>407</v>
      </c>
      <c r="C706" s="9" t="s">
        <v>303</v>
      </c>
      <c r="D706" s="190">
        <v>8</v>
      </c>
      <c r="E706" s="191">
        <v>80</v>
      </c>
      <c r="F706" s="192">
        <v>6</v>
      </c>
      <c r="G706" s="191">
        <v>100</v>
      </c>
      <c r="H706" s="189" t="s">
        <v>319</v>
      </c>
      <c r="I706" s="193" t="s">
        <v>320</v>
      </c>
      <c r="J706" s="82">
        <v>20</v>
      </c>
      <c r="K706" s="83">
        <v>17</v>
      </c>
      <c r="O706" s="84"/>
      <c r="P706" s="84"/>
      <c r="Q706" s="84"/>
      <c r="R706" s="84"/>
      <c r="S706" s="84"/>
      <c r="T706" s="84"/>
      <c r="U706" s="84"/>
      <c r="V706" s="84"/>
      <c r="W706" s="84"/>
      <c r="X706" s="84"/>
      <c r="Y706" s="84"/>
      <c r="Z706" s="84"/>
    </row>
    <row r="707" spans="1:26" ht="15.75" customHeight="1" x14ac:dyDescent="0.25">
      <c r="A707" s="85" t="s">
        <v>1855</v>
      </c>
      <c r="B707" s="189" t="s">
        <v>407</v>
      </c>
      <c r="C707" s="9" t="s">
        <v>314</v>
      </c>
      <c r="D707" s="190">
        <v>9</v>
      </c>
      <c r="E707" s="191">
        <v>85</v>
      </c>
      <c r="F707" s="192">
        <v>6</v>
      </c>
      <c r="G707" s="191">
        <v>100</v>
      </c>
      <c r="H707" s="189" t="s">
        <v>689</v>
      </c>
      <c r="I707" s="193" t="s">
        <v>690</v>
      </c>
      <c r="J707" s="82">
        <v>20</v>
      </c>
      <c r="K707" s="83">
        <v>17</v>
      </c>
      <c r="O707" s="84"/>
      <c r="P707" s="84"/>
      <c r="Q707" s="84"/>
      <c r="R707" s="84"/>
      <c r="S707" s="84"/>
      <c r="T707" s="84"/>
      <c r="U707" s="84"/>
      <c r="V707" s="84"/>
      <c r="W707" s="84"/>
      <c r="X707" s="84"/>
      <c r="Y707" s="84"/>
      <c r="Z707" s="84"/>
    </row>
    <row r="708" spans="1:26" ht="15.75" customHeight="1" x14ac:dyDescent="0.25">
      <c r="A708" s="85" t="s">
        <v>1856</v>
      </c>
      <c r="B708" s="189" t="s">
        <v>407</v>
      </c>
      <c r="C708" s="9" t="s">
        <v>314</v>
      </c>
      <c r="D708" s="190">
        <v>7</v>
      </c>
      <c r="E708" s="191">
        <v>70</v>
      </c>
      <c r="F708" s="192">
        <v>6</v>
      </c>
      <c r="G708" s="191">
        <v>100</v>
      </c>
      <c r="H708" s="189" t="s">
        <v>342</v>
      </c>
      <c r="I708" s="193" t="s">
        <v>343</v>
      </c>
      <c r="J708" s="82" t="s">
        <v>305</v>
      </c>
      <c r="K708" s="83" t="s">
        <v>184</v>
      </c>
      <c r="O708" s="84"/>
      <c r="P708" s="84"/>
      <c r="Q708" s="84"/>
      <c r="R708" s="84"/>
      <c r="S708" s="84"/>
      <c r="T708" s="84"/>
      <c r="U708" s="84"/>
      <c r="V708" s="84"/>
      <c r="W708" s="84"/>
      <c r="X708" s="84"/>
      <c r="Y708" s="84"/>
      <c r="Z708" s="84"/>
    </row>
    <row r="709" spans="1:26" ht="15.75" customHeight="1" x14ac:dyDescent="0.25">
      <c r="A709" s="85" t="s">
        <v>1857</v>
      </c>
      <c r="B709" s="189" t="s">
        <v>407</v>
      </c>
      <c r="C709" s="9" t="s">
        <v>314</v>
      </c>
      <c r="D709" s="190">
        <v>12</v>
      </c>
      <c r="E709" s="191">
        <v>120</v>
      </c>
      <c r="F709" s="192">
        <v>6</v>
      </c>
      <c r="G709" s="191">
        <v>100</v>
      </c>
      <c r="H709" s="189" t="s">
        <v>1606</v>
      </c>
      <c r="I709" s="193" t="s">
        <v>1606</v>
      </c>
      <c r="J709" s="82" t="s">
        <v>305</v>
      </c>
      <c r="K709" s="83" t="s">
        <v>184</v>
      </c>
      <c r="O709" s="84"/>
      <c r="P709" s="84"/>
      <c r="Q709" s="84"/>
      <c r="R709" s="84"/>
      <c r="S709" s="84"/>
      <c r="T709" s="84"/>
      <c r="U709" s="84"/>
      <c r="V709" s="84"/>
      <c r="W709" s="84"/>
      <c r="X709" s="84"/>
      <c r="Y709" s="84"/>
      <c r="Z709" s="84"/>
    </row>
    <row r="710" spans="1:26" ht="15.75" customHeight="1" x14ac:dyDescent="0.25">
      <c r="A710" s="85" t="s">
        <v>1858</v>
      </c>
      <c r="B710" s="189" t="s">
        <v>407</v>
      </c>
      <c r="C710" s="9" t="s">
        <v>314</v>
      </c>
      <c r="D710" s="190">
        <v>6</v>
      </c>
      <c r="E710" s="191">
        <v>60</v>
      </c>
      <c r="F710" s="192">
        <v>24.4</v>
      </c>
      <c r="G710" s="191">
        <v>8</v>
      </c>
      <c r="H710" s="189" t="s">
        <v>339</v>
      </c>
      <c r="I710" s="193" t="s">
        <v>340</v>
      </c>
      <c r="J710" s="82" t="s">
        <v>305</v>
      </c>
      <c r="K710" s="83" t="s">
        <v>184</v>
      </c>
      <c r="O710" s="84"/>
      <c r="P710" s="84"/>
      <c r="Q710" s="84"/>
      <c r="R710" s="84"/>
      <c r="S710" s="84"/>
      <c r="T710" s="84"/>
      <c r="U710" s="84"/>
      <c r="V710" s="84"/>
      <c r="W710" s="84"/>
      <c r="X710" s="84"/>
      <c r="Y710" s="84"/>
      <c r="Z710" s="84"/>
    </row>
    <row r="711" spans="1:26" ht="15.75" customHeight="1" x14ac:dyDescent="0.25">
      <c r="A711" s="85" t="s">
        <v>1859</v>
      </c>
      <c r="B711" s="189" t="s">
        <v>407</v>
      </c>
      <c r="C711" s="9" t="s">
        <v>314</v>
      </c>
      <c r="D711" s="190">
        <v>4</v>
      </c>
      <c r="E711" s="191">
        <v>40</v>
      </c>
      <c r="F711" s="192">
        <v>6</v>
      </c>
      <c r="G711" s="191">
        <v>100</v>
      </c>
      <c r="H711" s="189" t="s">
        <v>315</v>
      </c>
      <c r="I711" s="193" t="s">
        <v>316</v>
      </c>
      <c r="J711" s="82" t="s">
        <v>305</v>
      </c>
      <c r="K711" s="83" t="s">
        <v>184</v>
      </c>
      <c r="O711" s="84"/>
      <c r="P711" s="84"/>
      <c r="Q711" s="84"/>
      <c r="R711" s="84"/>
      <c r="S711" s="84"/>
      <c r="T711" s="84"/>
      <c r="U711" s="84"/>
      <c r="V711" s="84"/>
      <c r="W711" s="84"/>
      <c r="X711" s="84"/>
      <c r="Y711" s="84"/>
      <c r="Z711" s="84"/>
    </row>
    <row r="712" spans="1:26" ht="15.75" customHeight="1" x14ac:dyDescent="0.25">
      <c r="A712" s="85" t="s">
        <v>1860</v>
      </c>
      <c r="B712" s="189" t="s">
        <v>335</v>
      </c>
      <c r="C712" s="9" t="s">
        <v>322</v>
      </c>
      <c r="D712" s="190" t="s">
        <v>304</v>
      </c>
      <c r="E712" s="191" t="s">
        <v>305</v>
      </c>
      <c r="F712" s="192" t="s">
        <v>304</v>
      </c>
      <c r="G712" s="191" t="s">
        <v>305</v>
      </c>
      <c r="H712" s="189" t="s">
        <v>1455</v>
      </c>
      <c r="I712" s="193" t="s">
        <v>1219</v>
      </c>
      <c r="J712" s="82" t="s">
        <v>305</v>
      </c>
      <c r="K712" s="83" t="s">
        <v>184</v>
      </c>
      <c r="O712" s="84"/>
      <c r="P712" s="84"/>
      <c r="Q712" s="84"/>
      <c r="R712" s="84"/>
      <c r="S712" s="84"/>
      <c r="T712" s="84"/>
      <c r="U712" s="84"/>
      <c r="V712" s="84"/>
      <c r="W712" s="84"/>
      <c r="X712" s="84"/>
      <c r="Y712" s="84"/>
      <c r="Z712" s="84"/>
    </row>
    <row r="713" spans="1:26" ht="15.75" customHeight="1" x14ac:dyDescent="0.25">
      <c r="A713" s="85" t="s">
        <v>1861</v>
      </c>
      <c r="B713" s="189" t="s">
        <v>348</v>
      </c>
      <c r="C713" s="9" t="s">
        <v>305</v>
      </c>
      <c r="D713" s="190" t="s">
        <v>304</v>
      </c>
      <c r="E713" s="191" t="s">
        <v>305</v>
      </c>
      <c r="F713" s="192" t="s">
        <v>304</v>
      </c>
      <c r="G713" s="191" t="s">
        <v>305</v>
      </c>
      <c r="H713" s="189" t="s">
        <v>1862</v>
      </c>
      <c r="I713" s="193" t="s">
        <v>1862</v>
      </c>
      <c r="J713" s="82" t="s">
        <v>305</v>
      </c>
      <c r="K713" s="83" t="s">
        <v>184</v>
      </c>
      <c r="O713" s="84"/>
      <c r="P713" s="84"/>
      <c r="Q713" s="84"/>
      <c r="R713" s="84"/>
      <c r="S713" s="84"/>
      <c r="T713" s="84"/>
      <c r="U713" s="84"/>
      <c r="V713" s="84"/>
      <c r="W713" s="84"/>
      <c r="X713" s="84"/>
      <c r="Y713" s="84"/>
      <c r="Z713" s="84"/>
    </row>
    <row r="714" spans="1:26" ht="15.75" customHeight="1" x14ac:dyDescent="0.25">
      <c r="A714" s="85" t="s">
        <v>1863</v>
      </c>
      <c r="B714" s="189" t="s">
        <v>335</v>
      </c>
      <c r="C714" s="9" t="s">
        <v>322</v>
      </c>
      <c r="D714" s="190" t="s">
        <v>304</v>
      </c>
      <c r="E714" s="191" t="s">
        <v>305</v>
      </c>
      <c r="F714" s="192" t="s">
        <v>304</v>
      </c>
      <c r="G714" s="191" t="s">
        <v>305</v>
      </c>
      <c r="H714" s="189" t="s">
        <v>1864</v>
      </c>
      <c r="I714" s="193" t="s">
        <v>1865</v>
      </c>
      <c r="J714" s="82" t="s">
        <v>305</v>
      </c>
      <c r="K714" s="83" t="s">
        <v>184</v>
      </c>
      <c r="O714" s="84"/>
      <c r="P714" s="84"/>
      <c r="Q714" s="84"/>
      <c r="R714" s="84"/>
      <c r="S714" s="84"/>
      <c r="T714" s="84"/>
      <c r="U714" s="84"/>
      <c r="V714" s="84"/>
      <c r="W714" s="84"/>
      <c r="X714" s="84"/>
      <c r="Y714" s="84"/>
      <c r="Z714" s="84"/>
    </row>
    <row r="715" spans="1:26" ht="15.75" customHeight="1" x14ac:dyDescent="0.25">
      <c r="A715" s="85" t="s">
        <v>1866</v>
      </c>
      <c r="B715" s="189" t="s">
        <v>419</v>
      </c>
      <c r="C715" s="9" t="s">
        <v>303</v>
      </c>
      <c r="D715" s="190" t="s">
        <v>304</v>
      </c>
      <c r="E715" s="191" t="s">
        <v>305</v>
      </c>
      <c r="F715" s="192">
        <v>20</v>
      </c>
      <c r="G715" s="191">
        <v>30</v>
      </c>
      <c r="H715" s="189" t="s">
        <v>906</v>
      </c>
      <c r="I715" s="193" t="s">
        <v>907</v>
      </c>
      <c r="J715" s="82" t="s">
        <v>305</v>
      </c>
      <c r="K715" s="83" t="s">
        <v>184</v>
      </c>
      <c r="O715" s="84"/>
      <c r="P715" s="84"/>
      <c r="Q715" s="84"/>
      <c r="R715" s="84"/>
      <c r="S715" s="84"/>
      <c r="T715" s="84"/>
      <c r="U715" s="84"/>
      <c r="V715" s="84"/>
      <c r="W715" s="84"/>
      <c r="X715" s="84"/>
      <c r="Y715" s="84"/>
      <c r="Z715" s="84"/>
    </row>
    <row r="716" spans="1:26" ht="15.75" customHeight="1" x14ac:dyDescent="0.25">
      <c r="A716" s="85" t="s">
        <v>1867</v>
      </c>
      <c r="B716" s="189" t="s">
        <v>318</v>
      </c>
      <c r="C716" s="9" t="s">
        <v>303</v>
      </c>
      <c r="D716" s="190">
        <v>9</v>
      </c>
      <c r="E716" s="191">
        <v>90</v>
      </c>
      <c r="F716" s="192">
        <v>6</v>
      </c>
      <c r="G716" s="191">
        <v>100</v>
      </c>
      <c r="H716" s="189" t="s">
        <v>1868</v>
      </c>
      <c r="I716" s="193" t="s">
        <v>1868</v>
      </c>
      <c r="J716" s="82" t="s">
        <v>305</v>
      </c>
      <c r="K716" s="83" t="s">
        <v>184</v>
      </c>
      <c r="O716" s="84"/>
      <c r="P716" s="84"/>
      <c r="Q716" s="84"/>
      <c r="R716" s="84"/>
      <c r="S716" s="84"/>
      <c r="T716" s="84"/>
      <c r="U716" s="84"/>
      <c r="V716" s="84"/>
      <c r="W716" s="84"/>
      <c r="X716" s="84"/>
      <c r="Y716" s="84"/>
      <c r="Z716" s="84"/>
    </row>
    <row r="717" spans="1:26" ht="15.75" customHeight="1" x14ac:dyDescent="0.25">
      <c r="A717" s="85" t="s">
        <v>1869</v>
      </c>
      <c r="B717" s="189" t="s">
        <v>335</v>
      </c>
      <c r="C717" s="9" t="s">
        <v>322</v>
      </c>
      <c r="D717" s="190" t="s">
        <v>304</v>
      </c>
      <c r="E717" s="191" t="s">
        <v>305</v>
      </c>
      <c r="F717" s="192" t="s">
        <v>304</v>
      </c>
      <c r="G717" s="191" t="s">
        <v>305</v>
      </c>
      <c r="H717" s="189" t="s">
        <v>1870</v>
      </c>
      <c r="I717" s="193" t="s">
        <v>1871</v>
      </c>
      <c r="J717" s="82" t="s">
        <v>305</v>
      </c>
      <c r="K717" s="83" t="s">
        <v>184</v>
      </c>
      <c r="O717" s="84"/>
      <c r="P717" s="84"/>
      <c r="Q717" s="84"/>
      <c r="R717" s="84"/>
      <c r="S717" s="84"/>
      <c r="T717" s="84"/>
      <c r="U717" s="84"/>
      <c r="V717" s="84"/>
      <c r="W717" s="84"/>
      <c r="X717" s="84"/>
      <c r="Y717" s="84"/>
      <c r="Z717" s="84"/>
    </row>
    <row r="718" spans="1:26" ht="15.75" customHeight="1" x14ac:dyDescent="0.25">
      <c r="A718" s="85" t="s">
        <v>1872</v>
      </c>
      <c r="B718" s="189" t="s">
        <v>390</v>
      </c>
      <c r="C718" s="9" t="s">
        <v>303</v>
      </c>
      <c r="D718" s="190">
        <v>15</v>
      </c>
      <c r="E718" s="191">
        <v>150</v>
      </c>
      <c r="F718" s="192">
        <v>6</v>
      </c>
      <c r="G718" s="191">
        <v>100</v>
      </c>
      <c r="H718" s="189" t="s">
        <v>1873</v>
      </c>
      <c r="I718" s="193" t="s">
        <v>1874</v>
      </c>
      <c r="J718" s="82" t="s">
        <v>305</v>
      </c>
      <c r="K718" s="83" t="s">
        <v>184</v>
      </c>
      <c r="O718" s="84"/>
      <c r="P718" s="84"/>
      <c r="Q718" s="84"/>
      <c r="R718" s="84"/>
      <c r="S718" s="84"/>
      <c r="T718" s="84"/>
      <c r="U718" s="84"/>
      <c r="V718" s="84"/>
      <c r="W718" s="84"/>
      <c r="X718" s="84"/>
      <c r="Y718" s="84"/>
      <c r="Z718" s="84"/>
    </row>
    <row r="719" spans="1:26" ht="15.75" customHeight="1" x14ac:dyDescent="0.25">
      <c r="A719" s="85" t="s">
        <v>1875</v>
      </c>
      <c r="B719" s="189" t="s">
        <v>367</v>
      </c>
      <c r="C719" s="9" t="s">
        <v>322</v>
      </c>
      <c r="D719" s="190" t="s">
        <v>304</v>
      </c>
      <c r="E719" s="191" t="s">
        <v>305</v>
      </c>
      <c r="F719" s="192" t="s">
        <v>304</v>
      </c>
      <c r="G719" s="191" t="s">
        <v>305</v>
      </c>
      <c r="H719" s="189" t="s">
        <v>1876</v>
      </c>
      <c r="I719" s="193" t="s">
        <v>1877</v>
      </c>
      <c r="J719" s="82" t="s">
        <v>305</v>
      </c>
      <c r="K719" s="83" t="s">
        <v>184</v>
      </c>
      <c r="O719" s="84"/>
      <c r="P719" s="84"/>
      <c r="Q719" s="84"/>
      <c r="R719" s="84"/>
      <c r="S719" s="84"/>
      <c r="T719" s="84"/>
      <c r="U719" s="84"/>
      <c r="V719" s="84"/>
      <c r="W719" s="84"/>
      <c r="X719" s="84"/>
      <c r="Y719" s="84"/>
      <c r="Z719" s="84"/>
    </row>
    <row r="720" spans="1:26" ht="15.75" customHeight="1" x14ac:dyDescent="0.25">
      <c r="A720" s="85" t="s">
        <v>1878</v>
      </c>
      <c r="B720" s="189" t="s">
        <v>367</v>
      </c>
      <c r="C720" s="9" t="s">
        <v>322</v>
      </c>
      <c r="D720" s="190" t="s">
        <v>304</v>
      </c>
      <c r="E720" s="191" t="s">
        <v>305</v>
      </c>
      <c r="F720" s="192" t="s">
        <v>304</v>
      </c>
      <c r="G720" s="191" t="s">
        <v>305</v>
      </c>
      <c r="H720" s="189" t="s">
        <v>1879</v>
      </c>
      <c r="I720" s="193" t="s">
        <v>1880</v>
      </c>
      <c r="J720" s="82" t="s">
        <v>305</v>
      </c>
      <c r="K720" s="83" t="s">
        <v>184</v>
      </c>
      <c r="O720" s="84"/>
      <c r="P720" s="84"/>
      <c r="Q720" s="84"/>
      <c r="R720" s="84"/>
      <c r="S720" s="84"/>
      <c r="T720" s="84"/>
      <c r="U720" s="84"/>
      <c r="V720" s="84"/>
      <c r="W720" s="84"/>
      <c r="X720" s="84"/>
      <c r="Y720" s="84"/>
      <c r="Z720" s="84"/>
    </row>
    <row r="721" spans="1:26" ht="15.75" customHeight="1" x14ac:dyDescent="0.25">
      <c r="A721" s="85" t="s">
        <v>1881</v>
      </c>
      <c r="B721" s="189" t="s">
        <v>302</v>
      </c>
      <c r="C721" s="9" t="s">
        <v>303</v>
      </c>
      <c r="D721" s="190">
        <v>6</v>
      </c>
      <c r="E721" s="191">
        <v>60</v>
      </c>
      <c r="F721" s="192">
        <v>24.4</v>
      </c>
      <c r="G721" s="191">
        <v>8</v>
      </c>
      <c r="H721" s="189" t="s">
        <v>339</v>
      </c>
      <c r="I721" s="193" t="s">
        <v>340</v>
      </c>
      <c r="J721" s="82" t="s">
        <v>305</v>
      </c>
      <c r="K721" s="83" t="s">
        <v>184</v>
      </c>
      <c r="O721" s="84"/>
      <c r="P721" s="84"/>
      <c r="Q721" s="84"/>
      <c r="R721" s="84"/>
      <c r="S721" s="84"/>
      <c r="T721" s="84"/>
      <c r="U721" s="84"/>
      <c r="V721" s="84"/>
      <c r="W721" s="84"/>
      <c r="X721" s="84"/>
      <c r="Y721" s="84"/>
      <c r="Z721" s="84"/>
    </row>
    <row r="722" spans="1:26" ht="15.75" customHeight="1" x14ac:dyDescent="0.25">
      <c r="A722" s="85" t="s">
        <v>1882</v>
      </c>
      <c r="B722" s="189" t="s">
        <v>515</v>
      </c>
      <c r="C722" s="9" t="s">
        <v>322</v>
      </c>
      <c r="D722" s="190" t="s">
        <v>304</v>
      </c>
      <c r="E722" s="191" t="s">
        <v>305</v>
      </c>
      <c r="F722" s="192" t="s">
        <v>304</v>
      </c>
      <c r="G722" s="191" t="s">
        <v>305</v>
      </c>
      <c r="H722" s="189" t="s">
        <v>1883</v>
      </c>
      <c r="I722" s="193" t="s">
        <v>1884</v>
      </c>
      <c r="J722" s="82" t="s">
        <v>305</v>
      </c>
      <c r="K722" s="83" t="s">
        <v>184</v>
      </c>
      <c r="O722" s="84"/>
      <c r="P722" s="84"/>
      <c r="Q722" s="84"/>
      <c r="R722" s="84"/>
      <c r="S722" s="84"/>
      <c r="T722" s="84"/>
      <c r="U722" s="84"/>
      <c r="V722" s="84"/>
      <c r="W722" s="84"/>
      <c r="X722" s="84"/>
      <c r="Y722" s="84"/>
      <c r="Z722" s="84"/>
    </row>
    <row r="723" spans="1:26" ht="15.75" customHeight="1" x14ac:dyDescent="0.25">
      <c r="A723" s="85" t="s">
        <v>1885</v>
      </c>
      <c r="B723" s="189" t="s">
        <v>411</v>
      </c>
      <c r="C723" s="9" t="s">
        <v>303</v>
      </c>
      <c r="D723" s="190">
        <v>8</v>
      </c>
      <c r="E723" s="191">
        <v>75</v>
      </c>
      <c r="F723" s="192">
        <v>6</v>
      </c>
      <c r="G723" s="191">
        <v>100</v>
      </c>
      <c r="H723" s="189" t="s">
        <v>644</v>
      </c>
      <c r="I723" s="193" t="s">
        <v>645</v>
      </c>
      <c r="J723" s="82">
        <v>10</v>
      </c>
      <c r="K723" s="83">
        <v>19</v>
      </c>
      <c r="O723" s="84"/>
      <c r="P723" s="84"/>
      <c r="Q723" s="84"/>
      <c r="R723" s="84"/>
      <c r="S723" s="84"/>
      <c r="T723" s="84"/>
      <c r="U723" s="84"/>
      <c r="V723" s="84"/>
      <c r="W723" s="84"/>
      <c r="X723" s="84"/>
      <c r="Y723" s="84"/>
      <c r="Z723" s="84"/>
    </row>
    <row r="724" spans="1:26" ht="15.75" customHeight="1" x14ac:dyDescent="0.25">
      <c r="A724" s="85" t="s">
        <v>1886</v>
      </c>
      <c r="B724" s="189" t="s">
        <v>411</v>
      </c>
      <c r="C724" s="9" t="s">
        <v>322</v>
      </c>
      <c r="D724" s="190" t="s">
        <v>304</v>
      </c>
      <c r="E724" s="191" t="s">
        <v>305</v>
      </c>
      <c r="F724" s="192" t="s">
        <v>304</v>
      </c>
      <c r="G724" s="191" t="s">
        <v>305</v>
      </c>
      <c r="H724" s="189" t="s">
        <v>1887</v>
      </c>
      <c r="I724" s="193" t="s">
        <v>1888</v>
      </c>
      <c r="J724" s="82" t="s">
        <v>305</v>
      </c>
      <c r="K724" s="83" t="s">
        <v>184</v>
      </c>
      <c r="O724" s="84"/>
      <c r="P724" s="84"/>
      <c r="Q724" s="84"/>
      <c r="R724" s="84"/>
      <c r="S724" s="84"/>
      <c r="T724" s="84"/>
      <c r="U724" s="84"/>
      <c r="V724" s="84"/>
      <c r="W724" s="84"/>
      <c r="X724" s="84"/>
      <c r="Y724" s="84"/>
      <c r="Z724" s="84"/>
    </row>
    <row r="725" spans="1:26" ht="15.75" customHeight="1" x14ac:dyDescent="0.25">
      <c r="A725" s="85" t="s">
        <v>1889</v>
      </c>
      <c r="B725" s="189" t="s">
        <v>411</v>
      </c>
      <c r="C725" s="9" t="s">
        <v>303</v>
      </c>
      <c r="D725" s="190">
        <v>6</v>
      </c>
      <c r="E725" s="191">
        <v>60</v>
      </c>
      <c r="F725" s="192">
        <v>6</v>
      </c>
      <c r="G725" s="191">
        <v>100</v>
      </c>
      <c r="H725" s="189" t="s">
        <v>1890</v>
      </c>
      <c r="I725" s="193" t="s">
        <v>1891</v>
      </c>
      <c r="J725" s="82">
        <v>10</v>
      </c>
      <c r="K725" s="83">
        <v>19</v>
      </c>
      <c r="O725" s="84"/>
      <c r="P725" s="84"/>
      <c r="Q725" s="84"/>
      <c r="R725" s="84"/>
      <c r="S725" s="84"/>
      <c r="T725" s="84"/>
      <c r="U725" s="84"/>
      <c r="V725" s="84"/>
      <c r="W725" s="84"/>
      <c r="X725" s="84"/>
      <c r="Y725" s="84"/>
      <c r="Z725" s="84"/>
    </row>
    <row r="726" spans="1:26" ht="15.75" customHeight="1" x14ac:dyDescent="0.25">
      <c r="A726" s="85" t="s">
        <v>1892</v>
      </c>
      <c r="B726" s="189" t="s">
        <v>335</v>
      </c>
      <c r="C726" s="9" t="s">
        <v>322</v>
      </c>
      <c r="D726" s="190" t="s">
        <v>304</v>
      </c>
      <c r="E726" s="191" t="s">
        <v>305</v>
      </c>
      <c r="F726" s="192">
        <v>6</v>
      </c>
      <c r="G726" s="191">
        <v>100</v>
      </c>
      <c r="H726" s="189" t="s">
        <v>1893</v>
      </c>
      <c r="I726" s="193" t="s">
        <v>1894</v>
      </c>
      <c r="J726" s="82" t="s">
        <v>305</v>
      </c>
      <c r="K726" s="83" t="s">
        <v>184</v>
      </c>
      <c r="O726" s="84"/>
      <c r="P726" s="84"/>
      <c r="Q726" s="84"/>
      <c r="R726" s="84"/>
      <c r="S726" s="84"/>
      <c r="T726" s="84"/>
      <c r="U726" s="84"/>
      <c r="V726" s="84"/>
      <c r="W726" s="84"/>
      <c r="X726" s="84"/>
      <c r="Y726" s="84"/>
      <c r="Z726" s="84"/>
    </row>
    <row r="727" spans="1:26" ht="15.75" customHeight="1" x14ac:dyDescent="0.25">
      <c r="A727" s="85" t="s">
        <v>1895</v>
      </c>
      <c r="B727" s="189" t="s">
        <v>335</v>
      </c>
      <c r="C727" s="9" t="s">
        <v>322</v>
      </c>
      <c r="D727" s="190" t="s">
        <v>304</v>
      </c>
      <c r="E727" s="191" t="s">
        <v>305</v>
      </c>
      <c r="F727" s="192">
        <v>15</v>
      </c>
      <c r="G727" s="191">
        <v>55</v>
      </c>
      <c r="H727" s="189" t="s">
        <v>1117</v>
      </c>
      <c r="I727" s="193" t="s">
        <v>1118</v>
      </c>
      <c r="J727" s="82" t="s">
        <v>305</v>
      </c>
      <c r="K727" s="83" t="s">
        <v>184</v>
      </c>
      <c r="O727" s="84"/>
      <c r="P727" s="84"/>
      <c r="Q727" s="84"/>
      <c r="R727" s="84"/>
      <c r="S727" s="84"/>
      <c r="T727" s="84"/>
      <c r="U727" s="84"/>
      <c r="V727" s="84"/>
      <c r="W727" s="84"/>
      <c r="X727" s="84"/>
      <c r="Y727" s="84"/>
      <c r="Z727" s="84"/>
    </row>
    <row r="728" spans="1:26" ht="15.75" customHeight="1" x14ac:dyDescent="0.25">
      <c r="A728" s="85" t="s">
        <v>1896</v>
      </c>
      <c r="B728" s="189" t="s">
        <v>407</v>
      </c>
      <c r="C728" s="9" t="s">
        <v>314</v>
      </c>
      <c r="D728" s="190">
        <v>18</v>
      </c>
      <c r="E728" s="191">
        <v>180</v>
      </c>
      <c r="F728" s="192" t="s">
        <v>304</v>
      </c>
      <c r="G728" s="191" t="s">
        <v>305</v>
      </c>
      <c r="H728" s="189" t="s">
        <v>1897</v>
      </c>
      <c r="I728" s="193" t="s">
        <v>1897</v>
      </c>
      <c r="J728" s="82" t="s">
        <v>305</v>
      </c>
      <c r="K728" s="83" t="s">
        <v>184</v>
      </c>
      <c r="O728" s="84"/>
      <c r="P728" s="84"/>
      <c r="Q728" s="84"/>
      <c r="R728" s="84"/>
      <c r="S728" s="84"/>
      <c r="T728" s="84"/>
      <c r="U728" s="84"/>
      <c r="V728" s="84"/>
      <c r="W728" s="84"/>
      <c r="X728" s="84"/>
      <c r="Y728" s="84"/>
      <c r="Z728" s="84"/>
    </row>
    <row r="729" spans="1:26" ht="15.75" customHeight="1" x14ac:dyDescent="0.25">
      <c r="A729" s="85" t="s">
        <v>1898</v>
      </c>
      <c r="B729" s="189" t="s">
        <v>390</v>
      </c>
      <c r="C729" s="9" t="s">
        <v>314</v>
      </c>
      <c r="D729" s="190">
        <v>9</v>
      </c>
      <c r="E729" s="191">
        <v>90</v>
      </c>
      <c r="F729" s="192">
        <v>6</v>
      </c>
      <c r="G729" s="191">
        <v>100</v>
      </c>
      <c r="H729" s="189" t="s">
        <v>1899</v>
      </c>
      <c r="I729" s="193" t="s">
        <v>1269</v>
      </c>
      <c r="J729" s="82">
        <v>100</v>
      </c>
      <c r="K729" s="83">
        <v>1</v>
      </c>
      <c r="O729" s="84"/>
      <c r="P729" s="84"/>
      <c r="Q729" s="84"/>
      <c r="R729" s="84"/>
      <c r="S729" s="84"/>
      <c r="T729" s="84"/>
      <c r="U729" s="84"/>
      <c r="V729" s="84"/>
      <c r="W729" s="84"/>
      <c r="X729" s="84"/>
      <c r="Y729" s="84"/>
      <c r="Z729" s="84"/>
    </row>
    <row r="730" spans="1:26" ht="15.75" customHeight="1" x14ac:dyDescent="0.25">
      <c r="A730" s="85" t="s">
        <v>1900</v>
      </c>
      <c r="B730" s="189" t="s">
        <v>335</v>
      </c>
      <c r="C730" s="9" t="s">
        <v>322</v>
      </c>
      <c r="D730" s="190" t="s">
        <v>304</v>
      </c>
      <c r="E730" s="191" t="s">
        <v>305</v>
      </c>
      <c r="F730" s="192" t="s">
        <v>304</v>
      </c>
      <c r="G730" s="191" t="s">
        <v>305</v>
      </c>
      <c r="H730" s="189" t="s">
        <v>1901</v>
      </c>
      <c r="I730" s="193" t="s">
        <v>1902</v>
      </c>
      <c r="J730" s="82" t="s">
        <v>305</v>
      </c>
      <c r="K730" s="83" t="s">
        <v>184</v>
      </c>
      <c r="O730" s="84"/>
      <c r="P730" s="84"/>
      <c r="Q730" s="84"/>
      <c r="R730" s="84"/>
      <c r="S730" s="84"/>
      <c r="T730" s="84"/>
      <c r="U730" s="84"/>
      <c r="V730" s="84"/>
      <c r="W730" s="84"/>
      <c r="X730" s="84"/>
      <c r="Y730" s="84"/>
      <c r="Z730" s="84"/>
    </row>
    <row r="731" spans="1:26" ht="15.75" customHeight="1" x14ac:dyDescent="0.25">
      <c r="A731" s="85" t="s">
        <v>1903</v>
      </c>
      <c r="B731" s="189" t="s">
        <v>348</v>
      </c>
      <c r="C731" s="9" t="s">
        <v>322</v>
      </c>
      <c r="D731" s="190" t="s">
        <v>304</v>
      </c>
      <c r="E731" s="191" t="s">
        <v>305</v>
      </c>
      <c r="F731" s="192" t="s">
        <v>304</v>
      </c>
      <c r="G731" s="191" t="s">
        <v>305</v>
      </c>
      <c r="H731" s="189" t="s">
        <v>1904</v>
      </c>
      <c r="I731" s="193" t="s">
        <v>1905</v>
      </c>
      <c r="J731" s="82" t="s">
        <v>305</v>
      </c>
      <c r="K731" s="83" t="s">
        <v>184</v>
      </c>
      <c r="O731" s="84"/>
      <c r="P731" s="84"/>
      <c r="Q731" s="84"/>
      <c r="R731" s="84"/>
      <c r="S731" s="84"/>
      <c r="T731" s="84"/>
      <c r="U731" s="84"/>
      <c r="V731" s="84"/>
      <c r="W731" s="84"/>
      <c r="X731" s="84"/>
      <c r="Y731" s="84"/>
      <c r="Z731" s="84"/>
    </row>
    <row r="732" spans="1:26" ht="15.75" customHeight="1" x14ac:dyDescent="0.25">
      <c r="A732" s="85" t="s">
        <v>1906</v>
      </c>
      <c r="B732" s="189" t="s">
        <v>411</v>
      </c>
      <c r="C732" s="9" t="s">
        <v>314</v>
      </c>
      <c r="D732" s="190">
        <v>7</v>
      </c>
      <c r="E732" s="191">
        <v>70</v>
      </c>
      <c r="F732" s="192">
        <v>8</v>
      </c>
      <c r="G732" s="191">
        <v>90</v>
      </c>
      <c r="H732" s="189" t="s">
        <v>1907</v>
      </c>
      <c r="I732" s="193" t="s">
        <v>1907</v>
      </c>
      <c r="J732" s="82" t="s">
        <v>305</v>
      </c>
      <c r="K732" s="83" t="s">
        <v>184</v>
      </c>
      <c r="O732" s="84"/>
      <c r="P732" s="84"/>
      <c r="Q732" s="84"/>
      <c r="R732" s="84"/>
      <c r="S732" s="84"/>
      <c r="T732" s="84"/>
      <c r="U732" s="84"/>
      <c r="V732" s="84"/>
      <c r="W732" s="84"/>
      <c r="X732" s="84"/>
      <c r="Y732" s="84"/>
      <c r="Z732" s="84"/>
    </row>
    <row r="733" spans="1:26" ht="15.75" customHeight="1" x14ac:dyDescent="0.25">
      <c r="A733" s="85" t="s">
        <v>1908</v>
      </c>
      <c r="B733" s="189" t="s">
        <v>335</v>
      </c>
      <c r="C733" s="9" t="s">
        <v>314</v>
      </c>
      <c r="D733" s="190">
        <v>13</v>
      </c>
      <c r="E733" s="191">
        <v>130</v>
      </c>
      <c r="F733" s="192">
        <v>6</v>
      </c>
      <c r="G733" s="191">
        <v>100</v>
      </c>
      <c r="H733" s="189" t="s">
        <v>1909</v>
      </c>
      <c r="I733" s="193" t="s">
        <v>1910</v>
      </c>
      <c r="J733" s="82">
        <v>100</v>
      </c>
      <c r="K733" s="83">
        <v>1</v>
      </c>
      <c r="O733" s="84"/>
      <c r="P733" s="84"/>
      <c r="Q733" s="84"/>
      <c r="R733" s="84"/>
      <c r="S733" s="84"/>
      <c r="T733" s="84"/>
      <c r="U733" s="84"/>
      <c r="V733" s="84"/>
      <c r="W733" s="84"/>
      <c r="X733" s="84"/>
      <c r="Y733" s="84"/>
      <c r="Z733" s="84"/>
    </row>
    <row r="734" spans="1:26" ht="15.75" customHeight="1" x14ac:dyDescent="0.25">
      <c r="A734" s="85" t="s">
        <v>1911</v>
      </c>
      <c r="B734" s="189" t="s">
        <v>331</v>
      </c>
      <c r="C734" s="9" t="s">
        <v>314</v>
      </c>
      <c r="D734" s="190">
        <v>14</v>
      </c>
      <c r="E734" s="191">
        <v>140</v>
      </c>
      <c r="F734" s="192">
        <v>8</v>
      </c>
      <c r="G734" s="191">
        <v>90</v>
      </c>
      <c r="H734" s="189" t="s">
        <v>1912</v>
      </c>
      <c r="I734" s="193" t="s">
        <v>1913</v>
      </c>
      <c r="J734" s="82">
        <v>30</v>
      </c>
      <c r="K734" s="83">
        <v>15</v>
      </c>
      <c r="O734" s="84"/>
      <c r="P734" s="84"/>
      <c r="Q734" s="84"/>
      <c r="R734" s="84"/>
      <c r="S734" s="84"/>
      <c r="T734" s="84"/>
      <c r="U734" s="84"/>
      <c r="V734" s="84"/>
      <c r="W734" s="84"/>
      <c r="X734" s="84"/>
      <c r="Y734" s="84"/>
      <c r="Z734" s="84"/>
    </row>
    <row r="735" spans="1:26" ht="15.75" customHeight="1" x14ac:dyDescent="0.25">
      <c r="A735" s="85" t="s">
        <v>1914</v>
      </c>
      <c r="B735" s="189" t="s">
        <v>331</v>
      </c>
      <c r="C735" s="9" t="s">
        <v>314</v>
      </c>
      <c r="D735" s="190">
        <v>6</v>
      </c>
      <c r="E735" s="191">
        <v>60</v>
      </c>
      <c r="F735" s="192">
        <v>6</v>
      </c>
      <c r="G735" s="191">
        <v>100</v>
      </c>
      <c r="H735" s="189" t="s">
        <v>1915</v>
      </c>
      <c r="I735" s="193" t="s">
        <v>1916</v>
      </c>
      <c r="J735" s="82" t="s">
        <v>305</v>
      </c>
      <c r="K735" s="83" t="s">
        <v>184</v>
      </c>
      <c r="O735" s="84"/>
      <c r="P735" s="84"/>
      <c r="Q735" s="84"/>
      <c r="R735" s="84"/>
      <c r="S735" s="84"/>
      <c r="T735" s="84"/>
      <c r="U735" s="84"/>
      <c r="V735" s="84"/>
      <c r="W735" s="84"/>
      <c r="X735" s="84"/>
      <c r="Y735" s="84"/>
      <c r="Z735" s="84"/>
    </row>
    <row r="736" spans="1:26" ht="15.75" customHeight="1" x14ac:dyDescent="0.25">
      <c r="A736" s="85" t="s">
        <v>1917</v>
      </c>
      <c r="B736" s="189" t="s">
        <v>356</v>
      </c>
      <c r="C736" s="9" t="s">
        <v>314</v>
      </c>
      <c r="D736" s="190">
        <v>9</v>
      </c>
      <c r="E736" s="191">
        <v>85</v>
      </c>
      <c r="F736" s="192">
        <v>8</v>
      </c>
      <c r="G736" s="191">
        <v>90</v>
      </c>
      <c r="H736" s="189" t="s">
        <v>1918</v>
      </c>
      <c r="I736" s="193" t="s">
        <v>1919</v>
      </c>
      <c r="J736" s="82" t="s">
        <v>305</v>
      </c>
      <c r="K736" s="83" t="s">
        <v>184</v>
      </c>
      <c r="O736" s="84"/>
      <c r="P736" s="84"/>
      <c r="Q736" s="84"/>
      <c r="R736" s="84"/>
      <c r="S736" s="84"/>
      <c r="T736" s="84"/>
      <c r="U736" s="84"/>
      <c r="V736" s="84"/>
      <c r="W736" s="84"/>
      <c r="X736" s="84"/>
      <c r="Y736" s="84"/>
      <c r="Z736" s="84"/>
    </row>
    <row r="737" spans="1:26" ht="15.75" customHeight="1" x14ac:dyDescent="0.25">
      <c r="A737" s="85" t="s">
        <v>1920</v>
      </c>
      <c r="B737" s="189" t="s">
        <v>335</v>
      </c>
      <c r="C737" s="9" t="s">
        <v>322</v>
      </c>
      <c r="D737" s="190" t="s">
        <v>304</v>
      </c>
      <c r="E737" s="191" t="s">
        <v>305</v>
      </c>
      <c r="F737" s="192" t="s">
        <v>304</v>
      </c>
      <c r="G737" s="191" t="s">
        <v>305</v>
      </c>
      <c r="H737" s="189" t="s">
        <v>1179</v>
      </c>
      <c r="I737" s="193" t="s">
        <v>1180</v>
      </c>
      <c r="J737" s="82" t="s">
        <v>305</v>
      </c>
      <c r="K737" s="83" t="s">
        <v>184</v>
      </c>
      <c r="O737" s="84"/>
      <c r="P737" s="84"/>
      <c r="Q737" s="84"/>
      <c r="R737" s="84"/>
      <c r="S737" s="84"/>
      <c r="T737" s="84"/>
      <c r="U737" s="84"/>
      <c r="V737" s="84"/>
      <c r="W737" s="84"/>
      <c r="X737" s="84"/>
      <c r="Y737" s="84"/>
      <c r="Z737" s="84"/>
    </row>
    <row r="738" spans="1:26" ht="15.75" customHeight="1" x14ac:dyDescent="0.25">
      <c r="A738" s="85" t="s">
        <v>1921</v>
      </c>
      <c r="B738" s="189" t="s">
        <v>335</v>
      </c>
      <c r="C738" s="9" t="s">
        <v>314</v>
      </c>
      <c r="D738" s="190">
        <v>8</v>
      </c>
      <c r="E738" s="191">
        <v>80</v>
      </c>
      <c r="F738" s="192">
        <v>11</v>
      </c>
      <c r="G738" s="191">
        <v>75</v>
      </c>
      <c r="H738" s="189"/>
      <c r="I738" s="193" t="s">
        <v>184</v>
      </c>
      <c r="J738" s="82" t="s">
        <v>305</v>
      </c>
      <c r="K738" s="83" t="s">
        <v>184</v>
      </c>
      <c r="O738" s="84"/>
      <c r="P738" s="84"/>
      <c r="Q738" s="84"/>
      <c r="R738" s="84"/>
      <c r="S738" s="84"/>
      <c r="T738" s="84"/>
      <c r="U738" s="84"/>
      <c r="V738" s="84"/>
      <c r="W738" s="84"/>
      <c r="X738" s="84"/>
      <c r="Y738" s="84"/>
      <c r="Z738" s="84"/>
    </row>
    <row r="739" spans="1:26" ht="15.75" customHeight="1" x14ac:dyDescent="0.25">
      <c r="A739" s="85" t="s">
        <v>1922</v>
      </c>
      <c r="B739" s="189" t="s">
        <v>335</v>
      </c>
      <c r="C739" s="9" t="s">
        <v>314</v>
      </c>
      <c r="D739" s="190">
        <v>7</v>
      </c>
      <c r="E739" s="191">
        <v>70</v>
      </c>
      <c r="F739" s="192">
        <v>6</v>
      </c>
      <c r="G739" s="191">
        <v>100</v>
      </c>
      <c r="H739" s="189" t="s">
        <v>342</v>
      </c>
      <c r="I739" s="193" t="s">
        <v>343</v>
      </c>
      <c r="J739" s="82" t="s">
        <v>305</v>
      </c>
      <c r="K739" s="83" t="s">
        <v>184</v>
      </c>
      <c r="O739" s="84"/>
      <c r="P739" s="84"/>
      <c r="Q739" s="84"/>
      <c r="R739" s="84"/>
      <c r="S739" s="84"/>
      <c r="T739" s="84"/>
      <c r="U739" s="84"/>
      <c r="V739" s="84"/>
      <c r="W739" s="84"/>
      <c r="X739" s="84"/>
      <c r="Y739" s="84"/>
      <c r="Z739" s="84"/>
    </row>
    <row r="740" spans="1:26" ht="15.75" customHeight="1" x14ac:dyDescent="0.25">
      <c r="A740" s="85" t="s">
        <v>1923</v>
      </c>
      <c r="B740" s="189" t="s">
        <v>309</v>
      </c>
      <c r="C740" s="9" t="s">
        <v>322</v>
      </c>
      <c r="D740" s="190" t="s">
        <v>304</v>
      </c>
      <c r="E740" s="191" t="s">
        <v>305</v>
      </c>
      <c r="F740" s="192">
        <v>11</v>
      </c>
      <c r="G740" s="191">
        <v>75</v>
      </c>
      <c r="H740" s="189" t="s">
        <v>1117</v>
      </c>
      <c r="I740" s="193" t="s">
        <v>1118</v>
      </c>
      <c r="J740" s="82" t="s">
        <v>305</v>
      </c>
      <c r="K740" s="83" t="s">
        <v>184</v>
      </c>
      <c r="O740" s="84"/>
      <c r="P740" s="84"/>
      <c r="Q740" s="84"/>
      <c r="R740" s="84"/>
      <c r="S740" s="84"/>
      <c r="T740" s="84"/>
      <c r="U740" s="84"/>
      <c r="V740" s="84"/>
      <c r="W740" s="84"/>
      <c r="X740" s="84"/>
      <c r="Y740" s="84"/>
      <c r="Z740" s="84"/>
    </row>
    <row r="741" spans="1:26" ht="15.75" customHeight="1" x14ac:dyDescent="0.25">
      <c r="A741" s="85" t="s">
        <v>1924</v>
      </c>
      <c r="B741" s="189" t="s">
        <v>335</v>
      </c>
      <c r="C741" s="9" t="s">
        <v>322</v>
      </c>
      <c r="D741" s="190" t="s">
        <v>304</v>
      </c>
      <c r="E741" s="191" t="s">
        <v>305</v>
      </c>
      <c r="F741" s="192" t="s">
        <v>304</v>
      </c>
      <c r="G741" s="191" t="s">
        <v>305</v>
      </c>
      <c r="H741" s="189" t="s">
        <v>1925</v>
      </c>
      <c r="I741" s="193" t="s">
        <v>1926</v>
      </c>
      <c r="J741" s="82" t="s">
        <v>305</v>
      </c>
      <c r="K741" s="83" t="s">
        <v>184</v>
      </c>
      <c r="O741" s="84"/>
      <c r="P741" s="84"/>
      <c r="Q741" s="84"/>
      <c r="R741" s="84"/>
      <c r="S741" s="84"/>
      <c r="T741" s="84"/>
      <c r="U741" s="84"/>
      <c r="V741" s="84"/>
      <c r="W741" s="84"/>
      <c r="X741" s="84"/>
      <c r="Y741" s="84"/>
      <c r="Z741" s="84"/>
    </row>
    <row r="742" spans="1:26" ht="15.75" customHeight="1" x14ac:dyDescent="0.25">
      <c r="A742" s="85" t="s">
        <v>1927</v>
      </c>
      <c r="B742" s="189" t="s">
        <v>318</v>
      </c>
      <c r="C742" s="9" t="s">
        <v>303</v>
      </c>
      <c r="D742" s="190">
        <v>7</v>
      </c>
      <c r="E742" s="191">
        <v>65</v>
      </c>
      <c r="F742" s="192">
        <v>6</v>
      </c>
      <c r="G742" s="191">
        <v>100</v>
      </c>
      <c r="H742" s="189" t="s">
        <v>1148</v>
      </c>
      <c r="I742" s="193" t="s">
        <v>1149</v>
      </c>
      <c r="J742" s="82">
        <v>30</v>
      </c>
      <c r="K742" s="83">
        <v>15</v>
      </c>
      <c r="O742" s="84"/>
      <c r="P742" s="84"/>
      <c r="Q742" s="84"/>
      <c r="R742" s="84"/>
      <c r="S742" s="84"/>
      <c r="T742" s="84"/>
      <c r="U742" s="84"/>
      <c r="V742" s="84"/>
      <c r="W742" s="84"/>
      <c r="X742" s="84"/>
      <c r="Y742" s="84"/>
      <c r="Z742" s="84"/>
    </row>
    <row r="743" spans="1:26" ht="15.75" customHeight="1" x14ac:dyDescent="0.25">
      <c r="A743" s="85" t="s">
        <v>1928</v>
      </c>
      <c r="B743" s="189" t="s">
        <v>318</v>
      </c>
      <c r="C743" s="9" t="s">
        <v>303</v>
      </c>
      <c r="D743" s="190">
        <v>9</v>
      </c>
      <c r="E743" s="191">
        <v>90</v>
      </c>
      <c r="F743" s="192">
        <v>6</v>
      </c>
      <c r="G743" s="191">
        <v>100</v>
      </c>
      <c r="H743" s="189" t="s">
        <v>1148</v>
      </c>
      <c r="I743" s="193" t="s">
        <v>1149</v>
      </c>
      <c r="J743" s="82">
        <v>30</v>
      </c>
      <c r="K743" s="83">
        <v>15</v>
      </c>
      <c r="O743" s="84"/>
      <c r="P743" s="84"/>
      <c r="Q743" s="84"/>
      <c r="R743" s="84"/>
      <c r="S743" s="84"/>
      <c r="T743" s="84"/>
      <c r="U743" s="84"/>
      <c r="V743" s="84"/>
      <c r="W743" s="84"/>
      <c r="X743" s="84"/>
      <c r="Y743" s="84"/>
      <c r="Z743" s="84"/>
    </row>
    <row r="744" spans="1:26" ht="15.75" customHeight="1" x14ac:dyDescent="0.25">
      <c r="A744" s="85" t="s">
        <v>1929</v>
      </c>
      <c r="B744" s="189" t="s">
        <v>318</v>
      </c>
      <c r="C744" s="9" t="s">
        <v>303</v>
      </c>
      <c r="D744" s="190">
        <v>10</v>
      </c>
      <c r="E744" s="191">
        <v>95</v>
      </c>
      <c r="F744" s="192">
        <v>6</v>
      </c>
      <c r="G744" s="191">
        <v>100</v>
      </c>
      <c r="H744" s="189" t="s">
        <v>1148</v>
      </c>
      <c r="I744" s="193" t="s">
        <v>1149</v>
      </c>
      <c r="J744" s="82">
        <v>10</v>
      </c>
      <c r="K744" s="83">
        <v>19</v>
      </c>
      <c r="O744" s="84"/>
      <c r="P744" s="84"/>
      <c r="Q744" s="84"/>
      <c r="R744" s="84"/>
      <c r="S744" s="84"/>
      <c r="T744" s="84"/>
      <c r="U744" s="84"/>
      <c r="V744" s="84"/>
      <c r="W744" s="84"/>
      <c r="X744" s="84"/>
      <c r="Y744" s="84"/>
      <c r="Z744" s="84"/>
    </row>
    <row r="745" spans="1:26" ht="15.75" customHeight="1" x14ac:dyDescent="0.25">
      <c r="A745" s="85" t="s">
        <v>1930</v>
      </c>
      <c r="B745" s="189" t="s">
        <v>313</v>
      </c>
      <c r="C745" s="9" t="s">
        <v>314</v>
      </c>
      <c r="D745" s="190">
        <v>5</v>
      </c>
      <c r="E745" s="191">
        <v>50</v>
      </c>
      <c r="F745" s="192">
        <v>6</v>
      </c>
      <c r="G745" s="191">
        <v>100</v>
      </c>
      <c r="H745" s="189" t="s">
        <v>1931</v>
      </c>
      <c r="I745" s="193" t="s">
        <v>1932</v>
      </c>
      <c r="J745" s="82">
        <v>100</v>
      </c>
      <c r="K745" s="83">
        <v>1</v>
      </c>
      <c r="O745" s="84"/>
      <c r="P745" s="84"/>
      <c r="Q745" s="84"/>
      <c r="R745" s="84"/>
      <c r="S745" s="84"/>
      <c r="T745" s="84"/>
      <c r="U745" s="84"/>
      <c r="V745" s="84"/>
      <c r="W745" s="84"/>
      <c r="X745" s="84"/>
      <c r="Y745" s="84"/>
      <c r="Z745" s="84"/>
    </row>
    <row r="746" spans="1:26" ht="15.75" customHeight="1" x14ac:dyDescent="0.25">
      <c r="A746" s="85" t="s">
        <v>1933</v>
      </c>
      <c r="B746" s="189" t="s">
        <v>367</v>
      </c>
      <c r="C746" s="9" t="s">
        <v>314</v>
      </c>
      <c r="D746" s="190">
        <v>7</v>
      </c>
      <c r="E746" s="191">
        <v>70</v>
      </c>
      <c r="F746" s="192" t="s">
        <v>304</v>
      </c>
      <c r="G746" s="191" t="s">
        <v>305</v>
      </c>
      <c r="H746" s="189" t="s">
        <v>1934</v>
      </c>
      <c r="I746" s="193" t="s">
        <v>1934</v>
      </c>
      <c r="J746" s="82" t="s">
        <v>305</v>
      </c>
      <c r="K746" s="83" t="s">
        <v>184</v>
      </c>
      <c r="O746" s="84"/>
      <c r="P746" s="84"/>
      <c r="Q746" s="84"/>
      <c r="R746" s="84"/>
      <c r="S746" s="84"/>
      <c r="T746" s="84"/>
      <c r="U746" s="84"/>
      <c r="V746" s="84"/>
      <c r="W746" s="84"/>
      <c r="X746" s="84"/>
      <c r="Y746" s="84"/>
      <c r="Z746" s="84"/>
    </row>
    <row r="747" spans="1:26" ht="15.75" customHeight="1" x14ac:dyDescent="0.25">
      <c r="A747" s="85" t="s">
        <v>1935</v>
      </c>
      <c r="B747" s="189" t="s">
        <v>335</v>
      </c>
      <c r="C747" s="9" t="s">
        <v>314</v>
      </c>
      <c r="D747" s="190">
        <v>7</v>
      </c>
      <c r="E747" s="191">
        <v>70</v>
      </c>
      <c r="F747" s="192">
        <v>6</v>
      </c>
      <c r="G747" s="191">
        <v>100</v>
      </c>
      <c r="H747" s="189" t="s">
        <v>1936</v>
      </c>
      <c r="I747" s="193" t="s">
        <v>1937</v>
      </c>
      <c r="J747" s="82" t="s">
        <v>305</v>
      </c>
      <c r="K747" s="83" t="s">
        <v>184</v>
      </c>
      <c r="O747" s="84"/>
      <c r="P747" s="84"/>
      <c r="Q747" s="84"/>
      <c r="R747" s="84"/>
      <c r="S747" s="84"/>
      <c r="T747" s="84"/>
      <c r="U747" s="84"/>
      <c r="V747" s="84"/>
      <c r="W747" s="84"/>
      <c r="X747" s="84"/>
      <c r="Y747" s="84"/>
      <c r="Z747" s="84"/>
    </row>
    <row r="748" spans="1:26" ht="15.75" customHeight="1" x14ac:dyDescent="0.25">
      <c r="A748" s="85" t="s">
        <v>1938</v>
      </c>
      <c r="B748" s="189" t="s">
        <v>318</v>
      </c>
      <c r="C748" s="9" t="s">
        <v>303</v>
      </c>
      <c r="D748" s="190">
        <v>3</v>
      </c>
      <c r="E748" s="191">
        <v>30</v>
      </c>
      <c r="F748" s="192">
        <v>12</v>
      </c>
      <c r="G748" s="191">
        <v>70</v>
      </c>
      <c r="H748" s="189" t="s">
        <v>1148</v>
      </c>
      <c r="I748" s="193" t="s">
        <v>1149</v>
      </c>
      <c r="J748" s="82">
        <v>40</v>
      </c>
      <c r="K748" s="83">
        <v>13</v>
      </c>
      <c r="O748" s="84"/>
      <c r="P748" s="84"/>
      <c r="Q748" s="84"/>
      <c r="R748" s="84"/>
      <c r="S748" s="84"/>
      <c r="T748" s="84"/>
      <c r="U748" s="84"/>
      <c r="V748" s="84"/>
      <c r="W748" s="84"/>
      <c r="X748" s="84"/>
      <c r="Y748" s="84"/>
      <c r="Z748" s="84"/>
    </row>
    <row r="749" spans="1:26" ht="15.75" customHeight="1" x14ac:dyDescent="0.25">
      <c r="A749" s="85" t="s">
        <v>1939</v>
      </c>
      <c r="B749" s="189" t="s">
        <v>335</v>
      </c>
      <c r="C749" s="9" t="s">
        <v>322</v>
      </c>
      <c r="D749" s="190" t="s">
        <v>304</v>
      </c>
      <c r="E749" s="191" t="s">
        <v>305</v>
      </c>
      <c r="F749" s="192">
        <v>6</v>
      </c>
      <c r="G749" s="191">
        <v>100</v>
      </c>
      <c r="H749" s="189" t="s">
        <v>921</v>
      </c>
      <c r="I749" s="193" t="s">
        <v>922</v>
      </c>
      <c r="J749" s="82" t="s">
        <v>305</v>
      </c>
      <c r="K749" s="83" t="s">
        <v>184</v>
      </c>
      <c r="O749" s="84"/>
      <c r="P749" s="84"/>
      <c r="Q749" s="84"/>
      <c r="R749" s="84"/>
      <c r="S749" s="84"/>
      <c r="T749" s="84"/>
      <c r="U749" s="84"/>
      <c r="V749" s="84"/>
      <c r="W749" s="84"/>
      <c r="X749" s="84"/>
      <c r="Y749" s="84"/>
      <c r="Z749" s="84"/>
    </row>
    <row r="750" spans="1:26" ht="15.75" customHeight="1" x14ac:dyDescent="0.25">
      <c r="A750" s="85" t="s">
        <v>1940</v>
      </c>
      <c r="B750" s="189" t="s">
        <v>309</v>
      </c>
      <c r="C750" s="9" t="s">
        <v>314</v>
      </c>
      <c r="D750" s="190">
        <v>4</v>
      </c>
      <c r="E750" s="191">
        <v>35</v>
      </c>
      <c r="F750" s="192">
        <v>6</v>
      </c>
      <c r="G750" s="191">
        <v>100</v>
      </c>
      <c r="H750" s="189" t="s">
        <v>474</v>
      </c>
      <c r="I750" s="193" t="s">
        <v>1941</v>
      </c>
      <c r="J750" s="82">
        <v>100</v>
      </c>
      <c r="K750" s="83">
        <v>1</v>
      </c>
      <c r="O750" s="84"/>
      <c r="P750" s="84"/>
      <c r="Q750" s="84"/>
      <c r="R750" s="84"/>
      <c r="S750" s="84"/>
      <c r="T750" s="84"/>
      <c r="U750" s="84"/>
      <c r="V750" s="84"/>
      <c r="W750" s="84"/>
      <c r="X750" s="84"/>
      <c r="Y750" s="84"/>
      <c r="Z750" s="84"/>
    </row>
    <row r="751" spans="1:26" ht="15.75" customHeight="1" x14ac:dyDescent="0.25">
      <c r="A751" s="85" t="s">
        <v>1942</v>
      </c>
      <c r="B751" s="189" t="s">
        <v>403</v>
      </c>
      <c r="C751" s="9" t="s">
        <v>303</v>
      </c>
      <c r="D751" s="190">
        <v>6</v>
      </c>
      <c r="E751" s="191">
        <v>55</v>
      </c>
      <c r="F751" s="192">
        <v>7</v>
      </c>
      <c r="G751" s="191">
        <v>95</v>
      </c>
      <c r="H751" s="189" t="s">
        <v>641</v>
      </c>
      <c r="I751" s="193" t="s">
        <v>642</v>
      </c>
      <c r="J751" s="82">
        <v>100</v>
      </c>
      <c r="K751" s="83">
        <v>1</v>
      </c>
      <c r="O751" s="84"/>
      <c r="P751" s="84"/>
      <c r="Q751" s="84"/>
      <c r="R751" s="84"/>
      <c r="S751" s="84"/>
      <c r="T751" s="84"/>
      <c r="U751" s="84"/>
      <c r="V751" s="84"/>
      <c r="W751" s="84"/>
      <c r="X751" s="84"/>
      <c r="Y751" s="84"/>
      <c r="Z751" s="84"/>
    </row>
    <row r="752" spans="1:26" ht="15.75" customHeight="1" x14ac:dyDescent="0.25">
      <c r="A752" s="85" t="s">
        <v>1943</v>
      </c>
      <c r="B752" s="189" t="s">
        <v>403</v>
      </c>
      <c r="C752" s="9" t="s">
        <v>322</v>
      </c>
      <c r="D752" s="190" t="s">
        <v>304</v>
      </c>
      <c r="E752" s="191" t="s">
        <v>305</v>
      </c>
      <c r="F752" s="192" t="s">
        <v>304</v>
      </c>
      <c r="G752" s="191" t="s">
        <v>305</v>
      </c>
      <c r="H752" s="189" t="s">
        <v>1944</v>
      </c>
      <c r="I752" s="193" t="s">
        <v>1945</v>
      </c>
      <c r="J752" s="82" t="s">
        <v>305</v>
      </c>
      <c r="K752" s="83" t="s">
        <v>184</v>
      </c>
      <c r="O752" s="84"/>
      <c r="P752" s="84"/>
      <c r="Q752" s="84"/>
      <c r="R752" s="84"/>
      <c r="S752" s="84"/>
      <c r="T752" s="84"/>
      <c r="U752" s="84"/>
      <c r="V752" s="84"/>
      <c r="W752" s="84"/>
      <c r="X752" s="84"/>
      <c r="Y752" s="84"/>
      <c r="Z752" s="84"/>
    </row>
    <row r="753" spans="1:26" ht="15.75" customHeight="1" x14ac:dyDescent="0.25">
      <c r="A753" s="85" t="s">
        <v>1946</v>
      </c>
      <c r="B753" s="189" t="s">
        <v>377</v>
      </c>
      <c r="C753" s="9" t="s">
        <v>303</v>
      </c>
      <c r="D753" s="190">
        <v>8</v>
      </c>
      <c r="E753" s="191">
        <v>80</v>
      </c>
      <c r="F753" s="192">
        <v>6</v>
      </c>
      <c r="G753" s="191">
        <v>100</v>
      </c>
      <c r="H753" s="189" t="s">
        <v>1947</v>
      </c>
      <c r="I753" s="193" t="s">
        <v>1948</v>
      </c>
      <c r="J753" s="82" t="s">
        <v>305</v>
      </c>
      <c r="K753" s="83" t="s">
        <v>184</v>
      </c>
      <c r="O753" s="84"/>
      <c r="P753" s="84"/>
      <c r="Q753" s="84"/>
      <c r="R753" s="84"/>
      <c r="S753" s="84"/>
      <c r="T753" s="84"/>
      <c r="U753" s="84"/>
      <c r="V753" s="84"/>
      <c r="W753" s="84"/>
      <c r="X753" s="84"/>
      <c r="Y753" s="84"/>
      <c r="Z753" s="84"/>
    </row>
    <row r="754" spans="1:26" ht="15.75" customHeight="1" x14ac:dyDescent="0.25">
      <c r="A754" s="85" t="s">
        <v>1949</v>
      </c>
      <c r="B754" s="189" t="s">
        <v>335</v>
      </c>
      <c r="C754" s="9" t="s">
        <v>303</v>
      </c>
      <c r="D754" s="190">
        <v>5</v>
      </c>
      <c r="E754" s="191">
        <v>50</v>
      </c>
      <c r="F754" s="192">
        <v>6</v>
      </c>
      <c r="G754" s="191">
        <v>100</v>
      </c>
      <c r="H754" s="189" t="s">
        <v>1950</v>
      </c>
      <c r="I754" s="193" t="s">
        <v>1951</v>
      </c>
      <c r="J754" s="82">
        <v>30</v>
      </c>
      <c r="K754" s="83">
        <v>15</v>
      </c>
      <c r="O754" s="84"/>
      <c r="P754" s="84"/>
      <c r="Q754" s="84"/>
      <c r="R754" s="84"/>
      <c r="S754" s="84"/>
      <c r="T754" s="84"/>
      <c r="U754" s="84"/>
      <c r="V754" s="84"/>
      <c r="W754" s="84"/>
      <c r="X754" s="84"/>
      <c r="Y754" s="84"/>
      <c r="Z754" s="84"/>
    </row>
    <row r="755" spans="1:26" ht="15.75" customHeight="1" x14ac:dyDescent="0.25">
      <c r="A755" s="85" t="s">
        <v>1952</v>
      </c>
      <c r="B755" s="189" t="s">
        <v>419</v>
      </c>
      <c r="C755" s="9" t="s">
        <v>322</v>
      </c>
      <c r="D755" s="190" t="s">
        <v>304</v>
      </c>
      <c r="E755" s="191" t="s">
        <v>305</v>
      </c>
      <c r="F755" s="192" t="s">
        <v>304</v>
      </c>
      <c r="G755" s="191" t="s">
        <v>305</v>
      </c>
      <c r="H755" s="189" t="s">
        <v>1953</v>
      </c>
      <c r="I755" s="193" t="s">
        <v>1954</v>
      </c>
      <c r="J755" s="82" t="s">
        <v>305</v>
      </c>
      <c r="K755" s="83" t="s">
        <v>184</v>
      </c>
      <c r="O755" s="84"/>
      <c r="P755" s="84"/>
      <c r="Q755" s="84"/>
      <c r="R755" s="84"/>
      <c r="S755" s="84"/>
      <c r="T755" s="84"/>
      <c r="U755" s="84"/>
      <c r="V755" s="84"/>
      <c r="W755" s="84"/>
      <c r="X755" s="84"/>
      <c r="Y755" s="84"/>
      <c r="Z755" s="84"/>
    </row>
    <row r="756" spans="1:26" ht="15.75" customHeight="1" x14ac:dyDescent="0.25">
      <c r="A756" s="85" t="s">
        <v>1955</v>
      </c>
      <c r="B756" s="189" t="s">
        <v>377</v>
      </c>
      <c r="C756" s="9" t="s">
        <v>322</v>
      </c>
      <c r="D756" s="190" t="s">
        <v>304</v>
      </c>
      <c r="E756" s="191" t="s">
        <v>305</v>
      </c>
      <c r="F756" s="192">
        <v>6</v>
      </c>
      <c r="G756" s="191">
        <v>100</v>
      </c>
      <c r="H756" s="189" t="s">
        <v>1956</v>
      </c>
      <c r="I756" s="193" t="s">
        <v>1957</v>
      </c>
      <c r="J756" s="82" t="s">
        <v>305</v>
      </c>
      <c r="K756" s="83" t="s">
        <v>184</v>
      </c>
      <c r="O756" s="84"/>
      <c r="P756" s="84"/>
      <c r="Q756" s="84"/>
      <c r="R756" s="84"/>
      <c r="S756" s="84"/>
      <c r="T756" s="84"/>
      <c r="U756" s="84"/>
      <c r="V756" s="84"/>
      <c r="W756" s="84"/>
      <c r="X756" s="84"/>
      <c r="Y756" s="84"/>
      <c r="Z756" s="84"/>
    </row>
    <row r="757" spans="1:26" ht="15.75" customHeight="1" x14ac:dyDescent="0.25">
      <c r="A757" s="85" t="s">
        <v>1958</v>
      </c>
      <c r="B757" s="189" t="s">
        <v>335</v>
      </c>
      <c r="C757" s="9" t="s">
        <v>322</v>
      </c>
      <c r="D757" s="190" t="s">
        <v>304</v>
      </c>
      <c r="E757" s="191" t="s">
        <v>305</v>
      </c>
      <c r="F757" s="192" t="s">
        <v>304</v>
      </c>
      <c r="G757" s="191" t="s">
        <v>305</v>
      </c>
      <c r="H757" s="189" t="s">
        <v>1179</v>
      </c>
      <c r="I757" s="193" t="s">
        <v>1180</v>
      </c>
      <c r="J757" s="82" t="s">
        <v>305</v>
      </c>
      <c r="K757" s="83" t="s">
        <v>184</v>
      </c>
      <c r="O757" s="84"/>
      <c r="P757" s="84"/>
      <c r="Q757" s="84"/>
      <c r="R757" s="84"/>
      <c r="S757" s="84"/>
      <c r="T757" s="84"/>
      <c r="U757" s="84"/>
      <c r="V757" s="84"/>
      <c r="W757" s="84"/>
      <c r="X757" s="84"/>
      <c r="Y757" s="84"/>
      <c r="Z757" s="84"/>
    </row>
    <row r="758" spans="1:26" ht="15.75" customHeight="1" x14ac:dyDescent="0.25">
      <c r="A758" s="85" t="s">
        <v>1959</v>
      </c>
      <c r="B758" s="189" t="s">
        <v>309</v>
      </c>
      <c r="C758" s="9" t="s">
        <v>303</v>
      </c>
      <c r="D758" s="190">
        <v>12</v>
      </c>
      <c r="E758" s="191">
        <v>120</v>
      </c>
      <c r="F758" s="192">
        <v>6</v>
      </c>
      <c r="G758" s="191">
        <v>100</v>
      </c>
      <c r="H758" s="189" t="s">
        <v>823</v>
      </c>
      <c r="I758" s="193" t="s">
        <v>823</v>
      </c>
      <c r="J758" s="82" t="s">
        <v>305</v>
      </c>
      <c r="K758" s="83" t="s">
        <v>184</v>
      </c>
      <c r="O758" s="84"/>
      <c r="P758" s="84"/>
      <c r="Q758" s="84"/>
      <c r="R758" s="84"/>
      <c r="S758" s="84"/>
      <c r="T758" s="84"/>
      <c r="U758" s="84"/>
      <c r="V758" s="84"/>
      <c r="W758" s="84"/>
      <c r="X758" s="84"/>
      <c r="Y758" s="84"/>
      <c r="Z758" s="84"/>
    </row>
    <row r="759" spans="1:26" ht="15.75" customHeight="1" x14ac:dyDescent="0.25">
      <c r="A759" s="85" t="s">
        <v>1960</v>
      </c>
      <c r="B759" s="189" t="s">
        <v>309</v>
      </c>
      <c r="C759" s="9" t="s">
        <v>314</v>
      </c>
      <c r="D759" s="190">
        <v>13</v>
      </c>
      <c r="E759" s="191">
        <v>125</v>
      </c>
      <c r="F759" s="192">
        <v>6</v>
      </c>
      <c r="G759" s="191">
        <v>100</v>
      </c>
      <c r="H759" s="189" t="s">
        <v>823</v>
      </c>
      <c r="I759" s="193" t="s">
        <v>823</v>
      </c>
      <c r="J759" s="82" t="s">
        <v>305</v>
      </c>
      <c r="K759" s="83" t="s">
        <v>184</v>
      </c>
      <c r="O759" s="84"/>
      <c r="P759" s="84"/>
      <c r="Q759" s="84"/>
      <c r="R759" s="84"/>
      <c r="S759" s="84"/>
      <c r="T759" s="84"/>
      <c r="U759" s="84"/>
      <c r="V759" s="84"/>
      <c r="W759" s="84"/>
      <c r="X759" s="84"/>
      <c r="Y759" s="84"/>
      <c r="Z759" s="84"/>
    </row>
    <row r="760" spans="1:26" ht="15.75" customHeight="1" x14ac:dyDescent="0.25">
      <c r="A760" s="85" t="s">
        <v>1961</v>
      </c>
      <c r="B760" s="189" t="s">
        <v>335</v>
      </c>
      <c r="C760" s="9" t="s">
        <v>303</v>
      </c>
      <c r="D760" s="190" t="s">
        <v>304</v>
      </c>
      <c r="E760" s="191" t="s">
        <v>305</v>
      </c>
      <c r="F760" s="192">
        <v>8</v>
      </c>
      <c r="G760" s="191">
        <v>90</v>
      </c>
      <c r="H760" s="189" t="s">
        <v>1962</v>
      </c>
      <c r="I760" s="193" t="s">
        <v>1962</v>
      </c>
      <c r="J760" s="82" t="s">
        <v>305</v>
      </c>
      <c r="K760" s="83" t="s">
        <v>184</v>
      </c>
      <c r="O760" s="84"/>
      <c r="P760" s="84"/>
      <c r="Q760" s="84"/>
      <c r="R760" s="84"/>
      <c r="S760" s="84"/>
      <c r="T760" s="84"/>
      <c r="U760" s="84"/>
      <c r="V760" s="84"/>
      <c r="W760" s="84"/>
      <c r="X760" s="84"/>
      <c r="Y760" s="84"/>
      <c r="Z760" s="84"/>
    </row>
    <row r="761" spans="1:26" ht="15.75" customHeight="1" x14ac:dyDescent="0.25">
      <c r="A761" s="85" t="s">
        <v>1963</v>
      </c>
      <c r="B761" s="189" t="s">
        <v>407</v>
      </c>
      <c r="C761" s="9" t="s">
        <v>314</v>
      </c>
      <c r="D761" s="190">
        <v>20</v>
      </c>
      <c r="E761" s="191">
        <v>195</v>
      </c>
      <c r="F761" s="192" t="s">
        <v>304</v>
      </c>
      <c r="G761" s="191" t="s">
        <v>305</v>
      </c>
      <c r="H761" s="189" t="s">
        <v>1964</v>
      </c>
      <c r="I761" s="193" t="s">
        <v>1964</v>
      </c>
      <c r="J761" s="82" t="s">
        <v>305</v>
      </c>
      <c r="K761" s="83" t="s">
        <v>184</v>
      </c>
      <c r="O761" s="84"/>
      <c r="P761" s="84"/>
      <c r="Q761" s="84"/>
      <c r="R761" s="84"/>
      <c r="S761" s="84"/>
      <c r="T761" s="84"/>
      <c r="U761" s="84"/>
      <c r="V761" s="84"/>
      <c r="W761" s="84"/>
      <c r="X761" s="84"/>
      <c r="Y761" s="84"/>
      <c r="Z761" s="84"/>
    </row>
    <row r="762" spans="1:26" ht="15.75" customHeight="1" x14ac:dyDescent="0.25">
      <c r="A762" s="85" t="s">
        <v>1965</v>
      </c>
      <c r="B762" s="189" t="s">
        <v>530</v>
      </c>
      <c r="C762" s="9" t="s">
        <v>303</v>
      </c>
      <c r="D762" s="190">
        <v>10</v>
      </c>
      <c r="E762" s="191">
        <v>100</v>
      </c>
      <c r="F762" s="192">
        <v>7</v>
      </c>
      <c r="G762" s="191">
        <v>95</v>
      </c>
      <c r="H762" s="189" t="s">
        <v>342</v>
      </c>
      <c r="I762" s="193" t="s">
        <v>343</v>
      </c>
      <c r="J762" s="82" t="s">
        <v>305</v>
      </c>
      <c r="K762" s="83" t="s">
        <v>184</v>
      </c>
      <c r="O762" s="84"/>
      <c r="P762" s="84"/>
      <c r="Q762" s="84"/>
      <c r="R762" s="84"/>
      <c r="S762" s="84"/>
      <c r="T762" s="84"/>
      <c r="U762" s="84"/>
      <c r="V762" s="84"/>
      <c r="W762" s="84"/>
      <c r="X762" s="84"/>
      <c r="Y762" s="84"/>
      <c r="Z762" s="84"/>
    </row>
    <row r="763" spans="1:26" ht="15.75" customHeight="1" x14ac:dyDescent="0.25">
      <c r="A763" s="85" t="s">
        <v>1966</v>
      </c>
      <c r="B763" s="189" t="s">
        <v>302</v>
      </c>
      <c r="C763" s="9" t="s">
        <v>314</v>
      </c>
      <c r="D763" s="190">
        <v>7</v>
      </c>
      <c r="E763" s="191">
        <v>65</v>
      </c>
      <c r="F763" s="192">
        <v>6</v>
      </c>
      <c r="G763" s="191">
        <v>100</v>
      </c>
      <c r="H763" s="189" t="s">
        <v>508</v>
      </c>
      <c r="I763" s="193" t="s">
        <v>509</v>
      </c>
      <c r="J763" s="82">
        <v>30</v>
      </c>
      <c r="K763" s="83">
        <v>15</v>
      </c>
      <c r="O763" s="84"/>
      <c r="P763" s="84"/>
      <c r="Q763" s="84"/>
      <c r="R763" s="84"/>
      <c r="S763" s="84"/>
      <c r="T763" s="84"/>
      <c r="U763" s="84"/>
      <c r="V763" s="84"/>
      <c r="W763" s="84"/>
      <c r="X763" s="84"/>
      <c r="Y763" s="84"/>
      <c r="Z763" s="84"/>
    </row>
    <row r="764" spans="1:26" ht="15.75" customHeight="1" x14ac:dyDescent="0.25">
      <c r="A764" s="85" t="s">
        <v>1967</v>
      </c>
      <c r="B764" s="189" t="s">
        <v>377</v>
      </c>
      <c r="C764" s="9" t="s">
        <v>303</v>
      </c>
      <c r="D764" s="190">
        <v>9</v>
      </c>
      <c r="E764" s="191">
        <v>90</v>
      </c>
      <c r="F764" s="192">
        <v>6</v>
      </c>
      <c r="G764" s="191">
        <v>100</v>
      </c>
      <c r="H764" s="189" t="s">
        <v>1968</v>
      </c>
      <c r="I764" s="193" t="s">
        <v>1969</v>
      </c>
      <c r="J764" s="82" t="s">
        <v>305</v>
      </c>
      <c r="K764" s="83" t="s">
        <v>184</v>
      </c>
      <c r="O764" s="84"/>
      <c r="P764" s="84"/>
      <c r="Q764" s="84"/>
      <c r="R764" s="84"/>
      <c r="S764" s="84"/>
      <c r="T764" s="84"/>
      <c r="U764" s="84"/>
      <c r="V764" s="84"/>
      <c r="W764" s="84"/>
      <c r="X764" s="84"/>
      <c r="Y764" s="84"/>
      <c r="Z764" s="84"/>
    </row>
    <row r="765" spans="1:26" ht="15.75" customHeight="1" x14ac:dyDescent="0.25">
      <c r="A765" s="85" t="s">
        <v>1970</v>
      </c>
      <c r="B765" s="189" t="s">
        <v>359</v>
      </c>
      <c r="C765" s="9" t="s">
        <v>303</v>
      </c>
      <c r="D765" s="190">
        <v>9</v>
      </c>
      <c r="E765" s="191">
        <v>90</v>
      </c>
      <c r="F765" s="192">
        <v>6</v>
      </c>
      <c r="G765" s="191">
        <v>100</v>
      </c>
      <c r="H765" s="189" t="s">
        <v>1971</v>
      </c>
      <c r="I765" s="193" t="s">
        <v>1972</v>
      </c>
      <c r="J765" s="82" t="s">
        <v>305</v>
      </c>
      <c r="K765" s="83" t="s">
        <v>184</v>
      </c>
      <c r="O765" s="84"/>
      <c r="P765" s="84"/>
      <c r="Q765" s="84"/>
      <c r="R765" s="84"/>
      <c r="S765" s="84"/>
      <c r="T765" s="84"/>
      <c r="U765" s="84"/>
      <c r="V765" s="84"/>
      <c r="W765" s="84"/>
      <c r="X765" s="84"/>
      <c r="Y765" s="84"/>
      <c r="Z765" s="84"/>
    </row>
    <row r="766" spans="1:26" ht="15.75" customHeight="1" x14ac:dyDescent="0.25">
      <c r="A766" s="85" t="s">
        <v>1973</v>
      </c>
      <c r="B766" s="189" t="s">
        <v>407</v>
      </c>
      <c r="C766" s="9" t="s">
        <v>314</v>
      </c>
      <c r="D766" s="190">
        <v>9</v>
      </c>
      <c r="E766" s="191">
        <v>90</v>
      </c>
      <c r="F766" s="192">
        <v>6</v>
      </c>
      <c r="G766" s="191">
        <v>100</v>
      </c>
      <c r="H766" s="189" t="s">
        <v>1974</v>
      </c>
      <c r="I766" s="193" t="s">
        <v>1975</v>
      </c>
      <c r="J766" s="82" t="s">
        <v>305</v>
      </c>
      <c r="K766" s="83" t="s">
        <v>184</v>
      </c>
      <c r="O766" s="84"/>
      <c r="P766" s="84"/>
      <c r="Q766" s="84"/>
      <c r="R766" s="84"/>
      <c r="S766" s="84"/>
      <c r="T766" s="84"/>
      <c r="U766" s="84"/>
      <c r="V766" s="84"/>
      <c r="W766" s="84"/>
      <c r="X766" s="84"/>
      <c r="Y766" s="84"/>
      <c r="Z766" s="84"/>
    </row>
    <row r="767" spans="1:26" ht="15.75" customHeight="1" x14ac:dyDescent="0.25">
      <c r="A767" s="85" t="s">
        <v>1976</v>
      </c>
      <c r="B767" s="189" t="s">
        <v>348</v>
      </c>
      <c r="C767" s="9" t="s">
        <v>322</v>
      </c>
      <c r="D767" s="190" t="s">
        <v>304</v>
      </c>
      <c r="E767" s="191" t="s">
        <v>305</v>
      </c>
      <c r="F767" s="192" t="s">
        <v>304</v>
      </c>
      <c r="G767" s="191" t="s">
        <v>305</v>
      </c>
      <c r="H767" s="189" t="s">
        <v>1977</v>
      </c>
      <c r="I767" s="193" t="s">
        <v>1978</v>
      </c>
      <c r="J767" s="82" t="s">
        <v>305</v>
      </c>
      <c r="K767" s="83" t="s">
        <v>184</v>
      </c>
      <c r="O767" s="84"/>
      <c r="P767" s="84"/>
      <c r="Q767" s="84"/>
      <c r="R767" s="84"/>
      <c r="S767" s="84"/>
      <c r="T767" s="84"/>
      <c r="U767" s="84"/>
      <c r="V767" s="84"/>
      <c r="W767" s="84"/>
      <c r="X767" s="84"/>
      <c r="Y767" s="84"/>
      <c r="Z767" s="84"/>
    </row>
    <row r="768" spans="1:26" ht="15.75" customHeight="1" x14ac:dyDescent="0.25">
      <c r="A768" s="85" t="s">
        <v>1979</v>
      </c>
      <c r="B768" s="189" t="s">
        <v>309</v>
      </c>
      <c r="C768" s="9" t="s">
        <v>322</v>
      </c>
      <c r="D768" s="190" t="s">
        <v>304</v>
      </c>
      <c r="E768" s="191" t="s">
        <v>305</v>
      </c>
      <c r="F768" s="192">
        <v>24.4</v>
      </c>
      <c r="G768" s="191">
        <v>8</v>
      </c>
      <c r="H768" s="189" t="s">
        <v>1980</v>
      </c>
      <c r="I768" s="193" t="s">
        <v>1981</v>
      </c>
      <c r="J768" s="82" t="s">
        <v>305</v>
      </c>
      <c r="K768" s="83" t="s">
        <v>184</v>
      </c>
      <c r="O768" s="84"/>
      <c r="P768" s="84"/>
      <c r="Q768" s="84"/>
      <c r="R768" s="84"/>
      <c r="S768" s="84"/>
      <c r="T768" s="84"/>
      <c r="U768" s="84"/>
      <c r="V768" s="84"/>
      <c r="W768" s="84"/>
      <c r="X768" s="84"/>
      <c r="Y768" s="84"/>
      <c r="Z768" s="84"/>
    </row>
    <row r="769" spans="1:26" ht="15.75" customHeight="1" x14ac:dyDescent="0.25">
      <c r="A769" s="85" t="s">
        <v>1982</v>
      </c>
      <c r="B769" s="189" t="s">
        <v>411</v>
      </c>
      <c r="C769" s="9" t="s">
        <v>322</v>
      </c>
      <c r="D769" s="190" t="s">
        <v>304</v>
      </c>
      <c r="E769" s="191" t="s">
        <v>305</v>
      </c>
      <c r="F769" s="192" t="s">
        <v>304</v>
      </c>
      <c r="G769" s="191" t="s">
        <v>305</v>
      </c>
      <c r="H769" s="189" t="s">
        <v>1983</v>
      </c>
      <c r="I769" s="193" t="s">
        <v>1984</v>
      </c>
      <c r="J769" s="82" t="s">
        <v>305</v>
      </c>
      <c r="K769" s="83" t="s">
        <v>184</v>
      </c>
      <c r="O769" s="84"/>
      <c r="P769" s="84"/>
      <c r="Q769" s="84"/>
      <c r="R769" s="84"/>
      <c r="S769" s="84"/>
      <c r="T769" s="84"/>
      <c r="U769" s="84"/>
      <c r="V769" s="84"/>
      <c r="W769" s="84"/>
      <c r="X769" s="84"/>
      <c r="Y769" s="84"/>
      <c r="Z769" s="84"/>
    </row>
    <row r="770" spans="1:26" ht="15.75" customHeight="1" x14ac:dyDescent="0.25">
      <c r="A770" s="85" t="s">
        <v>1985</v>
      </c>
      <c r="B770" s="189" t="s">
        <v>335</v>
      </c>
      <c r="C770" s="9" t="s">
        <v>314</v>
      </c>
      <c r="D770" s="190">
        <v>2</v>
      </c>
      <c r="E770" s="191">
        <v>20</v>
      </c>
      <c r="F770" s="192">
        <v>6</v>
      </c>
      <c r="G770" s="191">
        <v>100</v>
      </c>
      <c r="H770" s="189" t="s">
        <v>387</v>
      </c>
      <c r="I770" s="193" t="s">
        <v>388</v>
      </c>
      <c r="J770" s="82" t="s">
        <v>305</v>
      </c>
      <c r="K770" s="83" t="s">
        <v>184</v>
      </c>
      <c r="O770" s="84"/>
      <c r="P770" s="84"/>
      <c r="Q770" s="84"/>
      <c r="R770" s="84"/>
      <c r="S770" s="84"/>
      <c r="T770" s="84"/>
      <c r="U770" s="84"/>
      <c r="V770" s="84"/>
      <c r="W770" s="84"/>
      <c r="X770" s="84"/>
      <c r="Y770" s="84"/>
      <c r="Z770" s="84"/>
    </row>
    <row r="771" spans="1:26" ht="15.75" customHeight="1" x14ac:dyDescent="0.25">
      <c r="A771" s="85" t="s">
        <v>1986</v>
      </c>
      <c r="B771" s="189" t="s">
        <v>515</v>
      </c>
      <c r="C771" s="9" t="s">
        <v>322</v>
      </c>
      <c r="D771" s="190" t="s">
        <v>304</v>
      </c>
      <c r="E771" s="191" t="s">
        <v>305</v>
      </c>
      <c r="F771" s="192" t="s">
        <v>304</v>
      </c>
      <c r="G771" s="191" t="s">
        <v>305</v>
      </c>
      <c r="H771" s="189" t="s">
        <v>1987</v>
      </c>
      <c r="I771" s="193" t="s">
        <v>1988</v>
      </c>
      <c r="J771" s="82" t="s">
        <v>305</v>
      </c>
      <c r="K771" s="83" t="s">
        <v>184</v>
      </c>
      <c r="O771" s="84"/>
      <c r="P771" s="84"/>
      <c r="Q771" s="84"/>
      <c r="R771" s="84"/>
      <c r="S771" s="84"/>
      <c r="T771" s="84"/>
      <c r="U771" s="84"/>
      <c r="V771" s="84"/>
      <c r="W771" s="84"/>
      <c r="X771" s="84"/>
      <c r="Y771" s="84"/>
      <c r="Z771" s="84"/>
    </row>
    <row r="772" spans="1:26" ht="15.75" customHeight="1" x14ac:dyDescent="0.25">
      <c r="A772" s="85" t="s">
        <v>1989</v>
      </c>
      <c r="B772" s="189" t="s">
        <v>309</v>
      </c>
      <c r="C772" s="9" t="s">
        <v>322</v>
      </c>
      <c r="D772" s="190" t="s">
        <v>304</v>
      </c>
      <c r="E772" s="191" t="s">
        <v>305</v>
      </c>
      <c r="F772" s="192" t="s">
        <v>304</v>
      </c>
      <c r="G772" s="191" t="s">
        <v>305</v>
      </c>
      <c r="H772" s="189" t="s">
        <v>1990</v>
      </c>
      <c r="I772" s="193" t="s">
        <v>1991</v>
      </c>
      <c r="J772" s="82" t="s">
        <v>305</v>
      </c>
      <c r="K772" s="83" t="s">
        <v>184</v>
      </c>
      <c r="O772" s="84"/>
      <c r="P772" s="84"/>
      <c r="Q772" s="84"/>
      <c r="R772" s="84"/>
      <c r="S772" s="84"/>
      <c r="T772" s="84"/>
      <c r="U772" s="84"/>
      <c r="V772" s="84"/>
      <c r="W772" s="84"/>
      <c r="X772" s="84"/>
      <c r="Y772" s="84"/>
      <c r="Z772" s="84"/>
    </row>
    <row r="773" spans="1:26" ht="15.75" customHeight="1" x14ac:dyDescent="0.25">
      <c r="A773" s="85" t="s">
        <v>1992</v>
      </c>
      <c r="B773" s="189" t="s">
        <v>367</v>
      </c>
      <c r="C773" s="9" t="s">
        <v>314</v>
      </c>
      <c r="D773" s="190">
        <v>10</v>
      </c>
      <c r="E773" s="191">
        <v>100</v>
      </c>
      <c r="F773" s="192">
        <v>6</v>
      </c>
      <c r="G773" s="191">
        <v>100</v>
      </c>
      <c r="H773" s="189" t="s">
        <v>1993</v>
      </c>
      <c r="I773" s="193" t="s">
        <v>1994</v>
      </c>
      <c r="J773" s="82" t="s">
        <v>305</v>
      </c>
      <c r="K773" s="83" t="s">
        <v>184</v>
      </c>
      <c r="O773" s="84"/>
      <c r="P773" s="84"/>
      <c r="Q773" s="84"/>
      <c r="R773" s="84"/>
      <c r="S773" s="84"/>
      <c r="T773" s="84"/>
      <c r="U773" s="84"/>
      <c r="V773" s="84"/>
      <c r="W773" s="84"/>
      <c r="X773" s="84"/>
      <c r="Y773" s="84"/>
      <c r="Z773" s="84"/>
    </row>
    <row r="774" spans="1:26" ht="15.75" customHeight="1" x14ac:dyDescent="0.25">
      <c r="A774" s="85" t="s">
        <v>1995</v>
      </c>
      <c r="B774" s="189" t="s">
        <v>359</v>
      </c>
      <c r="C774" s="9" t="s">
        <v>314</v>
      </c>
      <c r="D774" s="190">
        <v>8</v>
      </c>
      <c r="E774" s="191">
        <v>75</v>
      </c>
      <c r="F774" s="192">
        <v>6</v>
      </c>
      <c r="G774" s="191">
        <v>100</v>
      </c>
      <c r="H774" s="189" t="s">
        <v>641</v>
      </c>
      <c r="I774" s="193" t="s">
        <v>642</v>
      </c>
      <c r="J774" s="82">
        <v>100</v>
      </c>
      <c r="K774" s="83">
        <v>1</v>
      </c>
      <c r="O774" s="84"/>
      <c r="P774" s="84"/>
      <c r="Q774" s="84"/>
      <c r="R774" s="84"/>
      <c r="S774" s="84"/>
      <c r="T774" s="84"/>
      <c r="U774" s="84"/>
      <c r="V774" s="84"/>
      <c r="W774" s="84"/>
      <c r="X774" s="84"/>
      <c r="Y774" s="84"/>
      <c r="Z774" s="84"/>
    </row>
    <row r="775" spans="1:26" ht="15.75" customHeight="1" x14ac:dyDescent="0.25">
      <c r="A775" s="85" t="s">
        <v>1996</v>
      </c>
      <c r="B775" s="189" t="s">
        <v>407</v>
      </c>
      <c r="C775" s="9" t="s">
        <v>314</v>
      </c>
      <c r="D775" s="190">
        <v>8</v>
      </c>
      <c r="E775" s="191">
        <v>80</v>
      </c>
      <c r="F775" s="192">
        <v>6</v>
      </c>
      <c r="G775" s="191">
        <v>100</v>
      </c>
      <c r="H775" s="189" t="s">
        <v>1997</v>
      </c>
      <c r="I775" s="193" t="s">
        <v>1998</v>
      </c>
      <c r="J775" s="82" t="s">
        <v>305</v>
      </c>
      <c r="K775" s="83" t="s">
        <v>184</v>
      </c>
      <c r="O775" s="84"/>
      <c r="P775" s="84"/>
      <c r="Q775" s="84"/>
      <c r="R775" s="84"/>
      <c r="S775" s="84"/>
      <c r="T775" s="84"/>
      <c r="U775" s="84"/>
      <c r="V775" s="84"/>
      <c r="W775" s="84"/>
      <c r="X775" s="84"/>
      <c r="Y775" s="84"/>
      <c r="Z775" s="84"/>
    </row>
    <row r="776" spans="1:26" ht="15.75" customHeight="1" x14ac:dyDescent="0.25">
      <c r="A776" s="85" t="s">
        <v>1999</v>
      </c>
      <c r="B776" s="189" t="s">
        <v>335</v>
      </c>
      <c r="C776" s="9" t="s">
        <v>303</v>
      </c>
      <c r="D776" s="190" t="s">
        <v>304</v>
      </c>
      <c r="E776" s="191" t="s">
        <v>305</v>
      </c>
      <c r="F776" s="192">
        <v>6</v>
      </c>
      <c r="G776" s="191">
        <v>100</v>
      </c>
      <c r="H776" s="189" t="s">
        <v>2000</v>
      </c>
      <c r="I776" s="193" t="s">
        <v>2001</v>
      </c>
      <c r="J776" s="82" t="s">
        <v>305</v>
      </c>
      <c r="K776" s="83" t="s">
        <v>184</v>
      </c>
      <c r="O776" s="84"/>
      <c r="P776" s="84"/>
      <c r="Q776" s="84"/>
      <c r="R776" s="84"/>
      <c r="S776" s="84"/>
      <c r="T776" s="84"/>
      <c r="U776" s="84"/>
      <c r="V776" s="84"/>
      <c r="W776" s="84"/>
      <c r="X776" s="84"/>
      <c r="Y776" s="84"/>
      <c r="Z776" s="84"/>
    </row>
    <row r="777" spans="1:26" ht="15.75" customHeight="1" x14ac:dyDescent="0.25">
      <c r="A777" s="85" t="s">
        <v>2002</v>
      </c>
      <c r="B777" s="189" t="s">
        <v>407</v>
      </c>
      <c r="C777" s="9" t="s">
        <v>322</v>
      </c>
      <c r="D777" s="190" t="s">
        <v>304</v>
      </c>
      <c r="E777" s="191" t="s">
        <v>305</v>
      </c>
      <c r="F777" s="192">
        <v>6</v>
      </c>
      <c r="G777" s="191">
        <v>100</v>
      </c>
      <c r="H777" s="189" t="s">
        <v>2003</v>
      </c>
      <c r="I777" s="193" t="s">
        <v>2004</v>
      </c>
      <c r="J777" s="82" t="s">
        <v>305</v>
      </c>
      <c r="K777" s="83" t="s">
        <v>184</v>
      </c>
      <c r="O777" s="84"/>
      <c r="P777" s="84"/>
      <c r="Q777" s="84"/>
      <c r="R777" s="84"/>
      <c r="S777" s="84"/>
      <c r="T777" s="84"/>
      <c r="U777" s="84"/>
      <c r="V777" s="84"/>
      <c r="W777" s="84"/>
      <c r="X777" s="84"/>
      <c r="Y777" s="84"/>
      <c r="Z777" s="84"/>
    </row>
    <row r="778" spans="1:26" ht="15.75" customHeight="1" x14ac:dyDescent="0.25">
      <c r="A778" s="85" t="s">
        <v>2005</v>
      </c>
      <c r="B778" s="189" t="s">
        <v>335</v>
      </c>
      <c r="C778" s="9" t="s">
        <v>322</v>
      </c>
      <c r="D778" s="190" t="s">
        <v>304</v>
      </c>
      <c r="E778" s="191" t="s">
        <v>305</v>
      </c>
      <c r="F778" s="192" t="s">
        <v>304</v>
      </c>
      <c r="G778" s="191" t="s">
        <v>305</v>
      </c>
      <c r="H778" s="189" t="s">
        <v>2006</v>
      </c>
      <c r="I778" s="193" t="s">
        <v>2007</v>
      </c>
      <c r="J778" s="82" t="s">
        <v>305</v>
      </c>
      <c r="K778" s="83" t="s">
        <v>184</v>
      </c>
      <c r="O778" s="84"/>
      <c r="P778" s="84"/>
      <c r="Q778" s="84"/>
      <c r="R778" s="84"/>
      <c r="S778" s="84"/>
      <c r="T778" s="84"/>
      <c r="U778" s="84"/>
      <c r="V778" s="84"/>
      <c r="W778" s="84"/>
      <c r="X778" s="84"/>
      <c r="Y778" s="84"/>
      <c r="Z778" s="84"/>
    </row>
    <row r="779" spans="1:26" ht="15.75" customHeight="1" x14ac:dyDescent="0.25">
      <c r="A779" s="85" t="s">
        <v>2008</v>
      </c>
      <c r="B779" s="189" t="s">
        <v>313</v>
      </c>
      <c r="C779" s="9" t="s">
        <v>314</v>
      </c>
      <c r="D779" s="190">
        <v>19</v>
      </c>
      <c r="E779" s="191">
        <v>190</v>
      </c>
      <c r="F779" s="192" t="s">
        <v>304</v>
      </c>
      <c r="G779" s="191" t="s">
        <v>305</v>
      </c>
      <c r="H779" s="189" t="s">
        <v>2009</v>
      </c>
      <c r="I779" s="193" t="s">
        <v>2009</v>
      </c>
      <c r="J779" s="82" t="s">
        <v>305</v>
      </c>
      <c r="K779" s="83" t="s">
        <v>184</v>
      </c>
      <c r="O779" s="84"/>
      <c r="P779" s="84"/>
      <c r="Q779" s="84"/>
      <c r="R779" s="84"/>
      <c r="S779" s="84"/>
      <c r="T779" s="84"/>
      <c r="U779" s="84"/>
      <c r="V779" s="84"/>
      <c r="W779" s="84"/>
      <c r="X779" s="84"/>
      <c r="Y779" s="84"/>
      <c r="Z779" s="84"/>
    </row>
    <row r="780" spans="1:26" ht="15.75" customHeight="1" x14ac:dyDescent="0.25">
      <c r="A780" s="85" t="s">
        <v>2010</v>
      </c>
      <c r="B780" s="189" t="s">
        <v>377</v>
      </c>
      <c r="C780" s="9" t="s">
        <v>303</v>
      </c>
      <c r="D780" s="190">
        <v>9</v>
      </c>
      <c r="E780" s="191">
        <v>90</v>
      </c>
      <c r="F780" s="192">
        <v>6</v>
      </c>
      <c r="G780" s="191">
        <v>100</v>
      </c>
      <c r="H780" s="189" t="s">
        <v>508</v>
      </c>
      <c r="I780" s="193" t="s">
        <v>509</v>
      </c>
      <c r="J780" s="82">
        <v>30</v>
      </c>
      <c r="K780" s="83">
        <v>15</v>
      </c>
      <c r="O780" s="84"/>
      <c r="P780" s="84"/>
      <c r="Q780" s="84"/>
      <c r="R780" s="84"/>
      <c r="S780" s="84"/>
      <c r="T780" s="84"/>
      <c r="U780" s="84"/>
      <c r="V780" s="84"/>
      <c r="W780" s="84"/>
      <c r="X780" s="84"/>
      <c r="Y780" s="84"/>
      <c r="Z780" s="84"/>
    </row>
    <row r="781" spans="1:26" ht="15.75" customHeight="1" x14ac:dyDescent="0.25">
      <c r="A781" s="85" t="s">
        <v>2011</v>
      </c>
      <c r="B781" s="189" t="s">
        <v>309</v>
      </c>
      <c r="C781" s="9" t="s">
        <v>322</v>
      </c>
      <c r="D781" s="190" t="s">
        <v>304</v>
      </c>
      <c r="E781" s="191" t="s">
        <v>305</v>
      </c>
      <c r="F781" s="192">
        <v>6</v>
      </c>
      <c r="G781" s="191">
        <v>100</v>
      </c>
      <c r="H781" s="189" t="s">
        <v>1117</v>
      </c>
      <c r="I781" s="193" t="s">
        <v>1118</v>
      </c>
      <c r="J781" s="82" t="s">
        <v>305</v>
      </c>
      <c r="K781" s="83" t="s">
        <v>184</v>
      </c>
      <c r="O781" s="84"/>
      <c r="P781" s="84"/>
      <c r="Q781" s="84"/>
      <c r="R781" s="84"/>
      <c r="S781" s="84"/>
      <c r="T781" s="84"/>
      <c r="U781" s="84"/>
      <c r="V781" s="84"/>
      <c r="W781" s="84"/>
      <c r="X781" s="84"/>
      <c r="Y781" s="84"/>
      <c r="Z781" s="84"/>
    </row>
    <row r="782" spans="1:26" ht="15.75" customHeight="1" x14ac:dyDescent="0.25">
      <c r="A782" s="85" t="s">
        <v>2012</v>
      </c>
      <c r="B782" s="189" t="s">
        <v>335</v>
      </c>
      <c r="C782" s="9" t="s">
        <v>322</v>
      </c>
      <c r="D782" s="190" t="s">
        <v>304</v>
      </c>
      <c r="E782" s="191" t="s">
        <v>305</v>
      </c>
      <c r="F782" s="192" t="s">
        <v>304</v>
      </c>
      <c r="G782" s="191" t="s">
        <v>305</v>
      </c>
      <c r="H782" s="189" t="s">
        <v>2013</v>
      </c>
      <c r="I782" s="193" t="s">
        <v>2014</v>
      </c>
      <c r="J782" s="82" t="s">
        <v>305</v>
      </c>
      <c r="K782" s="83" t="s">
        <v>184</v>
      </c>
      <c r="O782" s="84"/>
      <c r="P782" s="84"/>
      <c r="Q782" s="84"/>
      <c r="R782" s="84"/>
      <c r="S782" s="84"/>
      <c r="T782" s="84"/>
      <c r="U782" s="84"/>
      <c r="V782" s="84"/>
      <c r="W782" s="84"/>
      <c r="X782" s="84"/>
      <c r="Y782" s="84"/>
      <c r="Z782" s="84"/>
    </row>
    <row r="783" spans="1:26" ht="15.75" customHeight="1" x14ac:dyDescent="0.25">
      <c r="A783" s="85" t="s">
        <v>2015</v>
      </c>
      <c r="B783" s="189" t="s">
        <v>359</v>
      </c>
      <c r="C783" s="9" t="s">
        <v>303</v>
      </c>
      <c r="D783" s="190">
        <v>10</v>
      </c>
      <c r="E783" s="191">
        <v>100</v>
      </c>
      <c r="F783" s="192">
        <v>10</v>
      </c>
      <c r="G783" s="191">
        <v>80</v>
      </c>
      <c r="H783" s="189" t="s">
        <v>2016</v>
      </c>
      <c r="I783" s="193" t="s">
        <v>2017</v>
      </c>
      <c r="J783" s="82" t="s">
        <v>305</v>
      </c>
      <c r="K783" s="83" t="s">
        <v>184</v>
      </c>
      <c r="O783" s="84"/>
      <c r="P783" s="84"/>
      <c r="Q783" s="84"/>
      <c r="R783" s="84"/>
      <c r="S783" s="84"/>
      <c r="T783" s="84"/>
      <c r="U783" s="84"/>
      <c r="V783" s="84"/>
      <c r="W783" s="84"/>
      <c r="X783" s="84"/>
      <c r="Y783" s="84"/>
      <c r="Z783" s="84"/>
    </row>
    <row r="784" spans="1:26" ht="15.75" customHeight="1" x14ac:dyDescent="0.25">
      <c r="A784" s="85" t="s">
        <v>2018</v>
      </c>
      <c r="B784" s="189" t="s">
        <v>313</v>
      </c>
      <c r="C784" s="9" t="s">
        <v>322</v>
      </c>
      <c r="D784" s="190" t="s">
        <v>304</v>
      </c>
      <c r="E784" s="191" t="s">
        <v>305</v>
      </c>
      <c r="F784" s="192" t="s">
        <v>304</v>
      </c>
      <c r="G784" s="191" t="s">
        <v>305</v>
      </c>
      <c r="H784" s="189" t="s">
        <v>2019</v>
      </c>
      <c r="I784" s="193" t="s">
        <v>2020</v>
      </c>
      <c r="J784" s="82" t="s">
        <v>305</v>
      </c>
      <c r="K784" s="83" t="s">
        <v>184</v>
      </c>
      <c r="O784" s="84"/>
      <c r="P784" s="84"/>
      <c r="Q784" s="84"/>
      <c r="R784" s="84"/>
      <c r="S784" s="84"/>
      <c r="T784" s="84"/>
      <c r="U784" s="84"/>
      <c r="V784" s="84"/>
      <c r="W784" s="84"/>
      <c r="X784" s="84"/>
      <c r="Y784" s="84"/>
      <c r="Z784" s="84"/>
    </row>
    <row r="785" spans="1:26" ht="15.75" customHeight="1" x14ac:dyDescent="0.25">
      <c r="A785" s="85" t="s">
        <v>2021</v>
      </c>
      <c r="B785" s="189" t="s">
        <v>377</v>
      </c>
      <c r="C785" s="9" t="s">
        <v>303</v>
      </c>
      <c r="D785" s="190">
        <v>11</v>
      </c>
      <c r="E785" s="191">
        <v>110</v>
      </c>
      <c r="F785" s="192">
        <v>7</v>
      </c>
      <c r="G785" s="191">
        <v>95</v>
      </c>
      <c r="H785" s="189" t="s">
        <v>502</v>
      </c>
      <c r="I785" s="193" t="s">
        <v>503</v>
      </c>
      <c r="J785" s="82">
        <v>30</v>
      </c>
      <c r="K785" s="83">
        <v>15</v>
      </c>
      <c r="O785" s="84"/>
      <c r="P785" s="84"/>
      <c r="Q785" s="84"/>
      <c r="R785" s="84"/>
      <c r="S785" s="84"/>
      <c r="T785" s="84"/>
      <c r="U785" s="84"/>
      <c r="V785" s="84"/>
      <c r="W785" s="84"/>
      <c r="X785" s="84"/>
      <c r="Y785" s="84"/>
      <c r="Z785" s="84"/>
    </row>
    <row r="786" spans="1:26" ht="15.75" customHeight="1" x14ac:dyDescent="0.25">
      <c r="A786" s="85" t="s">
        <v>2022</v>
      </c>
      <c r="B786" s="189" t="s">
        <v>411</v>
      </c>
      <c r="C786" s="9" t="s">
        <v>314</v>
      </c>
      <c r="D786" s="190">
        <v>7</v>
      </c>
      <c r="E786" s="191">
        <v>65</v>
      </c>
      <c r="F786" s="192">
        <v>6</v>
      </c>
      <c r="G786" s="191">
        <v>100</v>
      </c>
      <c r="H786" s="189" t="s">
        <v>353</v>
      </c>
      <c r="I786" s="193" t="s">
        <v>354</v>
      </c>
      <c r="J786" s="82">
        <v>30</v>
      </c>
      <c r="K786" s="83">
        <v>15</v>
      </c>
      <c r="O786" s="84"/>
      <c r="P786" s="84"/>
      <c r="Q786" s="84"/>
      <c r="R786" s="84"/>
      <c r="S786" s="84"/>
      <c r="T786" s="84"/>
      <c r="U786" s="84"/>
      <c r="V786" s="84"/>
      <c r="W786" s="84"/>
      <c r="X786" s="84"/>
      <c r="Y786" s="84"/>
      <c r="Z786" s="84"/>
    </row>
    <row r="787" spans="1:26" ht="15.75" customHeight="1" x14ac:dyDescent="0.25">
      <c r="A787" s="85" t="s">
        <v>2023</v>
      </c>
      <c r="B787" s="189" t="s">
        <v>367</v>
      </c>
      <c r="C787" s="9" t="s">
        <v>303</v>
      </c>
      <c r="D787" s="190">
        <v>14</v>
      </c>
      <c r="E787" s="191">
        <v>140</v>
      </c>
      <c r="F787" s="192">
        <v>7</v>
      </c>
      <c r="G787" s="191">
        <v>95</v>
      </c>
      <c r="H787" s="189" t="s">
        <v>2024</v>
      </c>
      <c r="I787" s="193" t="s">
        <v>2025</v>
      </c>
      <c r="J787" s="82" t="s">
        <v>305</v>
      </c>
      <c r="K787" s="83" t="s">
        <v>184</v>
      </c>
      <c r="O787" s="84"/>
      <c r="P787" s="84"/>
      <c r="Q787" s="84"/>
      <c r="R787" s="84"/>
      <c r="S787" s="84"/>
      <c r="T787" s="84"/>
      <c r="U787" s="84"/>
      <c r="V787" s="84"/>
      <c r="W787" s="84"/>
      <c r="X787" s="84"/>
      <c r="Y787" s="84"/>
      <c r="Z787" s="84"/>
    </row>
    <row r="788" spans="1:26" ht="15.75" customHeight="1" x14ac:dyDescent="0.25">
      <c r="A788" s="85" t="s">
        <v>2026</v>
      </c>
      <c r="B788" s="189" t="s">
        <v>367</v>
      </c>
      <c r="C788" s="9" t="s">
        <v>314</v>
      </c>
      <c r="D788" s="190">
        <v>13</v>
      </c>
      <c r="E788" s="191">
        <v>130</v>
      </c>
      <c r="F788" s="192">
        <v>6</v>
      </c>
      <c r="G788" s="191">
        <v>100</v>
      </c>
      <c r="H788" s="189" t="s">
        <v>2027</v>
      </c>
      <c r="I788" s="193" t="s">
        <v>2027</v>
      </c>
      <c r="J788" s="82" t="s">
        <v>305</v>
      </c>
      <c r="K788" s="83" t="s">
        <v>184</v>
      </c>
      <c r="O788" s="84"/>
      <c r="P788" s="84"/>
      <c r="Q788" s="84"/>
      <c r="R788" s="84"/>
      <c r="S788" s="84"/>
      <c r="T788" s="84"/>
      <c r="U788" s="84"/>
      <c r="V788" s="84"/>
      <c r="W788" s="84"/>
      <c r="X788" s="84"/>
      <c r="Y788" s="84"/>
      <c r="Z788" s="84"/>
    </row>
    <row r="789" spans="1:26" ht="15.75" customHeight="1" x14ac:dyDescent="0.25">
      <c r="A789" s="85" t="s">
        <v>2028</v>
      </c>
      <c r="B789" s="189" t="s">
        <v>367</v>
      </c>
      <c r="C789" s="9" t="s">
        <v>314</v>
      </c>
      <c r="D789" s="190">
        <v>7</v>
      </c>
      <c r="E789" s="191">
        <v>70</v>
      </c>
      <c r="F789" s="192">
        <v>8</v>
      </c>
      <c r="G789" s="191">
        <v>90</v>
      </c>
      <c r="H789" s="189" t="s">
        <v>2029</v>
      </c>
      <c r="I789" s="193" t="s">
        <v>2030</v>
      </c>
      <c r="J789" s="82">
        <v>10</v>
      </c>
      <c r="K789" s="83">
        <v>19</v>
      </c>
      <c r="O789" s="84"/>
      <c r="P789" s="84"/>
      <c r="Q789" s="84"/>
      <c r="R789" s="84"/>
      <c r="S789" s="84"/>
      <c r="T789" s="84"/>
      <c r="U789" s="84"/>
      <c r="V789" s="84"/>
      <c r="W789" s="84"/>
      <c r="X789" s="84"/>
      <c r="Y789" s="84"/>
      <c r="Z789" s="84"/>
    </row>
    <row r="790" spans="1:26" ht="15.75" customHeight="1" x14ac:dyDescent="0.25">
      <c r="A790" s="85" t="s">
        <v>2031</v>
      </c>
      <c r="B790" s="189" t="s">
        <v>411</v>
      </c>
      <c r="C790" s="9" t="s">
        <v>322</v>
      </c>
      <c r="D790" s="190" t="s">
        <v>304</v>
      </c>
      <c r="E790" s="191" t="s">
        <v>305</v>
      </c>
      <c r="F790" s="192" t="s">
        <v>304</v>
      </c>
      <c r="G790" s="191" t="s">
        <v>305</v>
      </c>
      <c r="H790" s="189" t="s">
        <v>2032</v>
      </c>
      <c r="I790" s="193" t="s">
        <v>2033</v>
      </c>
      <c r="J790" s="82" t="s">
        <v>305</v>
      </c>
      <c r="K790" s="83" t="s">
        <v>184</v>
      </c>
      <c r="O790" s="84"/>
      <c r="P790" s="84"/>
      <c r="Q790" s="84"/>
      <c r="R790" s="84"/>
      <c r="S790" s="84"/>
      <c r="T790" s="84"/>
      <c r="U790" s="84"/>
      <c r="V790" s="84"/>
      <c r="W790" s="84"/>
      <c r="X790" s="84"/>
      <c r="Y790" s="84"/>
      <c r="Z790" s="84"/>
    </row>
    <row r="791" spans="1:26" ht="15.75" customHeight="1" x14ac:dyDescent="0.25">
      <c r="A791" s="85" t="s">
        <v>2034</v>
      </c>
      <c r="B791" s="189" t="s">
        <v>335</v>
      </c>
      <c r="C791" s="9" t="s">
        <v>322</v>
      </c>
      <c r="D791" s="190" t="s">
        <v>304</v>
      </c>
      <c r="E791" s="191" t="s">
        <v>305</v>
      </c>
      <c r="F791" s="192" t="s">
        <v>304</v>
      </c>
      <c r="G791" s="191" t="s">
        <v>305</v>
      </c>
      <c r="H791" s="189" t="s">
        <v>2035</v>
      </c>
      <c r="I791" s="193" t="s">
        <v>2036</v>
      </c>
      <c r="J791" s="82" t="s">
        <v>305</v>
      </c>
      <c r="K791" s="83" t="s">
        <v>184</v>
      </c>
      <c r="O791" s="84"/>
      <c r="P791" s="84"/>
      <c r="Q791" s="84"/>
      <c r="R791" s="84"/>
      <c r="S791" s="84"/>
      <c r="T791" s="84"/>
      <c r="U791" s="84"/>
      <c r="V791" s="84"/>
      <c r="W791" s="84"/>
      <c r="X791" s="84"/>
      <c r="Y791" s="84"/>
      <c r="Z791" s="84"/>
    </row>
    <row r="792" spans="1:26" ht="15.75" customHeight="1" x14ac:dyDescent="0.25">
      <c r="A792" s="85" t="s">
        <v>2037</v>
      </c>
      <c r="B792" s="189" t="s">
        <v>302</v>
      </c>
      <c r="C792" s="9" t="s">
        <v>303</v>
      </c>
      <c r="D792" s="190">
        <v>18</v>
      </c>
      <c r="E792" s="191">
        <v>175</v>
      </c>
      <c r="F792" s="192" t="s">
        <v>304</v>
      </c>
      <c r="G792" s="191" t="s">
        <v>305</v>
      </c>
      <c r="H792" s="189" t="s">
        <v>2038</v>
      </c>
      <c r="I792" s="193" t="s">
        <v>2038</v>
      </c>
      <c r="J792" s="82">
        <v>100</v>
      </c>
      <c r="K792" s="83">
        <v>1</v>
      </c>
      <c r="O792" s="84"/>
      <c r="P792" s="84"/>
      <c r="Q792" s="84"/>
      <c r="R792" s="84"/>
      <c r="S792" s="84"/>
      <c r="T792" s="84"/>
      <c r="U792" s="84"/>
      <c r="V792" s="84"/>
      <c r="W792" s="84"/>
      <c r="X792" s="84"/>
      <c r="Y792" s="84"/>
      <c r="Z792" s="84"/>
    </row>
    <row r="793" spans="1:26" ht="15.75" customHeight="1" x14ac:dyDescent="0.25">
      <c r="A793" s="85" t="s">
        <v>2039</v>
      </c>
      <c r="B793" s="189" t="s">
        <v>335</v>
      </c>
      <c r="C793" s="9" t="s">
        <v>314</v>
      </c>
      <c r="D793" s="190">
        <v>7</v>
      </c>
      <c r="E793" s="191">
        <v>65</v>
      </c>
      <c r="F793" s="192">
        <v>6</v>
      </c>
      <c r="G793" s="191">
        <v>100</v>
      </c>
      <c r="H793" s="189" t="s">
        <v>353</v>
      </c>
      <c r="I793" s="193" t="s">
        <v>354</v>
      </c>
      <c r="J793" s="82">
        <v>30</v>
      </c>
      <c r="K793" s="83">
        <v>15</v>
      </c>
      <c r="O793" s="84"/>
      <c r="P793" s="84"/>
      <c r="Q793" s="84"/>
      <c r="R793" s="84"/>
      <c r="S793" s="84"/>
      <c r="T793" s="84"/>
      <c r="U793" s="84"/>
      <c r="V793" s="84"/>
      <c r="W793" s="84"/>
      <c r="X793" s="84"/>
      <c r="Y793" s="84"/>
      <c r="Z793" s="84"/>
    </row>
    <row r="794" spans="1:26" ht="15.75" customHeight="1" x14ac:dyDescent="0.25">
      <c r="A794" s="85" t="s">
        <v>2040</v>
      </c>
      <c r="B794" s="189" t="s">
        <v>515</v>
      </c>
      <c r="C794" s="9" t="s">
        <v>314</v>
      </c>
      <c r="D794" s="190">
        <v>8</v>
      </c>
      <c r="E794" s="191">
        <v>75</v>
      </c>
      <c r="F794" s="192">
        <v>6</v>
      </c>
      <c r="G794" s="191">
        <v>100</v>
      </c>
      <c r="H794" s="189" t="s">
        <v>2041</v>
      </c>
      <c r="I794" s="193" t="s">
        <v>2042</v>
      </c>
      <c r="J794" s="82" t="s">
        <v>305</v>
      </c>
      <c r="K794" s="83" t="s">
        <v>184</v>
      </c>
      <c r="O794" s="84"/>
      <c r="P794" s="84"/>
      <c r="Q794" s="84"/>
      <c r="R794" s="84"/>
      <c r="S794" s="84"/>
      <c r="T794" s="84"/>
      <c r="U794" s="84"/>
      <c r="V794" s="84"/>
      <c r="W794" s="84"/>
      <c r="X794" s="84"/>
      <c r="Y794" s="84"/>
      <c r="Z794" s="84"/>
    </row>
    <row r="795" spans="1:26" ht="15.75" customHeight="1" x14ac:dyDescent="0.25">
      <c r="A795" s="85" t="s">
        <v>2043</v>
      </c>
      <c r="B795" s="189" t="s">
        <v>313</v>
      </c>
      <c r="C795" s="9" t="s">
        <v>314</v>
      </c>
      <c r="D795" s="190">
        <v>7</v>
      </c>
      <c r="E795" s="191">
        <v>65</v>
      </c>
      <c r="F795" s="192">
        <v>8</v>
      </c>
      <c r="G795" s="191">
        <v>90</v>
      </c>
      <c r="H795" s="189" t="s">
        <v>581</v>
      </c>
      <c r="I795" s="193" t="s">
        <v>582</v>
      </c>
      <c r="J795" s="82" t="s">
        <v>305</v>
      </c>
      <c r="K795" s="83" t="s">
        <v>184</v>
      </c>
      <c r="O795" s="84"/>
      <c r="P795" s="84"/>
      <c r="Q795" s="84"/>
      <c r="R795" s="84"/>
      <c r="S795" s="84"/>
      <c r="T795" s="84"/>
      <c r="U795" s="84"/>
      <c r="V795" s="84"/>
      <c r="W795" s="84"/>
      <c r="X795" s="84"/>
      <c r="Y795" s="84"/>
      <c r="Z795" s="84"/>
    </row>
    <row r="796" spans="1:26" ht="15.75" customHeight="1" x14ac:dyDescent="0.25">
      <c r="A796" s="85" t="s">
        <v>2044</v>
      </c>
      <c r="B796" s="189" t="s">
        <v>313</v>
      </c>
      <c r="C796" s="9" t="s">
        <v>314</v>
      </c>
      <c r="D796" s="190">
        <v>10</v>
      </c>
      <c r="E796" s="191">
        <v>100</v>
      </c>
      <c r="F796" s="192">
        <v>10</v>
      </c>
      <c r="G796" s="191">
        <v>80</v>
      </c>
      <c r="H796" s="189" t="s">
        <v>342</v>
      </c>
      <c r="I796" s="193" t="s">
        <v>343</v>
      </c>
      <c r="J796" s="82" t="s">
        <v>305</v>
      </c>
      <c r="K796" s="83" t="s">
        <v>184</v>
      </c>
      <c r="O796" s="84"/>
      <c r="P796" s="84"/>
      <c r="Q796" s="84"/>
      <c r="R796" s="84"/>
      <c r="S796" s="84"/>
      <c r="T796" s="84"/>
      <c r="U796" s="84"/>
      <c r="V796" s="84"/>
      <c r="W796" s="84"/>
      <c r="X796" s="84"/>
      <c r="Y796" s="84"/>
      <c r="Z796" s="84"/>
    </row>
    <row r="797" spans="1:26" ht="15.75" customHeight="1" x14ac:dyDescent="0.25">
      <c r="A797" s="85" t="s">
        <v>2045</v>
      </c>
      <c r="B797" s="189" t="s">
        <v>348</v>
      </c>
      <c r="C797" s="9" t="s">
        <v>303</v>
      </c>
      <c r="D797" s="190">
        <v>2</v>
      </c>
      <c r="E797" s="191">
        <v>20</v>
      </c>
      <c r="F797" s="192">
        <v>6</v>
      </c>
      <c r="G797" s="191">
        <v>100</v>
      </c>
      <c r="H797" s="189" t="s">
        <v>2046</v>
      </c>
      <c r="I797" s="193" t="s">
        <v>2047</v>
      </c>
      <c r="J797" s="82" t="s">
        <v>305</v>
      </c>
      <c r="K797" s="83" t="s">
        <v>184</v>
      </c>
      <c r="O797" s="84"/>
      <c r="P797" s="84"/>
      <c r="Q797" s="84"/>
      <c r="R797" s="84"/>
      <c r="S797" s="84"/>
      <c r="T797" s="84"/>
      <c r="U797" s="84"/>
      <c r="V797" s="84"/>
      <c r="W797" s="84"/>
      <c r="X797" s="84"/>
      <c r="Y797" s="84"/>
      <c r="Z797" s="84"/>
    </row>
    <row r="798" spans="1:26" ht="15.75" customHeight="1" x14ac:dyDescent="0.25">
      <c r="A798" s="85" t="s">
        <v>2048</v>
      </c>
      <c r="B798" s="189" t="s">
        <v>356</v>
      </c>
      <c r="C798" s="9" t="s">
        <v>314</v>
      </c>
      <c r="D798" s="190">
        <v>6</v>
      </c>
      <c r="E798" s="191">
        <v>60</v>
      </c>
      <c r="F798" s="192">
        <v>6</v>
      </c>
      <c r="G798" s="191">
        <v>100</v>
      </c>
      <c r="H798" s="189" t="s">
        <v>980</v>
      </c>
      <c r="I798" s="193" t="s">
        <v>981</v>
      </c>
      <c r="J798" s="82">
        <v>100</v>
      </c>
      <c r="K798" s="83">
        <v>1</v>
      </c>
      <c r="O798" s="84"/>
      <c r="P798" s="84"/>
      <c r="Q798" s="84"/>
      <c r="R798" s="84"/>
      <c r="S798" s="84"/>
      <c r="T798" s="84"/>
      <c r="U798" s="84"/>
      <c r="V798" s="84"/>
      <c r="W798" s="84"/>
      <c r="X798" s="84"/>
      <c r="Y798" s="84"/>
      <c r="Z798" s="84"/>
    </row>
    <row r="799" spans="1:26" ht="15.75" customHeight="1" x14ac:dyDescent="0.25">
      <c r="A799" s="85" t="s">
        <v>2049</v>
      </c>
      <c r="B799" s="189" t="s">
        <v>359</v>
      </c>
      <c r="C799" s="9" t="s">
        <v>303</v>
      </c>
      <c r="D799" s="190">
        <v>9</v>
      </c>
      <c r="E799" s="191">
        <v>90</v>
      </c>
      <c r="F799" s="192">
        <v>7</v>
      </c>
      <c r="G799" s="191">
        <v>95</v>
      </c>
      <c r="H799" s="189" t="s">
        <v>644</v>
      </c>
      <c r="I799" s="193" t="s">
        <v>645</v>
      </c>
      <c r="J799" s="82">
        <v>20</v>
      </c>
      <c r="K799" s="83">
        <v>17</v>
      </c>
      <c r="O799" s="84"/>
      <c r="P799" s="84"/>
      <c r="Q799" s="84"/>
      <c r="R799" s="84"/>
      <c r="S799" s="84"/>
      <c r="T799" s="84"/>
      <c r="U799" s="84"/>
      <c r="V799" s="84"/>
      <c r="W799" s="84"/>
      <c r="X799" s="84"/>
      <c r="Y799" s="84"/>
      <c r="Z799" s="84"/>
    </row>
    <row r="800" spans="1:26" ht="15.75" customHeight="1" x14ac:dyDescent="0.25">
      <c r="A800" s="85" t="s">
        <v>239</v>
      </c>
      <c r="B800" s="189" t="s">
        <v>335</v>
      </c>
      <c r="C800" s="9" t="s">
        <v>314</v>
      </c>
      <c r="D800" s="190">
        <v>8</v>
      </c>
      <c r="E800" s="191">
        <v>80</v>
      </c>
      <c r="F800" s="192">
        <v>6</v>
      </c>
      <c r="G800" s="191">
        <v>100</v>
      </c>
      <c r="H800" s="189"/>
      <c r="I800" s="193" t="s">
        <v>184</v>
      </c>
      <c r="J800" s="82" t="s">
        <v>305</v>
      </c>
      <c r="K800" s="83" t="s">
        <v>184</v>
      </c>
      <c r="O800" s="84"/>
      <c r="P800" s="84"/>
      <c r="Q800" s="84"/>
      <c r="R800" s="84"/>
      <c r="S800" s="84"/>
      <c r="T800" s="84"/>
      <c r="U800" s="84"/>
      <c r="V800" s="84"/>
      <c r="W800" s="84"/>
      <c r="X800" s="84"/>
      <c r="Y800" s="84"/>
      <c r="Z800" s="84"/>
    </row>
    <row r="801" spans="1:26" ht="15.75" customHeight="1" x14ac:dyDescent="0.25">
      <c r="A801" s="85" t="s">
        <v>2050</v>
      </c>
      <c r="B801" s="189" t="s">
        <v>309</v>
      </c>
      <c r="C801" s="9" t="s">
        <v>322</v>
      </c>
      <c r="D801" s="190" t="s">
        <v>304</v>
      </c>
      <c r="E801" s="191" t="s">
        <v>305</v>
      </c>
      <c r="F801" s="192">
        <v>6</v>
      </c>
      <c r="G801" s="191">
        <v>100</v>
      </c>
      <c r="H801" s="189" t="s">
        <v>2051</v>
      </c>
      <c r="I801" s="193" t="s">
        <v>2052</v>
      </c>
      <c r="J801" s="82">
        <v>100</v>
      </c>
      <c r="K801" s="83">
        <v>1</v>
      </c>
      <c r="O801" s="84"/>
      <c r="P801" s="84"/>
      <c r="Q801" s="84"/>
      <c r="R801" s="84"/>
      <c r="S801" s="84"/>
      <c r="T801" s="84"/>
      <c r="U801" s="84"/>
      <c r="V801" s="84"/>
      <c r="W801" s="84"/>
      <c r="X801" s="84"/>
      <c r="Y801" s="84"/>
      <c r="Z801" s="84"/>
    </row>
    <row r="802" spans="1:26" ht="15.75" customHeight="1" x14ac:dyDescent="0.25">
      <c r="A802" s="85" t="s">
        <v>2053</v>
      </c>
      <c r="B802" s="189" t="s">
        <v>411</v>
      </c>
      <c r="C802" s="9" t="s">
        <v>322</v>
      </c>
      <c r="D802" s="190" t="s">
        <v>304</v>
      </c>
      <c r="E802" s="191" t="s">
        <v>305</v>
      </c>
      <c r="F802" s="192">
        <v>7</v>
      </c>
      <c r="G802" s="191">
        <v>95</v>
      </c>
      <c r="H802" s="189" t="s">
        <v>671</v>
      </c>
      <c r="I802" s="193" t="s">
        <v>672</v>
      </c>
      <c r="J802" s="82" t="s">
        <v>305</v>
      </c>
      <c r="K802" s="83" t="s">
        <v>184</v>
      </c>
      <c r="O802" s="84"/>
      <c r="P802" s="84"/>
      <c r="Q802" s="84"/>
      <c r="R802" s="84"/>
      <c r="S802" s="84"/>
      <c r="T802" s="84"/>
      <c r="U802" s="84"/>
      <c r="V802" s="84"/>
      <c r="W802" s="84"/>
      <c r="X802" s="84"/>
      <c r="Y802" s="84"/>
      <c r="Z802" s="84"/>
    </row>
    <row r="803" spans="1:26" ht="15.75" customHeight="1" x14ac:dyDescent="0.25">
      <c r="A803" s="85" t="s">
        <v>20</v>
      </c>
      <c r="B803" s="189" t="s">
        <v>335</v>
      </c>
      <c r="C803" s="9" t="s">
        <v>314</v>
      </c>
      <c r="D803" s="190">
        <v>5</v>
      </c>
      <c r="E803" s="191">
        <v>50</v>
      </c>
      <c r="F803" s="192" t="s">
        <v>304</v>
      </c>
      <c r="G803" s="191" t="s">
        <v>305</v>
      </c>
      <c r="H803" s="189" t="s">
        <v>2054</v>
      </c>
      <c r="I803" s="193" t="s">
        <v>2055</v>
      </c>
      <c r="J803" s="82" t="s">
        <v>305</v>
      </c>
      <c r="K803" s="83" t="s">
        <v>184</v>
      </c>
      <c r="O803" s="84"/>
      <c r="P803" s="84"/>
      <c r="Q803" s="84"/>
      <c r="R803" s="84"/>
      <c r="S803" s="84"/>
      <c r="T803" s="84"/>
      <c r="U803" s="84"/>
      <c r="V803" s="84"/>
      <c r="W803" s="84"/>
      <c r="X803" s="84"/>
      <c r="Y803" s="84"/>
      <c r="Z803" s="84"/>
    </row>
    <row r="804" spans="1:26" ht="15.75" customHeight="1" x14ac:dyDescent="0.25">
      <c r="A804" s="85" t="s">
        <v>2056</v>
      </c>
      <c r="B804" s="189" t="s">
        <v>411</v>
      </c>
      <c r="C804" s="9" t="s">
        <v>303</v>
      </c>
      <c r="D804" s="190">
        <v>5</v>
      </c>
      <c r="E804" s="191">
        <v>50</v>
      </c>
      <c r="F804" s="192">
        <v>6</v>
      </c>
      <c r="G804" s="191">
        <v>100</v>
      </c>
      <c r="H804" s="189" t="s">
        <v>641</v>
      </c>
      <c r="I804" s="193" t="s">
        <v>642</v>
      </c>
      <c r="J804" s="82">
        <v>100</v>
      </c>
      <c r="K804" s="83">
        <v>1</v>
      </c>
      <c r="O804" s="84"/>
      <c r="P804" s="84"/>
      <c r="Q804" s="84"/>
      <c r="R804" s="84"/>
      <c r="S804" s="84"/>
      <c r="T804" s="84"/>
      <c r="U804" s="84"/>
      <c r="V804" s="84"/>
      <c r="W804" s="84"/>
      <c r="X804" s="84"/>
      <c r="Y804" s="84"/>
      <c r="Z804" s="84"/>
    </row>
    <row r="805" spans="1:26" ht="15.75" customHeight="1" x14ac:dyDescent="0.25">
      <c r="A805" s="85" t="s">
        <v>2057</v>
      </c>
      <c r="B805" s="189" t="s">
        <v>335</v>
      </c>
      <c r="C805" s="9" t="s">
        <v>322</v>
      </c>
      <c r="D805" s="190" t="s">
        <v>304</v>
      </c>
      <c r="E805" s="191" t="s">
        <v>305</v>
      </c>
      <c r="F805" s="192" t="s">
        <v>304</v>
      </c>
      <c r="G805" s="191" t="s">
        <v>305</v>
      </c>
      <c r="H805" s="189" t="s">
        <v>2058</v>
      </c>
      <c r="I805" s="193" t="s">
        <v>2059</v>
      </c>
      <c r="J805" s="82">
        <v>100</v>
      </c>
      <c r="K805" s="83">
        <v>1</v>
      </c>
      <c r="O805" s="84"/>
      <c r="P805" s="84"/>
      <c r="Q805" s="84"/>
      <c r="R805" s="84"/>
      <c r="S805" s="84"/>
      <c r="T805" s="84"/>
      <c r="U805" s="84"/>
      <c r="V805" s="84"/>
      <c r="W805" s="84"/>
      <c r="X805" s="84"/>
      <c r="Y805" s="84"/>
      <c r="Z805" s="84"/>
    </row>
    <row r="806" spans="1:26" ht="15.75" customHeight="1" x14ac:dyDescent="0.25">
      <c r="A806" s="85" t="s">
        <v>2060</v>
      </c>
      <c r="B806" s="189" t="s">
        <v>309</v>
      </c>
      <c r="C806" s="9" t="s">
        <v>322</v>
      </c>
      <c r="D806" s="190" t="s">
        <v>304</v>
      </c>
      <c r="E806" s="191" t="s">
        <v>305</v>
      </c>
      <c r="F806" s="192">
        <v>11</v>
      </c>
      <c r="G806" s="191">
        <v>75</v>
      </c>
      <c r="H806" s="189" t="s">
        <v>1107</v>
      </c>
      <c r="I806" s="193" t="s">
        <v>1108</v>
      </c>
      <c r="J806" s="82" t="s">
        <v>305</v>
      </c>
      <c r="K806" s="83" t="s">
        <v>184</v>
      </c>
      <c r="O806" s="84"/>
      <c r="P806" s="84"/>
      <c r="Q806" s="84"/>
      <c r="R806" s="84"/>
      <c r="S806" s="84"/>
      <c r="T806" s="84"/>
      <c r="U806" s="84"/>
      <c r="V806" s="84"/>
      <c r="W806" s="84"/>
      <c r="X806" s="84"/>
      <c r="Y806" s="84"/>
      <c r="Z806" s="84"/>
    </row>
    <row r="807" spans="1:26" ht="15.75" customHeight="1" x14ac:dyDescent="0.25">
      <c r="A807" s="85" t="s">
        <v>2061</v>
      </c>
      <c r="B807" s="189" t="s">
        <v>356</v>
      </c>
      <c r="C807" s="9" t="s">
        <v>314</v>
      </c>
      <c r="D807" s="190">
        <v>8</v>
      </c>
      <c r="E807" s="191">
        <v>80</v>
      </c>
      <c r="F807" s="192">
        <v>10</v>
      </c>
      <c r="G807" s="191">
        <v>80</v>
      </c>
      <c r="H807" s="189" t="s">
        <v>527</v>
      </c>
      <c r="I807" s="193" t="s">
        <v>528</v>
      </c>
      <c r="J807" s="82" t="s">
        <v>305</v>
      </c>
      <c r="K807" s="83" t="s">
        <v>184</v>
      </c>
      <c r="O807" s="84"/>
      <c r="P807" s="84"/>
      <c r="Q807" s="84"/>
      <c r="R807" s="84"/>
      <c r="S807" s="84"/>
      <c r="T807" s="84"/>
      <c r="U807" s="84"/>
      <c r="V807" s="84"/>
      <c r="W807" s="84"/>
      <c r="X807" s="84"/>
      <c r="Y807" s="84"/>
      <c r="Z807" s="84"/>
    </row>
    <row r="808" spans="1:26" ht="15.75" customHeight="1" x14ac:dyDescent="0.25">
      <c r="A808" s="85" t="s">
        <v>2062</v>
      </c>
      <c r="B808" s="189" t="s">
        <v>335</v>
      </c>
      <c r="C808" s="9" t="s">
        <v>322</v>
      </c>
      <c r="D808" s="190" t="s">
        <v>304</v>
      </c>
      <c r="E808" s="191" t="s">
        <v>305</v>
      </c>
      <c r="F808" s="192" t="s">
        <v>304</v>
      </c>
      <c r="G808" s="191" t="s">
        <v>305</v>
      </c>
      <c r="H808" s="189" t="s">
        <v>2063</v>
      </c>
      <c r="I808" s="193" t="s">
        <v>1865</v>
      </c>
      <c r="J808" s="82" t="s">
        <v>305</v>
      </c>
      <c r="K808" s="83" t="s">
        <v>184</v>
      </c>
      <c r="O808" s="84"/>
      <c r="P808" s="84"/>
      <c r="Q808" s="84"/>
      <c r="R808" s="84"/>
      <c r="S808" s="84"/>
      <c r="T808" s="84"/>
      <c r="U808" s="84"/>
      <c r="V808" s="84"/>
      <c r="W808" s="84"/>
      <c r="X808" s="84"/>
      <c r="Y808" s="84"/>
      <c r="Z808" s="84"/>
    </row>
    <row r="809" spans="1:26" ht="15.75" customHeight="1" x14ac:dyDescent="0.25">
      <c r="A809" s="85" t="s">
        <v>2064</v>
      </c>
      <c r="B809" s="189" t="s">
        <v>419</v>
      </c>
      <c r="C809" s="9" t="s">
        <v>305</v>
      </c>
      <c r="D809" s="190" t="s">
        <v>304</v>
      </c>
      <c r="E809" s="191" t="s">
        <v>305</v>
      </c>
      <c r="F809" s="192" t="s">
        <v>304</v>
      </c>
      <c r="G809" s="191" t="s">
        <v>305</v>
      </c>
      <c r="H809" s="189" t="s">
        <v>2065</v>
      </c>
      <c r="I809" s="193" t="s">
        <v>2065</v>
      </c>
      <c r="J809" s="82" t="s">
        <v>305</v>
      </c>
      <c r="K809" s="83" t="s">
        <v>184</v>
      </c>
      <c r="O809" s="84"/>
      <c r="P809" s="84"/>
      <c r="Q809" s="84"/>
      <c r="R809" s="84"/>
      <c r="S809" s="84"/>
      <c r="T809" s="84"/>
      <c r="U809" s="84"/>
      <c r="V809" s="84"/>
      <c r="W809" s="84"/>
      <c r="X809" s="84"/>
      <c r="Y809" s="84"/>
      <c r="Z809" s="84"/>
    </row>
    <row r="810" spans="1:26" ht="15.75" customHeight="1" x14ac:dyDescent="0.25">
      <c r="A810" s="85" t="s">
        <v>2066</v>
      </c>
      <c r="B810" s="189" t="s">
        <v>403</v>
      </c>
      <c r="C810" s="9" t="s">
        <v>314</v>
      </c>
      <c r="D810" s="190">
        <v>7</v>
      </c>
      <c r="E810" s="191">
        <v>70</v>
      </c>
      <c r="F810" s="192">
        <v>6</v>
      </c>
      <c r="G810" s="191">
        <v>100</v>
      </c>
      <c r="H810" s="189" t="s">
        <v>2067</v>
      </c>
      <c r="I810" s="193" t="s">
        <v>2068</v>
      </c>
      <c r="J810" s="82" t="s">
        <v>305</v>
      </c>
      <c r="K810" s="83" t="s">
        <v>184</v>
      </c>
      <c r="O810" s="84"/>
      <c r="P810" s="84"/>
      <c r="Q810" s="84"/>
      <c r="R810" s="84"/>
      <c r="S810" s="84"/>
      <c r="T810" s="84"/>
      <c r="U810" s="84"/>
      <c r="V810" s="84"/>
      <c r="W810" s="84"/>
      <c r="X810" s="84"/>
      <c r="Y810" s="84"/>
      <c r="Z810" s="84"/>
    </row>
    <row r="811" spans="1:26" ht="15.75" customHeight="1" x14ac:dyDescent="0.25">
      <c r="A811" s="85" t="s">
        <v>2069</v>
      </c>
      <c r="B811" s="189" t="s">
        <v>390</v>
      </c>
      <c r="C811" s="9" t="s">
        <v>322</v>
      </c>
      <c r="D811" s="190" t="s">
        <v>304</v>
      </c>
      <c r="E811" s="191" t="s">
        <v>305</v>
      </c>
      <c r="F811" s="192" t="s">
        <v>304</v>
      </c>
      <c r="G811" s="191" t="s">
        <v>305</v>
      </c>
      <c r="H811" s="189" t="s">
        <v>2070</v>
      </c>
      <c r="I811" s="193" t="s">
        <v>2071</v>
      </c>
      <c r="J811" s="82" t="s">
        <v>305</v>
      </c>
      <c r="K811" s="83" t="s">
        <v>184</v>
      </c>
      <c r="O811" s="84"/>
      <c r="P811" s="84"/>
      <c r="Q811" s="84"/>
      <c r="R811" s="84"/>
      <c r="S811" s="84"/>
      <c r="T811" s="84"/>
      <c r="U811" s="84"/>
      <c r="V811" s="84"/>
      <c r="W811" s="84"/>
      <c r="X811" s="84"/>
      <c r="Y811" s="84"/>
      <c r="Z811" s="84"/>
    </row>
    <row r="812" spans="1:26" ht="15.75" customHeight="1" x14ac:dyDescent="0.25">
      <c r="A812" s="85" t="s">
        <v>2072</v>
      </c>
      <c r="B812" s="189" t="s">
        <v>367</v>
      </c>
      <c r="C812" s="9" t="s">
        <v>314</v>
      </c>
      <c r="D812" s="190">
        <v>10</v>
      </c>
      <c r="E812" s="191">
        <v>100</v>
      </c>
      <c r="F812" s="192">
        <v>6</v>
      </c>
      <c r="G812" s="191">
        <v>100</v>
      </c>
      <c r="H812" s="189" t="s">
        <v>1512</v>
      </c>
      <c r="I812" s="193" t="s">
        <v>1513</v>
      </c>
      <c r="J812" s="82" t="s">
        <v>305</v>
      </c>
      <c r="K812" s="83" t="s">
        <v>184</v>
      </c>
      <c r="O812" s="84"/>
      <c r="P812" s="84"/>
      <c r="Q812" s="84"/>
      <c r="R812" s="84"/>
      <c r="S812" s="84"/>
      <c r="T812" s="84"/>
      <c r="U812" s="84"/>
      <c r="V812" s="84"/>
      <c r="W812" s="84"/>
      <c r="X812" s="84"/>
      <c r="Y812" s="84"/>
      <c r="Z812" s="84"/>
    </row>
    <row r="813" spans="1:26" ht="15.75" customHeight="1" x14ac:dyDescent="0.25">
      <c r="A813" s="85" t="s">
        <v>2073</v>
      </c>
      <c r="B813" s="189" t="s">
        <v>335</v>
      </c>
      <c r="C813" s="9" t="s">
        <v>314</v>
      </c>
      <c r="D813" s="190" t="s">
        <v>304</v>
      </c>
      <c r="E813" s="191" t="s">
        <v>305</v>
      </c>
      <c r="F813" s="192">
        <v>8</v>
      </c>
      <c r="G813" s="191">
        <v>90</v>
      </c>
      <c r="H813" s="189" t="s">
        <v>2074</v>
      </c>
      <c r="I813" s="193" t="s">
        <v>2075</v>
      </c>
      <c r="J813" s="82" t="s">
        <v>305</v>
      </c>
      <c r="K813" s="83" t="s">
        <v>184</v>
      </c>
      <c r="O813" s="84"/>
      <c r="P813" s="84"/>
      <c r="Q813" s="84"/>
      <c r="R813" s="84"/>
      <c r="S813" s="84"/>
      <c r="T813" s="84"/>
      <c r="U813" s="84"/>
      <c r="V813" s="84"/>
      <c r="W813" s="84"/>
      <c r="X813" s="84"/>
      <c r="Y813" s="84"/>
      <c r="Z813" s="84"/>
    </row>
    <row r="814" spans="1:26" ht="15.75" customHeight="1" x14ac:dyDescent="0.25">
      <c r="A814" s="85" t="s">
        <v>2076</v>
      </c>
      <c r="B814" s="189" t="s">
        <v>302</v>
      </c>
      <c r="C814" s="9" t="s">
        <v>314</v>
      </c>
      <c r="D814" s="190">
        <v>10</v>
      </c>
      <c r="E814" s="191">
        <v>100</v>
      </c>
      <c r="F814" s="192">
        <v>7</v>
      </c>
      <c r="G814" s="191">
        <v>95</v>
      </c>
      <c r="H814" s="189"/>
      <c r="I814" s="193" t="s">
        <v>184</v>
      </c>
      <c r="J814" s="82" t="s">
        <v>305</v>
      </c>
      <c r="K814" s="83" t="s">
        <v>184</v>
      </c>
      <c r="O814" s="84"/>
      <c r="P814" s="84"/>
      <c r="Q814" s="84"/>
      <c r="R814" s="84"/>
      <c r="S814" s="84"/>
      <c r="T814" s="84"/>
      <c r="U814" s="84"/>
      <c r="V814" s="84"/>
      <c r="W814" s="84"/>
      <c r="X814" s="84"/>
      <c r="Y814" s="84"/>
      <c r="Z814" s="84"/>
    </row>
    <row r="815" spans="1:26" ht="15.75" customHeight="1" x14ac:dyDescent="0.25">
      <c r="A815" s="85" t="s">
        <v>2077</v>
      </c>
      <c r="B815" s="189" t="s">
        <v>356</v>
      </c>
      <c r="C815" s="9" t="s">
        <v>314</v>
      </c>
      <c r="D815" s="190">
        <v>12</v>
      </c>
      <c r="E815" s="191">
        <v>120</v>
      </c>
      <c r="F815" s="192">
        <v>6</v>
      </c>
      <c r="G815" s="191">
        <v>100</v>
      </c>
      <c r="H815" s="189" t="s">
        <v>2078</v>
      </c>
      <c r="I815" s="193" t="s">
        <v>2079</v>
      </c>
      <c r="J815" s="82">
        <v>100</v>
      </c>
      <c r="K815" s="83">
        <v>1</v>
      </c>
      <c r="O815" s="84"/>
      <c r="P815" s="84"/>
      <c r="Q815" s="84"/>
      <c r="R815" s="84"/>
      <c r="S815" s="84"/>
      <c r="T815" s="84"/>
      <c r="U815" s="84"/>
      <c r="V815" s="84"/>
      <c r="W815" s="84"/>
      <c r="X815" s="84"/>
      <c r="Y815" s="84"/>
      <c r="Z815" s="84"/>
    </row>
    <row r="816" spans="1:26" ht="15.75" customHeight="1" x14ac:dyDescent="0.25">
      <c r="A816" s="85" t="s">
        <v>2080</v>
      </c>
      <c r="B816" s="189" t="s">
        <v>335</v>
      </c>
      <c r="C816" s="9" t="s">
        <v>322</v>
      </c>
      <c r="D816" s="190" t="s">
        <v>304</v>
      </c>
      <c r="E816" s="191" t="s">
        <v>305</v>
      </c>
      <c r="F816" s="192">
        <v>15</v>
      </c>
      <c r="G816" s="191">
        <v>55</v>
      </c>
      <c r="H816" s="189" t="s">
        <v>596</v>
      </c>
      <c r="I816" s="193" t="s">
        <v>597</v>
      </c>
      <c r="J816" s="82" t="s">
        <v>305</v>
      </c>
      <c r="K816" s="83" t="s">
        <v>184</v>
      </c>
      <c r="O816" s="84"/>
      <c r="P816" s="84"/>
      <c r="Q816" s="84"/>
      <c r="R816" s="84"/>
      <c r="S816" s="84"/>
      <c r="T816" s="84"/>
      <c r="U816" s="84"/>
      <c r="V816" s="84"/>
      <c r="W816" s="84"/>
      <c r="X816" s="84"/>
      <c r="Y816" s="84"/>
      <c r="Z816" s="84"/>
    </row>
    <row r="817" spans="1:26" ht="15.75" customHeight="1" x14ac:dyDescent="0.25">
      <c r="A817" s="85" t="s">
        <v>2081</v>
      </c>
      <c r="B817" s="189" t="s">
        <v>331</v>
      </c>
      <c r="C817" s="9" t="s">
        <v>305</v>
      </c>
      <c r="D817" s="190" t="s">
        <v>304</v>
      </c>
      <c r="E817" s="191" t="s">
        <v>305</v>
      </c>
      <c r="F817" s="192" t="s">
        <v>304</v>
      </c>
      <c r="G817" s="191" t="s">
        <v>305</v>
      </c>
      <c r="H817" s="189" t="s">
        <v>2082</v>
      </c>
      <c r="I817" s="193" t="s">
        <v>2082</v>
      </c>
      <c r="J817" s="82" t="s">
        <v>305</v>
      </c>
      <c r="K817" s="83" t="s">
        <v>184</v>
      </c>
      <c r="O817" s="84"/>
      <c r="P817" s="84"/>
      <c r="Q817" s="84"/>
      <c r="R817" s="84"/>
      <c r="S817" s="84"/>
      <c r="T817" s="84"/>
      <c r="U817" s="84"/>
      <c r="V817" s="84"/>
      <c r="W817" s="84"/>
      <c r="X817" s="84"/>
      <c r="Y817" s="84"/>
      <c r="Z817" s="84"/>
    </row>
    <row r="818" spans="1:26" ht="15.75" customHeight="1" x14ac:dyDescent="0.25">
      <c r="A818" s="85" t="s">
        <v>2083</v>
      </c>
      <c r="B818" s="189" t="s">
        <v>377</v>
      </c>
      <c r="C818" s="9" t="s">
        <v>303</v>
      </c>
      <c r="D818" s="190">
        <v>9</v>
      </c>
      <c r="E818" s="191">
        <v>90</v>
      </c>
      <c r="F818" s="192">
        <v>6</v>
      </c>
      <c r="G818" s="191">
        <v>100</v>
      </c>
      <c r="H818" s="189" t="s">
        <v>520</v>
      </c>
      <c r="I818" s="193" t="s">
        <v>520</v>
      </c>
      <c r="J818" s="82" t="s">
        <v>305</v>
      </c>
      <c r="K818" s="83" t="s">
        <v>184</v>
      </c>
      <c r="O818" s="84"/>
      <c r="P818" s="84"/>
      <c r="Q818" s="84"/>
      <c r="R818" s="84"/>
      <c r="S818" s="84"/>
      <c r="T818" s="84"/>
      <c r="U818" s="84"/>
      <c r="V818" s="84"/>
      <c r="W818" s="84"/>
      <c r="X818" s="84"/>
      <c r="Y818" s="84"/>
      <c r="Z818" s="84"/>
    </row>
    <row r="819" spans="1:26" ht="15.75" customHeight="1" x14ac:dyDescent="0.25">
      <c r="A819" s="85" t="s">
        <v>2084</v>
      </c>
      <c r="B819" s="189" t="s">
        <v>377</v>
      </c>
      <c r="C819" s="9" t="s">
        <v>314</v>
      </c>
      <c r="D819" s="190">
        <v>3</v>
      </c>
      <c r="E819" s="191">
        <v>25</v>
      </c>
      <c r="F819" s="192">
        <v>6</v>
      </c>
      <c r="G819" s="191">
        <v>100</v>
      </c>
      <c r="H819" s="189" t="s">
        <v>2085</v>
      </c>
      <c r="I819" s="193" t="s">
        <v>2085</v>
      </c>
      <c r="J819" s="82" t="s">
        <v>305</v>
      </c>
      <c r="K819" s="83" t="s">
        <v>184</v>
      </c>
      <c r="O819" s="84"/>
      <c r="P819" s="84"/>
      <c r="Q819" s="84"/>
      <c r="R819" s="84"/>
      <c r="S819" s="84"/>
      <c r="T819" s="84"/>
      <c r="U819" s="84"/>
      <c r="V819" s="84"/>
      <c r="W819" s="84"/>
      <c r="X819" s="84"/>
      <c r="Y819" s="84"/>
      <c r="Z819" s="84"/>
    </row>
    <row r="820" spans="1:26" ht="15.75" customHeight="1" x14ac:dyDescent="0.25">
      <c r="A820" s="85" t="s">
        <v>2086</v>
      </c>
      <c r="B820" s="189" t="s">
        <v>335</v>
      </c>
      <c r="C820" s="9" t="s">
        <v>322</v>
      </c>
      <c r="D820" s="190" t="s">
        <v>304</v>
      </c>
      <c r="E820" s="191" t="s">
        <v>305</v>
      </c>
      <c r="F820" s="192">
        <v>9</v>
      </c>
      <c r="G820" s="191">
        <v>85</v>
      </c>
      <c r="H820" s="189" t="s">
        <v>2087</v>
      </c>
      <c r="I820" s="193" t="s">
        <v>2088</v>
      </c>
      <c r="J820" s="82" t="s">
        <v>305</v>
      </c>
      <c r="K820" s="83" t="s">
        <v>184</v>
      </c>
      <c r="O820" s="84"/>
      <c r="P820" s="84"/>
      <c r="Q820" s="84"/>
      <c r="R820" s="84"/>
      <c r="S820" s="84"/>
      <c r="T820" s="84"/>
      <c r="U820" s="84"/>
      <c r="V820" s="84"/>
      <c r="W820" s="84"/>
      <c r="X820" s="84"/>
      <c r="Y820" s="84"/>
      <c r="Z820" s="84"/>
    </row>
    <row r="821" spans="1:26" ht="15.75" customHeight="1" x14ac:dyDescent="0.25">
      <c r="A821" s="85" t="s">
        <v>2089</v>
      </c>
      <c r="B821" s="189" t="s">
        <v>335</v>
      </c>
      <c r="C821" s="9" t="s">
        <v>322</v>
      </c>
      <c r="D821" s="190" t="s">
        <v>304</v>
      </c>
      <c r="E821" s="191" t="s">
        <v>305</v>
      </c>
      <c r="F821" s="192" t="s">
        <v>304</v>
      </c>
      <c r="G821" s="191" t="s">
        <v>305</v>
      </c>
      <c r="H821" s="189" t="s">
        <v>2090</v>
      </c>
      <c r="I821" s="193" t="s">
        <v>2091</v>
      </c>
      <c r="J821" s="82" t="s">
        <v>305</v>
      </c>
      <c r="K821" s="83" t="s">
        <v>184</v>
      </c>
      <c r="O821" s="84"/>
      <c r="P821" s="84"/>
      <c r="Q821" s="84"/>
      <c r="R821" s="84"/>
      <c r="S821" s="84"/>
      <c r="T821" s="84"/>
      <c r="U821" s="84"/>
      <c r="V821" s="84"/>
      <c r="W821" s="84"/>
      <c r="X821" s="84"/>
      <c r="Y821" s="84"/>
      <c r="Z821" s="84"/>
    </row>
    <row r="822" spans="1:26" ht="15.75" customHeight="1" x14ac:dyDescent="0.25">
      <c r="A822" s="85" t="s">
        <v>2092</v>
      </c>
      <c r="B822" s="189" t="s">
        <v>359</v>
      </c>
      <c r="C822" s="9" t="s">
        <v>322</v>
      </c>
      <c r="D822" s="190" t="s">
        <v>304</v>
      </c>
      <c r="E822" s="191" t="s">
        <v>305</v>
      </c>
      <c r="F822" s="192">
        <v>11</v>
      </c>
      <c r="G822" s="191">
        <v>75</v>
      </c>
      <c r="H822" s="189" t="s">
        <v>596</v>
      </c>
      <c r="I822" s="193" t="s">
        <v>597</v>
      </c>
      <c r="J822" s="82" t="s">
        <v>305</v>
      </c>
      <c r="K822" s="83" t="s">
        <v>184</v>
      </c>
      <c r="O822" s="84"/>
      <c r="P822" s="84"/>
      <c r="Q822" s="84"/>
      <c r="R822" s="84"/>
      <c r="S822" s="84"/>
      <c r="T822" s="84"/>
      <c r="U822" s="84"/>
      <c r="V822" s="84"/>
      <c r="W822" s="84"/>
      <c r="X822" s="84"/>
      <c r="Y822" s="84"/>
      <c r="Z822" s="84"/>
    </row>
    <row r="823" spans="1:26" ht="15.75" customHeight="1" x14ac:dyDescent="0.25">
      <c r="A823" s="85" t="s">
        <v>2093</v>
      </c>
      <c r="B823" s="189" t="s">
        <v>335</v>
      </c>
      <c r="C823" s="9" t="s">
        <v>322</v>
      </c>
      <c r="D823" s="190" t="s">
        <v>304</v>
      </c>
      <c r="E823" s="191" t="s">
        <v>305</v>
      </c>
      <c r="F823" s="192">
        <v>6</v>
      </c>
      <c r="G823" s="191">
        <v>100</v>
      </c>
      <c r="H823" s="189" t="s">
        <v>2094</v>
      </c>
      <c r="I823" s="193" t="s">
        <v>2095</v>
      </c>
      <c r="J823" s="82" t="s">
        <v>305</v>
      </c>
      <c r="K823" s="83" t="s">
        <v>184</v>
      </c>
      <c r="O823" s="84"/>
      <c r="P823" s="84"/>
      <c r="Q823" s="84"/>
      <c r="R823" s="84"/>
      <c r="S823" s="84"/>
      <c r="T823" s="84"/>
      <c r="U823" s="84"/>
      <c r="V823" s="84"/>
      <c r="W823" s="84"/>
      <c r="X823" s="84"/>
      <c r="Y823" s="84"/>
      <c r="Z823" s="84"/>
    </row>
    <row r="824" spans="1:26" ht="15.75" customHeight="1" x14ac:dyDescent="0.25">
      <c r="A824" s="85" t="s">
        <v>2096</v>
      </c>
      <c r="B824" s="189" t="s">
        <v>335</v>
      </c>
      <c r="C824" s="9" t="s">
        <v>303</v>
      </c>
      <c r="D824" s="190">
        <v>6</v>
      </c>
      <c r="E824" s="191">
        <v>60</v>
      </c>
      <c r="F824" s="192">
        <v>24.4</v>
      </c>
      <c r="G824" s="191">
        <v>8</v>
      </c>
      <c r="H824" s="189" t="s">
        <v>339</v>
      </c>
      <c r="I824" s="193" t="s">
        <v>340</v>
      </c>
      <c r="J824" s="82" t="s">
        <v>305</v>
      </c>
      <c r="K824" s="83" t="s">
        <v>184</v>
      </c>
      <c r="O824" s="84"/>
      <c r="P824" s="84"/>
      <c r="Q824" s="84"/>
      <c r="R824" s="84"/>
      <c r="S824" s="84"/>
      <c r="T824" s="84"/>
      <c r="U824" s="84"/>
      <c r="V824" s="84"/>
      <c r="W824" s="84"/>
      <c r="X824" s="84"/>
      <c r="Y824" s="84"/>
      <c r="Z824" s="84"/>
    </row>
    <row r="825" spans="1:26" ht="15.75" customHeight="1" x14ac:dyDescent="0.25">
      <c r="A825" s="85" t="s">
        <v>2097</v>
      </c>
      <c r="B825" s="189" t="s">
        <v>403</v>
      </c>
      <c r="C825" s="9" t="s">
        <v>322</v>
      </c>
      <c r="D825" s="190" t="s">
        <v>304</v>
      </c>
      <c r="E825" s="191" t="s">
        <v>305</v>
      </c>
      <c r="F825" s="192">
        <v>6</v>
      </c>
      <c r="G825" s="191">
        <v>100</v>
      </c>
      <c r="H825" s="189" t="s">
        <v>2098</v>
      </c>
      <c r="I825" s="193" t="s">
        <v>2099</v>
      </c>
      <c r="J825" s="82" t="s">
        <v>305</v>
      </c>
      <c r="K825" s="83" t="s">
        <v>184</v>
      </c>
      <c r="O825" s="84"/>
      <c r="P825" s="84"/>
      <c r="Q825" s="84"/>
      <c r="R825" s="84"/>
      <c r="S825" s="84"/>
      <c r="T825" s="84"/>
      <c r="U825" s="84"/>
      <c r="V825" s="84"/>
      <c r="W825" s="84"/>
      <c r="X825" s="84"/>
      <c r="Y825" s="84"/>
      <c r="Z825" s="84"/>
    </row>
    <row r="826" spans="1:26" ht="15.75" customHeight="1" x14ac:dyDescent="0.25">
      <c r="A826" s="85" t="s">
        <v>2100</v>
      </c>
      <c r="B826" s="189" t="s">
        <v>335</v>
      </c>
      <c r="C826" s="9" t="s">
        <v>322</v>
      </c>
      <c r="D826" s="192" t="s">
        <v>304</v>
      </c>
      <c r="E826" s="191" t="s">
        <v>305</v>
      </c>
      <c r="F826" s="192" t="s">
        <v>304</v>
      </c>
      <c r="G826" s="191" t="s">
        <v>305</v>
      </c>
      <c r="H826" s="189" t="s">
        <v>2101</v>
      </c>
      <c r="I826" s="193" t="s">
        <v>2102</v>
      </c>
      <c r="J826" s="82" t="s">
        <v>305</v>
      </c>
      <c r="K826" s="83" t="s">
        <v>184</v>
      </c>
      <c r="O826" s="84"/>
      <c r="P826" s="84"/>
      <c r="Q826" s="84"/>
      <c r="R826" s="84"/>
      <c r="S826" s="84"/>
      <c r="T826" s="84"/>
      <c r="U826" s="84"/>
      <c r="V826" s="84"/>
      <c r="W826" s="84"/>
      <c r="X826" s="84"/>
      <c r="Y826" s="84"/>
      <c r="Z826" s="84"/>
    </row>
    <row r="827" spans="1:26" ht="15.75" customHeight="1" x14ac:dyDescent="0.25">
      <c r="A827" s="85" t="s">
        <v>2103</v>
      </c>
      <c r="B827" s="189" t="s">
        <v>348</v>
      </c>
      <c r="C827" s="9" t="s">
        <v>303</v>
      </c>
      <c r="D827" s="190">
        <v>12</v>
      </c>
      <c r="E827" s="191">
        <v>120</v>
      </c>
      <c r="F827" s="192">
        <v>6</v>
      </c>
      <c r="G827" s="191">
        <v>100</v>
      </c>
      <c r="H827" s="189" t="s">
        <v>2104</v>
      </c>
      <c r="I827" s="193" t="s">
        <v>2104</v>
      </c>
      <c r="J827" s="82" t="s">
        <v>305</v>
      </c>
      <c r="K827" s="83" t="s">
        <v>184</v>
      </c>
      <c r="O827" s="84"/>
      <c r="P827" s="84"/>
      <c r="Q827" s="84"/>
      <c r="R827" s="84"/>
      <c r="S827" s="84"/>
      <c r="T827" s="84"/>
      <c r="U827" s="84"/>
      <c r="V827" s="84"/>
      <c r="W827" s="84"/>
      <c r="X827" s="84"/>
      <c r="Y827" s="84"/>
      <c r="Z827" s="84"/>
    </row>
    <row r="828" spans="1:26" ht="15.75" customHeight="1" x14ac:dyDescent="0.25">
      <c r="A828" s="85" t="s">
        <v>2105</v>
      </c>
      <c r="B828" s="189" t="s">
        <v>309</v>
      </c>
      <c r="C828" s="9" t="s">
        <v>322</v>
      </c>
      <c r="D828" s="190" t="s">
        <v>304</v>
      </c>
      <c r="E828" s="191" t="s">
        <v>305</v>
      </c>
      <c r="F828" s="192" t="s">
        <v>304</v>
      </c>
      <c r="G828" s="191" t="s">
        <v>305</v>
      </c>
      <c r="H828" s="189" t="s">
        <v>1515</v>
      </c>
      <c r="I828" s="193" t="s">
        <v>1516</v>
      </c>
      <c r="J828" s="82" t="s">
        <v>305</v>
      </c>
      <c r="K828" s="83" t="s">
        <v>184</v>
      </c>
      <c r="O828" s="84"/>
      <c r="P828" s="84"/>
      <c r="Q828" s="84"/>
      <c r="R828" s="84"/>
      <c r="S828" s="84"/>
      <c r="T828" s="84"/>
      <c r="U828" s="84"/>
      <c r="V828" s="84"/>
      <c r="W828" s="84"/>
      <c r="X828" s="84"/>
      <c r="Y828" s="84"/>
      <c r="Z828" s="84"/>
    </row>
    <row r="829" spans="1:26" ht="15.75" customHeight="1" x14ac:dyDescent="0.25">
      <c r="A829" s="85" t="s">
        <v>2106</v>
      </c>
      <c r="B829" s="189" t="s">
        <v>309</v>
      </c>
      <c r="C829" s="9" t="s">
        <v>303</v>
      </c>
      <c r="D829" s="190" t="s">
        <v>304</v>
      </c>
      <c r="E829" s="191" t="s">
        <v>305</v>
      </c>
      <c r="F829" s="192" t="s">
        <v>304</v>
      </c>
      <c r="G829" s="191" t="s">
        <v>305</v>
      </c>
      <c r="H829" s="189" t="s">
        <v>2107</v>
      </c>
      <c r="I829" s="193" t="s">
        <v>2108</v>
      </c>
      <c r="J829" s="82" t="s">
        <v>305</v>
      </c>
      <c r="K829" s="83" t="s">
        <v>184</v>
      </c>
      <c r="O829" s="84"/>
      <c r="P829" s="84"/>
      <c r="Q829" s="84"/>
      <c r="R829" s="84"/>
      <c r="S829" s="84"/>
      <c r="T829" s="84"/>
      <c r="U829" s="84"/>
      <c r="V829" s="84"/>
      <c r="W829" s="84"/>
      <c r="X829" s="84"/>
      <c r="Y829" s="84"/>
      <c r="Z829" s="84"/>
    </row>
    <row r="830" spans="1:26" ht="15.75" customHeight="1" x14ac:dyDescent="0.25">
      <c r="A830" s="85" t="s">
        <v>2109</v>
      </c>
      <c r="B830" s="189" t="s">
        <v>367</v>
      </c>
      <c r="C830" s="9" t="s">
        <v>303</v>
      </c>
      <c r="D830" s="190">
        <v>5</v>
      </c>
      <c r="E830" s="191">
        <v>50</v>
      </c>
      <c r="F830" s="192">
        <v>24.4</v>
      </c>
      <c r="G830" s="191">
        <v>8</v>
      </c>
      <c r="H830" s="189" t="s">
        <v>2110</v>
      </c>
      <c r="I830" s="193" t="s">
        <v>2111</v>
      </c>
      <c r="J830" s="82" t="s">
        <v>305</v>
      </c>
      <c r="K830" s="83" t="s">
        <v>184</v>
      </c>
      <c r="O830" s="84"/>
      <c r="P830" s="84"/>
      <c r="Q830" s="84"/>
      <c r="R830" s="84"/>
      <c r="S830" s="84"/>
      <c r="T830" s="84"/>
      <c r="U830" s="84"/>
      <c r="V830" s="84"/>
      <c r="W830" s="84"/>
      <c r="X830" s="84"/>
      <c r="Y830" s="84"/>
      <c r="Z830" s="84"/>
    </row>
    <row r="831" spans="1:26" ht="15.75" customHeight="1" x14ac:dyDescent="0.25">
      <c r="A831" s="85" t="s">
        <v>2112</v>
      </c>
      <c r="B831" s="189" t="s">
        <v>335</v>
      </c>
      <c r="C831" s="9" t="s">
        <v>314</v>
      </c>
      <c r="D831" s="190">
        <v>4</v>
      </c>
      <c r="E831" s="191">
        <v>40</v>
      </c>
      <c r="F831" s="192">
        <v>6</v>
      </c>
      <c r="G831" s="191">
        <v>100</v>
      </c>
      <c r="H831" s="189"/>
      <c r="I831" s="193" t="s">
        <v>184</v>
      </c>
      <c r="J831" s="82" t="s">
        <v>305</v>
      </c>
      <c r="K831" s="83" t="s">
        <v>184</v>
      </c>
      <c r="O831" s="84"/>
      <c r="P831" s="84"/>
      <c r="Q831" s="84"/>
      <c r="R831" s="84"/>
      <c r="S831" s="84"/>
      <c r="T831" s="84"/>
      <c r="U831" s="84"/>
      <c r="V831" s="84"/>
      <c r="W831" s="84"/>
      <c r="X831" s="84"/>
      <c r="Y831" s="84"/>
      <c r="Z831" s="84"/>
    </row>
    <row r="832" spans="1:26" ht="15.75" customHeight="1" x14ac:dyDescent="0.25">
      <c r="A832" s="85" t="s">
        <v>2113</v>
      </c>
      <c r="B832" s="189" t="s">
        <v>411</v>
      </c>
      <c r="C832" s="9" t="s">
        <v>322</v>
      </c>
      <c r="D832" s="190" t="s">
        <v>304</v>
      </c>
      <c r="E832" s="191" t="s">
        <v>305</v>
      </c>
      <c r="F832" s="192" t="s">
        <v>304</v>
      </c>
      <c r="G832" s="191" t="s">
        <v>305</v>
      </c>
      <c r="H832" s="189" t="s">
        <v>2114</v>
      </c>
      <c r="I832" s="193" t="s">
        <v>1539</v>
      </c>
      <c r="J832" s="82" t="s">
        <v>305</v>
      </c>
      <c r="K832" s="83" t="s">
        <v>184</v>
      </c>
      <c r="O832" s="84"/>
      <c r="P832" s="84"/>
      <c r="Q832" s="84"/>
      <c r="R832" s="84"/>
      <c r="S832" s="84"/>
      <c r="T832" s="84"/>
      <c r="U832" s="84"/>
      <c r="V832" s="84"/>
      <c r="W832" s="84"/>
      <c r="X832" s="84"/>
      <c r="Y832" s="84"/>
      <c r="Z832" s="84"/>
    </row>
    <row r="833" spans="1:26" ht="15.75" customHeight="1" x14ac:dyDescent="0.25">
      <c r="A833" s="85" t="s">
        <v>2115</v>
      </c>
      <c r="B833" s="189" t="s">
        <v>335</v>
      </c>
      <c r="C833" s="9" t="s">
        <v>314</v>
      </c>
      <c r="D833" s="190">
        <v>3</v>
      </c>
      <c r="E833" s="191">
        <v>25</v>
      </c>
      <c r="F833" s="192">
        <v>9</v>
      </c>
      <c r="G833" s="191">
        <v>85</v>
      </c>
      <c r="H833" s="189" t="s">
        <v>387</v>
      </c>
      <c r="I833" s="193" t="s">
        <v>388</v>
      </c>
      <c r="J833" s="82" t="s">
        <v>305</v>
      </c>
      <c r="K833" s="83" t="s">
        <v>184</v>
      </c>
      <c r="O833" s="84"/>
      <c r="P833" s="84"/>
      <c r="Q833" s="84"/>
      <c r="R833" s="84"/>
      <c r="S833" s="84"/>
      <c r="T833" s="84"/>
      <c r="U833" s="84"/>
      <c r="V833" s="84"/>
      <c r="W833" s="84"/>
      <c r="X833" s="84"/>
      <c r="Y833" s="84"/>
      <c r="Z833" s="84"/>
    </row>
    <row r="834" spans="1:26" ht="15.75" customHeight="1" x14ac:dyDescent="0.25">
      <c r="A834" s="85" t="s">
        <v>2116</v>
      </c>
      <c r="B834" s="189" t="s">
        <v>335</v>
      </c>
      <c r="C834" s="9" t="s">
        <v>322</v>
      </c>
      <c r="D834" s="190" t="s">
        <v>304</v>
      </c>
      <c r="E834" s="191" t="s">
        <v>305</v>
      </c>
      <c r="F834" s="192">
        <v>6</v>
      </c>
      <c r="G834" s="191">
        <v>100</v>
      </c>
      <c r="H834" s="189" t="s">
        <v>1329</v>
      </c>
      <c r="I834" s="193" t="s">
        <v>1126</v>
      </c>
      <c r="J834" s="82" t="s">
        <v>305</v>
      </c>
      <c r="K834" s="83" t="s">
        <v>184</v>
      </c>
      <c r="O834" s="84"/>
      <c r="P834" s="84"/>
      <c r="Q834" s="84"/>
      <c r="R834" s="84"/>
      <c r="S834" s="84"/>
      <c r="T834" s="84"/>
      <c r="U834" s="84"/>
      <c r="V834" s="84"/>
      <c r="W834" s="84"/>
      <c r="X834" s="84"/>
      <c r="Y834" s="84"/>
      <c r="Z834" s="84"/>
    </row>
    <row r="835" spans="1:26" ht="15.75" customHeight="1" x14ac:dyDescent="0.25">
      <c r="A835" s="85" t="s">
        <v>2117</v>
      </c>
      <c r="B835" s="189" t="s">
        <v>331</v>
      </c>
      <c r="C835" s="9" t="s">
        <v>322</v>
      </c>
      <c r="D835" s="190" t="s">
        <v>304</v>
      </c>
      <c r="E835" s="191" t="s">
        <v>305</v>
      </c>
      <c r="F835" s="192" t="s">
        <v>304</v>
      </c>
      <c r="G835" s="191" t="s">
        <v>305</v>
      </c>
      <c r="H835" s="189" t="s">
        <v>2118</v>
      </c>
      <c r="I835" s="193" t="s">
        <v>2119</v>
      </c>
      <c r="J835" s="82" t="s">
        <v>305</v>
      </c>
      <c r="K835" s="83" t="s">
        <v>184</v>
      </c>
      <c r="O835" s="84"/>
      <c r="P835" s="84"/>
      <c r="Q835" s="84"/>
      <c r="R835" s="84"/>
      <c r="S835" s="84"/>
      <c r="T835" s="84"/>
      <c r="U835" s="84"/>
      <c r="V835" s="84"/>
      <c r="W835" s="84"/>
      <c r="X835" s="84"/>
      <c r="Y835" s="84"/>
      <c r="Z835" s="84"/>
    </row>
    <row r="836" spans="1:26" ht="15.75" customHeight="1" x14ac:dyDescent="0.25">
      <c r="A836" s="85" t="s">
        <v>2120</v>
      </c>
      <c r="B836" s="189" t="s">
        <v>335</v>
      </c>
      <c r="C836" s="9" t="s">
        <v>314</v>
      </c>
      <c r="D836" s="190">
        <v>9</v>
      </c>
      <c r="E836" s="191">
        <v>90</v>
      </c>
      <c r="F836" s="192">
        <v>9</v>
      </c>
      <c r="G836" s="191">
        <v>85</v>
      </c>
      <c r="H836" s="189" t="s">
        <v>527</v>
      </c>
      <c r="I836" s="193" t="s">
        <v>528</v>
      </c>
      <c r="J836" s="82" t="s">
        <v>305</v>
      </c>
      <c r="K836" s="83" t="s">
        <v>184</v>
      </c>
      <c r="O836" s="84"/>
      <c r="P836" s="84"/>
      <c r="Q836" s="84"/>
      <c r="R836" s="84"/>
      <c r="S836" s="84"/>
      <c r="T836" s="84"/>
      <c r="U836" s="84"/>
      <c r="V836" s="84"/>
      <c r="W836" s="84"/>
      <c r="X836" s="84"/>
      <c r="Y836" s="84"/>
      <c r="Z836" s="84"/>
    </row>
    <row r="837" spans="1:26" ht="15.75" customHeight="1" x14ac:dyDescent="0.25">
      <c r="A837" s="85" t="s">
        <v>2121</v>
      </c>
      <c r="B837" s="189" t="s">
        <v>348</v>
      </c>
      <c r="C837" s="9" t="s">
        <v>322</v>
      </c>
      <c r="D837" s="190" t="s">
        <v>304</v>
      </c>
      <c r="E837" s="191" t="s">
        <v>305</v>
      </c>
      <c r="F837" s="192" t="s">
        <v>304</v>
      </c>
      <c r="G837" s="191" t="s">
        <v>305</v>
      </c>
      <c r="H837" s="189" t="s">
        <v>2122</v>
      </c>
      <c r="I837" s="193" t="s">
        <v>2123</v>
      </c>
      <c r="J837" s="82" t="s">
        <v>305</v>
      </c>
      <c r="K837" s="83" t="s">
        <v>184</v>
      </c>
      <c r="O837" s="84"/>
      <c r="P837" s="84"/>
      <c r="Q837" s="84"/>
      <c r="R837" s="84"/>
      <c r="S837" s="84"/>
      <c r="T837" s="84"/>
      <c r="U837" s="84"/>
      <c r="V837" s="84"/>
      <c r="W837" s="84"/>
      <c r="X837" s="84"/>
      <c r="Y837" s="84"/>
      <c r="Z837" s="84"/>
    </row>
    <row r="838" spans="1:26" ht="15.75" customHeight="1" x14ac:dyDescent="0.25">
      <c r="A838" s="85" t="s">
        <v>2124</v>
      </c>
      <c r="B838" s="189" t="s">
        <v>313</v>
      </c>
      <c r="C838" s="9" t="s">
        <v>322</v>
      </c>
      <c r="D838" s="190" t="s">
        <v>304</v>
      </c>
      <c r="E838" s="191" t="s">
        <v>305</v>
      </c>
      <c r="F838" s="192">
        <v>6</v>
      </c>
      <c r="G838" s="191">
        <v>100</v>
      </c>
      <c r="H838" s="189" t="s">
        <v>2125</v>
      </c>
      <c r="I838" s="193" t="s">
        <v>2126</v>
      </c>
      <c r="J838" s="82">
        <v>100</v>
      </c>
      <c r="K838" s="83">
        <v>1</v>
      </c>
      <c r="O838" s="84"/>
      <c r="P838" s="84"/>
      <c r="Q838" s="84"/>
      <c r="R838" s="84"/>
      <c r="S838" s="84"/>
      <c r="T838" s="84"/>
      <c r="U838" s="84"/>
      <c r="V838" s="84"/>
      <c r="W838" s="84"/>
      <c r="X838" s="84"/>
      <c r="Y838" s="84"/>
      <c r="Z838" s="84"/>
    </row>
    <row r="839" spans="1:26" ht="15.75" customHeight="1" x14ac:dyDescent="0.25">
      <c r="A839" s="85" t="s">
        <v>159</v>
      </c>
      <c r="B839" s="189" t="s">
        <v>403</v>
      </c>
      <c r="C839" s="9" t="s">
        <v>322</v>
      </c>
      <c r="D839" s="190" t="s">
        <v>304</v>
      </c>
      <c r="E839" s="191" t="s">
        <v>305</v>
      </c>
      <c r="F839" s="192">
        <v>6</v>
      </c>
      <c r="G839" s="191">
        <v>100</v>
      </c>
      <c r="H839" s="189" t="s">
        <v>2127</v>
      </c>
      <c r="I839" s="193" t="s">
        <v>2128</v>
      </c>
      <c r="J839" s="82" t="s">
        <v>305</v>
      </c>
      <c r="K839" s="83" t="s">
        <v>184</v>
      </c>
      <c r="O839" s="84"/>
      <c r="P839" s="84"/>
      <c r="Q839" s="84"/>
      <c r="R839" s="84"/>
      <c r="S839" s="84"/>
      <c r="T839" s="84"/>
      <c r="U839" s="84"/>
      <c r="V839" s="84"/>
      <c r="W839" s="84"/>
      <c r="X839" s="84"/>
      <c r="Y839" s="84"/>
      <c r="Z839" s="84"/>
    </row>
    <row r="840" spans="1:26" ht="15.75" customHeight="1" x14ac:dyDescent="0.25">
      <c r="A840" s="85" t="s">
        <v>2129</v>
      </c>
      <c r="B840" s="189" t="s">
        <v>335</v>
      </c>
      <c r="C840" s="9" t="s">
        <v>322</v>
      </c>
      <c r="D840" s="190" t="s">
        <v>304</v>
      </c>
      <c r="E840" s="191" t="s">
        <v>305</v>
      </c>
      <c r="F840" s="192" t="s">
        <v>304</v>
      </c>
      <c r="G840" s="191" t="s">
        <v>305</v>
      </c>
      <c r="H840" s="189" t="s">
        <v>2130</v>
      </c>
      <c r="I840" s="193" t="s">
        <v>1563</v>
      </c>
      <c r="J840" s="82">
        <v>100</v>
      </c>
      <c r="K840" s="83">
        <v>1</v>
      </c>
      <c r="O840" s="84"/>
      <c r="P840" s="84"/>
      <c r="Q840" s="84"/>
      <c r="R840" s="84"/>
      <c r="S840" s="84"/>
      <c r="T840" s="84"/>
      <c r="U840" s="84"/>
      <c r="V840" s="84"/>
      <c r="W840" s="84"/>
      <c r="X840" s="84"/>
      <c r="Y840" s="84"/>
      <c r="Z840" s="84"/>
    </row>
    <row r="841" spans="1:26" ht="15.75" customHeight="1" x14ac:dyDescent="0.25">
      <c r="A841" s="85" t="s">
        <v>2131</v>
      </c>
      <c r="B841" s="189" t="s">
        <v>335</v>
      </c>
      <c r="C841" s="9" t="s">
        <v>322</v>
      </c>
      <c r="D841" s="190" t="s">
        <v>304</v>
      </c>
      <c r="E841" s="191" t="s">
        <v>305</v>
      </c>
      <c r="F841" s="192" t="s">
        <v>304</v>
      </c>
      <c r="G841" s="191" t="s">
        <v>305</v>
      </c>
      <c r="H841" s="189" t="s">
        <v>2132</v>
      </c>
      <c r="I841" s="193" t="s">
        <v>2133</v>
      </c>
      <c r="J841" s="82" t="s">
        <v>305</v>
      </c>
      <c r="K841" s="83" t="s">
        <v>184</v>
      </c>
      <c r="O841" s="84"/>
      <c r="P841" s="84"/>
      <c r="Q841" s="84"/>
      <c r="R841" s="84"/>
      <c r="S841" s="84"/>
      <c r="T841" s="84"/>
      <c r="U841" s="84"/>
      <c r="V841" s="84"/>
      <c r="W841" s="84"/>
      <c r="X841" s="84"/>
      <c r="Y841" s="84"/>
      <c r="Z841" s="84"/>
    </row>
    <row r="842" spans="1:26" ht="15.75" customHeight="1" x14ac:dyDescent="0.25">
      <c r="A842" s="85" t="s">
        <v>2134</v>
      </c>
      <c r="B842" s="189" t="s">
        <v>335</v>
      </c>
      <c r="C842" s="9" t="s">
        <v>303</v>
      </c>
      <c r="D842" s="190">
        <v>12</v>
      </c>
      <c r="E842" s="191">
        <v>120</v>
      </c>
      <c r="F842" s="192">
        <v>6</v>
      </c>
      <c r="G842" s="191">
        <v>100</v>
      </c>
      <c r="H842" s="189" t="s">
        <v>2135</v>
      </c>
      <c r="I842" s="193" t="s">
        <v>2135</v>
      </c>
      <c r="J842" s="82" t="s">
        <v>305</v>
      </c>
      <c r="K842" s="83" t="s">
        <v>184</v>
      </c>
      <c r="O842" s="84"/>
      <c r="P842" s="84"/>
      <c r="Q842" s="84"/>
      <c r="R842" s="84"/>
      <c r="S842" s="84"/>
      <c r="T842" s="84"/>
      <c r="U842" s="84"/>
      <c r="V842" s="84"/>
      <c r="W842" s="84"/>
      <c r="X842" s="84"/>
      <c r="Y842" s="84"/>
      <c r="Z842" s="84"/>
    </row>
    <row r="843" spans="1:26" ht="15.75" customHeight="1" x14ac:dyDescent="0.25">
      <c r="A843" s="85" t="s">
        <v>2136</v>
      </c>
      <c r="B843" s="86" t="s">
        <v>515</v>
      </c>
      <c r="C843" s="87" t="s">
        <v>305</v>
      </c>
      <c r="D843" s="88" t="s">
        <v>304</v>
      </c>
      <c r="E843" s="83" t="s">
        <v>305</v>
      </c>
      <c r="F843" s="192" t="s">
        <v>304</v>
      </c>
      <c r="G843" s="83" t="s">
        <v>305</v>
      </c>
      <c r="H843" s="86" t="s">
        <v>2137</v>
      </c>
      <c r="I843" s="89" t="s">
        <v>2137</v>
      </c>
      <c r="J843" s="82" t="s">
        <v>305</v>
      </c>
      <c r="K843" s="83" t="s">
        <v>184</v>
      </c>
      <c r="O843" s="84"/>
      <c r="P843" s="84"/>
      <c r="Q843" s="84"/>
      <c r="R843" s="84"/>
      <c r="S843" s="84"/>
      <c r="T843" s="84"/>
      <c r="U843" s="84"/>
      <c r="V843" s="84"/>
      <c r="W843" s="84"/>
      <c r="X843" s="84"/>
      <c r="Y843" s="84"/>
      <c r="Z843" s="84"/>
    </row>
    <row r="844" spans="1:26" ht="15.75" customHeight="1" x14ac:dyDescent="0.25">
      <c r="A844" s="85" t="s">
        <v>2138</v>
      </c>
      <c r="B844" s="86" t="s">
        <v>335</v>
      </c>
      <c r="C844" s="87" t="s">
        <v>322</v>
      </c>
      <c r="D844" s="192" t="s">
        <v>304</v>
      </c>
      <c r="E844" s="83" t="s">
        <v>305</v>
      </c>
      <c r="F844" s="192">
        <v>6</v>
      </c>
      <c r="G844" s="83">
        <v>100</v>
      </c>
      <c r="H844" s="86" t="s">
        <v>2139</v>
      </c>
      <c r="I844" s="89" t="s">
        <v>2140</v>
      </c>
      <c r="J844" s="82" t="s">
        <v>305</v>
      </c>
      <c r="K844" s="83" t="s">
        <v>184</v>
      </c>
      <c r="O844" s="84"/>
      <c r="P844" s="84"/>
      <c r="Q844" s="84"/>
      <c r="R844" s="84"/>
      <c r="S844" s="84"/>
      <c r="T844" s="84"/>
      <c r="U844" s="84"/>
      <c r="V844" s="84"/>
      <c r="W844" s="84"/>
      <c r="X844" s="84"/>
      <c r="Y844" s="84"/>
      <c r="Z844" s="84"/>
    </row>
    <row r="845" spans="1:26" ht="15.75" customHeight="1" x14ac:dyDescent="0.25">
      <c r="A845" s="85" t="s">
        <v>163</v>
      </c>
      <c r="B845" s="86" t="s">
        <v>348</v>
      </c>
      <c r="C845" s="87" t="s">
        <v>322</v>
      </c>
      <c r="D845" s="88" t="s">
        <v>304</v>
      </c>
      <c r="E845" s="83" t="s">
        <v>305</v>
      </c>
      <c r="F845" s="192" t="s">
        <v>304</v>
      </c>
      <c r="G845" s="83" t="s">
        <v>305</v>
      </c>
      <c r="H845" s="86" t="s">
        <v>2141</v>
      </c>
      <c r="I845" s="89" t="s">
        <v>2142</v>
      </c>
      <c r="J845" s="82" t="s">
        <v>305</v>
      </c>
      <c r="K845" s="83" t="s">
        <v>184</v>
      </c>
      <c r="O845" s="84"/>
      <c r="P845" s="84"/>
      <c r="Q845" s="84"/>
      <c r="R845" s="84"/>
      <c r="S845" s="84"/>
      <c r="T845" s="84"/>
      <c r="U845" s="84"/>
      <c r="V845" s="84"/>
      <c r="W845" s="84"/>
      <c r="X845" s="84"/>
      <c r="Y845" s="84"/>
      <c r="Z845" s="84"/>
    </row>
    <row r="846" spans="1:26" ht="15.75" customHeight="1" x14ac:dyDescent="0.25">
      <c r="A846" s="85" t="s">
        <v>2143</v>
      </c>
      <c r="B846" s="86" t="s">
        <v>348</v>
      </c>
      <c r="C846" s="87" t="s">
        <v>322</v>
      </c>
      <c r="D846" s="88" t="s">
        <v>304</v>
      </c>
      <c r="E846" s="83" t="s">
        <v>305</v>
      </c>
      <c r="F846" s="192" t="s">
        <v>304</v>
      </c>
      <c r="G846" s="83" t="s">
        <v>305</v>
      </c>
      <c r="H846" s="86" t="s">
        <v>2144</v>
      </c>
      <c r="I846" s="89" t="s">
        <v>2145</v>
      </c>
      <c r="J846" s="82" t="s">
        <v>305</v>
      </c>
      <c r="K846" s="83" t="s">
        <v>184</v>
      </c>
      <c r="O846" s="84"/>
      <c r="P846" s="84"/>
      <c r="Q846" s="84"/>
      <c r="R846" s="84"/>
      <c r="S846" s="84"/>
      <c r="T846" s="84"/>
      <c r="U846" s="84"/>
      <c r="V846" s="84"/>
      <c r="W846" s="84"/>
      <c r="X846" s="84"/>
      <c r="Y846" s="84"/>
      <c r="Z846" s="84"/>
    </row>
    <row r="847" spans="1:26" ht="15.75" customHeight="1" x14ac:dyDescent="0.25">
      <c r="A847" s="85" t="s">
        <v>2146</v>
      </c>
      <c r="B847" s="86" t="s">
        <v>390</v>
      </c>
      <c r="C847" s="87" t="s">
        <v>314</v>
      </c>
      <c r="D847" s="88">
        <v>8</v>
      </c>
      <c r="E847" s="83">
        <v>75</v>
      </c>
      <c r="F847" s="192">
        <v>6</v>
      </c>
      <c r="G847" s="83">
        <v>100</v>
      </c>
      <c r="H847" s="86"/>
      <c r="I847" s="89" t="s">
        <v>184</v>
      </c>
      <c r="J847" s="82" t="s">
        <v>305</v>
      </c>
      <c r="K847" s="83" t="s">
        <v>184</v>
      </c>
      <c r="O847" s="84"/>
      <c r="P847" s="84"/>
      <c r="Q847" s="84"/>
      <c r="R847" s="84"/>
      <c r="S847" s="84"/>
      <c r="T847" s="84"/>
      <c r="U847" s="84"/>
      <c r="V847" s="84"/>
      <c r="W847" s="84"/>
      <c r="X847" s="84"/>
      <c r="Y847" s="84"/>
      <c r="Z847" s="84"/>
    </row>
    <row r="848" spans="1:26" ht="15.75" customHeight="1" x14ac:dyDescent="0.25">
      <c r="A848" s="85" t="s">
        <v>2147</v>
      </c>
      <c r="B848" s="86" t="s">
        <v>335</v>
      </c>
      <c r="C848" s="87" t="s">
        <v>303</v>
      </c>
      <c r="D848" s="88">
        <v>8</v>
      </c>
      <c r="E848" s="83">
        <v>80</v>
      </c>
      <c r="F848" s="192">
        <v>6</v>
      </c>
      <c r="G848" s="83">
        <v>100</v>
      </c>
      <c r="H848" s="86" t="s">
        <v>2148</v>
      </c>
      <c r="I848" s="89" t="s">
        <v>2149</v>
      </c>
      <c r="J848" s="82" t="s">
        <v>305</v>
      </c>
      <c r="K848" s="83" t="s">
        <v>184</v>
      </c>
      <c r="O848" s="84"/>
      <c r="P848" s="84"/>
      <c r="Q848" s="84"/>
      <c r="R848" s="84"/>
      <c r="S848" s="84"/>
      <c r="T848" s="84"/>
      <c r="U848" s="84"/>
      <c r="V848" s="84"/>
      <c r="W848" s="84"/>
      <c r="X848" s="84"/>
      <c r="Y848" s="84"/>
      <c r="Z848" s="84"/>
    </row>
    <row r="849" spans="1:26" ht="15.75" customHeight="1" x14ac:dyDescent="0.25">
      <c r="A849" s="85" t="s">
        <v>2150</v>
      </c>
      <c r="B849" s="86" t="s">
        <v>335</v>
      </c>
      <c r="C849" s="87" t="s">
        <v>303</v>
      </c>
      <c r="D849" s="88">
        <v>12</v>
      </c>
      <c r="E849" s="83">
        <v>120</v>
      </c>
      <c r="F849" s="192">
        <v>6</v>
      </c>
      <c r="G849" s="83">
        <v>100</v>
      </c>
      <c r="H849" s="86"/>
      <c r="I849" s="89" t="s">
        <v>184</v>
      </c>
      <c r="J849" s="82" t="s">
        <v>305</v>
      </c>
      <c r="K849" s="83" t="s">
        <v>184</v>
      </c>
      <c r="O849" s="84"/>
      <c r="P849" s="84"/>
      <c r="Q849" s="84"/>
      <c r="R849" s="84"/>
      <c r="S849" s="84"/>
      <c r="T849" s="84"/>
      <c r="U849" s="84"/>
      <c r="V849" s="84"/>
      <c r="W849" s="84"/>
      <c r="X849" s="84"/>
      <c r="Y849" s="84"/>
      <c r="Z849" s="84"/>
    </row>
    <row r="850" spans="1:26" ht="15.75" customHeight="1" x14ac:dyDescent="0.25">
      <c r="A850" s="85" t="s">
        <v>2151</v>
      </c>
      <c r="B850" s="86" t="s">
        <v>335</v>
      </c>
      <c r="C850" s="87" t="s">
        <v>303</v>
      </c>
      <c r="D850" s="88">
        <v>5</v>
      </c>
      <c r="E850" s="83">
        <v>50</v>
      </c>
      <c r="F850" s="192">
        <v>6</v>
      </c>
      <c r="G850" s="83">
        <v>100</v>
      </c>
      <c r="H850" s="86" t="s">
        <v>2152</v>
      </c>
      <c r="I850" s="89" t="s">
        <v>2152</v>
      </c>
      <c r="J850" s="82" t="s">
        <v>305</v>
      </c>
      <c r="K850" s="83" t="s">
        <v>184</v>
      </c>
      <c r="O850" s="84"/>
      <c r="P850" s="84"/>
      <c r="Q850" s="84"/>
      <c r="R850" s="84"/>
      <c r="S850" s="84"/>
      <c r="T850" s="84"/>
      <c r="U850" s="84"/>
      <c r="V850" s="84"/>
      <c r="W850" s="84"/>
      <c r="X850" s="84"/>
      <c r="Y850" s="84"/>
      <c r="Z850" s="84"/>
    </row>
    <row r="851" spans="1:26" ht="15.75" customHeight="1" x14ac:dyDescent="0.25">
      <c r="A851" s="85" t="s">
        <v>2153</v>
      </c>
      <c r="B851" s="86" t="s">
        <v>403</v>
      </c>
      <c r="C851" s="87" t="s">
        <v>314</v>
      </c>
      <c r="D851" s="88">
        <v>6</v>
      </c>
      <c r="E851" s="83">
        <v>60</v>
      </c>
      <c r="F851" s="192">
        <v>6</v>
      </c>
      <c r="G851" s="83">
        <v>100</v>
      </c>
      <c r="H851" s="86" t="s">
        <v>2154</v>
      </c>
      <c r="I851" s="89" t="s">
        <v>2155</v>
      </c>
      <c r="J851" s="82" t="s">
        <v>305</v>
      </c>
      <c r="K851" s="83" t="s">
        <v>184</v>
      </c>
      <c r="O851" s="84"/>
      <c r="P851" s="84"/>
      <c r="Q851" s="84"/>
      <c r="R851" s="84"/>
      <c r="S851" s="84"/>
      <c r="T851" s="84"/>
      <c r="U851" s="84"/>
      <c r="V851" s="84"/>
      <c r="W851" s="84"/>
      <c r="X851" s="84"/>
      <c r="Y851" s="84"/>
      <c r="Z851" s="84"/>
    </row>
    <row r="852" spans="1:26" ht="15.75" customHeight="1" x14ac:dyDescent="0.25">
      <c r="A852" s="85" t="s">
        <v>2156</v>
      </c>
      <c r="B852" s="86" t="s">
        <v>515</v>
      </c>
      <c r="C852" s="87" t="s">
        <v>314</v>
      </c>
      <c r="D852" s="192">
        <v>9</v>
      </c>
      <c r="E852" s="83">
        <v>90</v>
      </c>
      <c r="F852" s="192">
        <v>6</v>
      </c>
      <c r="G852" s="83">
        <v>100</v>
      </c>
      <c r="H852" s="86" t="s">
        <v>1931</v>
      </c>
      <c r="I852" s="89" t="s">
        <v>1932</v>
      </c>
      <c r="J852" s="82" t="s">
        <v>305</v>
      </c>
      <c r="K852" s="83" t="s">
        <v>184</v>
      </c>
      <c r="O852" s="84"/>
      <c r="P852" s="84"/>
      <c r="Q852" s="84"/>
      <c r="R852" s="84"/>
      <c r="S852" s="84"/>
      <c r="T852" s="84"/>
      <c r="U852" s="84"/>
      <c r="V852" s="84"/>
      <c r="W852" s="84"/>
      <c r="X852" s="84"/>
      <c r="Y852" s="84"/>
      <c r="Z852" s="84"/>
    </row>
    <row r="853" spans="1:26" ht="15.75" customHeight="1" x14ac:dyDescent="0.25">
      <c r="A853" s="85" t="s">
        <v>2157</v>
      </c>
      <c r="B853" s="86" t="s">
        <v>515</v>
      </c>
      <c r="C853" s="87" t="s">
        <v>314</v>
      </c>
      <c r="D853" s="88">
        <v>9</v>
      </c>
      <c r="E853" s="83">
        <v>90</v>
      </c>
      <c r="F853" s="192">
        <v>6</v>
      </c>
      <c r="G853" s="83">
        <v>100</v>
      </c>
      <c r="H853" s="86" t="s">
        <v>495</v>
      </c>
      <c r="I853" s="89" t="s">
        <v>496</v>
      </c>
      <c r="J853" s="82" t="s">
        <v>305</v>
      </c>
      <c r="K853" s="83" t="s">
        <v>184</v>
      </c>
      <c r="O853" s="84"/>
      <c r="P853" s="84"/>
      <c r="Q853" s="84"/>
      <c r="R853" s="84"/>
      <c r="S853" s="84"/>
      <c r="T853" s="84"/>
      <c r="U853" s="84"/>
      <c r="V853" s="84"/>
      <c r="W853" s="84"/>
      <c r="X853" s="84"/>
      <c r="Y853" s="84"/>
      <c r="Z853" s="84"/>
    </row>
    <row r="854" spans="1:26" ht="15.75" customHeight="1" x14ac:dyDescent="0.25">
      <c r="A854" s="85" t="s">
        <v>2158</v>
      </c>
      <c r="B854" s="86" t="s">
        <v>335</v>
      </c>
      <c r="C854" s="87" t="s">
        <v>314</v>
      </c>
      <c r="D854" s="88">
        <v>12</v>
      </c>
      <c r="E854" s="83">
        <v>120</v>
      </c>
      <c r="F854" s="192">
        <v>6</v>
      </c>
      <c r="G854" s="83">
        <v>100</v>
      </c>
      <c r="H854" s="86" t="s">
        <v>1583</v>
      </c>
      <c r="I854" s="89" t="s">
        <v>1584</v>
      </c>
      <c r="J854" s="82" t="s">
        <v>305</v>
      </c>
      <c r="K854" s="83" t="s">
        <v>184</v>
      </c>
      <c r="O854" s="84"/>
      <c r="P854" s="84"/>
      <c r="Q854" s="84"/>
      <c r="R854" s="84"/>
      <c r="S854" s="84"/>
      <c r="T854" s="84"/>
      <c r="U854" s="84"/>
      <c r="V854" s="84"/>
      <c r="W854" s="84"/>
      <c r="X854" s="84"/>
      <c r="Y854" s="84"/>
      <c r="Z854" s="84"/>
    </row>
    <row r="855" spans="1:26" ht="15.75" customHeight="1" x14ac:dyDescent="0.25">
      <c r="A855" s="85" t="s">
        <v>2159</v>
      </c>
      <c r="B855" s="86" t="s">
        <v>403</v>
      </c>
      <c r="C855" s="87" t="s">
        <v>314</v>
      </c>
      <c r="D855" s="88">
        <v>8</v>
      </c>
      <c r="E855" s="83">
        <v>80</v>
      </c>
      <c r="F855" s="192">
        <v>6</v>
      </c>
      <c r="G855" s="83">
        <v>100</v>
      </c>
      <c r="H855" s="86" t="s">
        <v>2160</v>
      </c>
      <c r="I855" s="89" t="s">
        <v>2161</v>
      </c>
      <c r="J855" s="82">
        <v>100</v>
      </c>
      <c r="K855" s="83">
        <v>1</v>
      </c>
      <c r="O855" s="84"/>
      <c r="P855" s="84"/>
      <c r="Q855" s="84"/>
      <c r="R855" s="84"/>
      <c r="S855" s="84"/>
      <c r="T855" s="84"/>
      <c r="U855" s="84"/>
      <c r="V855" s="84"/>
      <c r="W855" s="84"/>
      <c r="X855" s="84"/>
      <c r="Y855" s="84"/>
      <c r="Z855" s="84"/>
    </row>
    <row r="856" spans="1:26" ht="15.75" customHeight="1" x14ac:dyDescent="0.25">
      <c r="A856" s="85" t="s">
        <v>2162</v>
      </c>
      <c r="B856" s="86" t="s">
        <v>302</v>
      </c>
      <c r="C856" s="87" t="s">
        <v>303</v>
      </c>
      <c r="D856" s="88">
        <v>11</v>
      </c>
      <c r="E856" s="83">
        <v>110</v>
      </c>
      <c r="F856" s="192">
        <v>12</v>
      </c>
      <c r="G856" s="83">
        <v>70</v>
      </c>
      <c r="H856" s="86" t="s">
        <v>508</v>
      </c>
      <c r="I856" s="89" t="s">
        <v>509</v>
      </c>
      <c r="J856" s="82">
        <v>30</v>
      </c>
      <c r="K856" s="83">
        <v>15</v>
      </c>
      <c r="O856" s="84"/>
      <c r="P856" s="84"/>
      <c r="Q856" s="84"/>
      <c r="R856" s="84"/>
      <c r="S856" s="84"/>
      <c r="T856" s="84"/>
      <c r="U856" s="84"/>
      <c r="V856" s="84"/>
      <c r="W856" s="84"/>
      <c r="X856" s="84"/>
      <c r="Y856" s="84"/>
      <c r="Z856" s="84"/>
    </row>
    <row r="857" spans="1:26" ht="15.75" customHeight="1" x14ac:dyDescent="0.25">
      <c r="A857" s="85" t="s">
        <v>2163</v>
      </c>
      <c r="B857" s="86" t="s">
        <v>302</v>
      </c>
      <c r="C857" s="87" t="s">
        <v>303</v>
      </c>
      <c r="D857" s="192">
        <v>8</v>
      </c>
      <c r="E857" s="83">
        <v>80</v>
      </c>
      <c r="F857" s="192">
        <v>8</v>
      </c>
      <c r="G857" s="83">
        <v>90</v>
      </c>
      <c r="H857" s="86" t="s">
        <v>2164</v>
      </c>
      <c r="I857" s="89" t="s">
        <v>2164</v>
      </c>
      <c r="J857" s="82" t="s">
        <v>305</v>
      </c>
      <c r="K857" s="83" t="s">
        <v>184</v>
      </c>
      <c r="O857" s="84"/>
      <c r="P857" s="84"/>
      <c r="Q857" s="84"/>
      <c r="R857" s="84"/>
      <c r="S857" s="84"/>
      <c r="T857" s="84"/>
      <c r="U857" s="84"/>
      <c r="V857" s="84"/>
      <c r="W857" s="84"/>
      <c r="X857" s="84"/>
      <c r="Y857" s="84"/>
      <c r="Z857" s="84"/>
    </row>
    <row r="858" spans="1:26" ht="15.75" customHeight="1" x14ac:dyDescent="0.25">
      <c r="A858" s="85" t="s">
        <v>2165</v>
      </c>
      <c r="B858" s="86" t="s">
        <v>302</v>
      </c>
      <c r="C858" s="87" t="s">
        <v>314</v>
      </c>
      <c r="D858" s="88">
        <v>7</v>
      </c>
      <c r="E858" s="83">
        <v>65</v>
      </c>
      <c r="F858" s="192">
        <v>7</v>
      </c>
      <c r="G858" s="83">
        <v>95</v>
      </c>
      <c r="H858" s="86" t="s">
        <v>2166</v>
      </c>
      <c r="I858" s="89" t="s">
        <v>2167</v>
      </c>
      <c r="J858" s="82">
        <v>10</v>
      </c>
      <c r="K858" s="83">
        <v>19</v>
      </c>
      <c r="O858" s="84"/>
      <c r="P858" s="84"/>
      <c r="Q858" s="84"/>
      <c r="R858" s="84"/>
      <c r="S858" s="84"/>
      <c r="T858" s="84"/>
      <c r="U858" s="84"/>
      <c r="V858" s="84"/>
      <c r="W858" s="84"/>
      <c r="X858" s="84"/>
      <c r="Y858" s="84"/>
      <c r="Z858" s="84"/>
    </row>
    <row r="859" spans="1:26" ht="15.75" customHeight="1" x14ac:dyDescent="0.25">
      <c r="A859" s="85" t="s">
        <v>2168</v>
      </c>
      <c r="B859" s="86" t="s">
        <v>302</v>
      </c>
      <c r="C859" s="87" t="s">
        <v>314</v>
      </c>
      <c r="D859" s="88">
        <v>8</v>
      </c>
      <c r="E859" s="83">
        <v>75</v>
      </c>
      <c r="F859" s="192">
        <v>6</v>
      </c>
      <c r="G859" s="83">
        <v>100</v>
      </c>
      <c r="H859" s="86" t="s">
        <v>508</v>
      </c>
      <c r="I859" s="89" t="s">
        <v>509</v>
      </c>
      <c r="J859" s="82">
        <v>10</v>
      </c>
      <c r="K859" s="83">
        <v>19</v>
      </c>
      <c r="O859" s="84"/>
      <c r="P859" s="84"/>
      <c r="Q859" s="84"/>
      <c r="R859" s="84"/>
      <c r="S859" s="84"/>
      <c r="T859" s="84"/>
      <c r="U859" s="84"/>
      <c r="V859" s="84"/>
      <c r="W859" s="84"/>
      <c r="X859" s="84"/>
      <c r="Y859" s="84"/>
      <c r="Z859" s="84"/>
    </row>
    <row r="860" spans="1:26" ht="15.75" customHeight="1" x14ac:dyDescent="0.25">
      <c r="A860" s="85" t="s">
        <v>2169</v>
      </c>
      <c r="B860" s="86" t="s">
        <v>302</v>
      </c>
      <c r="C860" s="87" t="s">
        <v>303</v>
      </c>
      <c r="D860" s="88">
        <v>4</v>
      </c>
      <c r="E860" s="83">
        <v>40</v>
      </c>
      <c r="F860" s="192">
        <v>6</v>
      </c>
      <c r="G860" s="83">
        <v>100</v>
      </c>
      <c r="H860" s="86" t="s">
        <v>508</v>
      </c>
      <c r="I860" s="89" t="s">
        <v>509</v>
      </c>
      <c r="J860" s="82">
        <v>10</v>
      </c>
      <c r="K860" s="83">
        <v>19</v>
      </c>
      <c r="O860" s="84"/>
      <c r="P860" s="84"/>
      <c r="Q860" s="84"/>
      <c r="R860" s="84"/>
      <c r="S860" s="84"/>
      <c r="T860" s="84"/>
      <c r="U860" s="84"/>
      <c r="V860" s="84"/>
      <c r="W860" s="84"/>
      <c r="X860" s="84"/>
      <c r="Y860" s="84"/>
      <c r="Z860" s="84"/>
    </row>
    <row r="861" spans="1:26" ht="15.75" customHeight="1" x14ac:dyDescent="0.25">
      <c r="A861" s="85" t="s">
        <v>2170</v>
      </c>
      <c r="B861" s="86" t="s">
        <v>302</v>
      </c>
      <c r="C861" s="87" t="s">
        <v>322</v>
      </c>
      <c r="D861" s="88" t="s">
        <v>304</v>
      </c>
      <c r="E861" s="83" t="s">
        <v>305</v>
      </c>
      <c r="F861" s="192">
        <v>8</v>
      </c>
      <c r="G861" s="83">
        <v>90</v>
      </c>
      <c r="H861" s="86" t="s">
        <v>1107</v>
      </c>
      <c r="I861" s="89" t="s">
        <v>1108</v>
      </c>
      <c r="J861" s="82" t="s">
        <v>305</v>
      </c>
      <c r="K861" s="83" t="s">
        <v>184</v>
      </c>
      <c r="O861" s="84"/>
      <c r="P861" s="84"/>
      <c r="Q861" s="84"/>
      <c r="R861" s="84"/>
      <c r="S861" s="84"/>
      <c r="T861" s="84"/>
      <c r="U861" s="84"/>
      <c r="V861" s="84"/>
      <c r="W861" s="84"/>
      <c r="X861" s="84"/>
      <c r="Y861" s="84"/>
      <c r="Z861" s="84"/>
    </row>
    <row r="862" spans="1:26" ht="15.75" customHeight="1" x14ac:dyDescent="0.25">
      <c r="A862" s="85" t="s">
        <v>2171</v>
      </c>
      <c r="B862" s="86" t="s">
        <v>302</v>
      </c>
      <c r="C862" s="87" t="s">
        <v>303</v>
      </c>
      <c r="D862" s="88">
        <v>9</v>
      </c>
      <c r="E862" s="83">
        <v>90</v>
      </c>
      <c r="F862" s="192">
        <v>6</v>
      </c>
      <c r="G862" s="83">
        <v>100</v>
      </c>
      <c r="H862" s="86" t="s">
        <v>508</v>
      </c>
      <c r="I862" s="89" t="s">
        <v>509</v>
      </c>
      <c r="J862" s="82">
        <v>10</v>
      </c>
      <c r="K862" s="83">
        <v>19</v>
      </c>
      <c r="O862" s="84"/>
      <c r="P862" s="84"/>
      <c r="Q862" s="84"/>
      <c r="R862" s="84"/>
      <c r="S862" s="84"/>
      <c r="T862" s="84"/>
      <c r="U862" s="84"/>
      <c r="V862" s="84"/>
      <c r="W862" s="84"/>
      <c r="X862" s="84"/>
      <c r="Y862" s="84"/>
      <c r="Z862" s="84"/>
    </row>
    <row r="863" spans="1:26" ht="15.75" customHeight="1" x14ac:dyDescent="0.25">
      <c r="A863" s="85" t="s">
        <v>2172</v>
      </c>
      <c r="B863" s="86" t="s">
        <v>302</v>
      </c>
      <c r="C863" s="87" t="s">
        <v>303</v>
      </c>
      <c r="D863" s="88">
        <v>7</v>
      </c>
      <c r="E863" s="83">
        <v>70</v>
      </c>
      <c r="F863" s="192">
        <v>6</v>
      </c>
      <c r="G863" s="83">
        <v>100</v>
      </c>
      <c r="H863" s="86" t="s">
        <v>2173</v>
      </c>
      <c r="I863" s="89" t="s">
        <v>316</v>
      </c>
      <c r="J863" s="82" t="s">
        <v>305</v>
      </c>
      <c r="K863" s="83" t="s">
        <v>184</v>
      </c>
      <c r="O863" s="84"/>
      <c r="P863" s="84"/>
      <c r="Q863" s="84"/>
      <c r="R863" s="84"/>
      <c r="S863" s="84"/>
      <c r="T863" s="84"/>
      <c r="U863" s="84"/>
      <c r="V863" s="84"/>
      <c r="W863" s="84"/>
      <c r="X863" s="84"/>
      <c r="Y863" s="84"/>
      <c r="Z863" s="84"/>
    </row>
    <row r="864" spans="1:26" ht="15.75" customHeight="1" x14ac:dyDescent="0.25">
      <c r="A864" s="85" t="s">
        <v>2174</v>
      </c>
      <c r="B864" s="86" t="s">
        <v>356</v>
      </c>
      <c r="C864" s="87" t="s">
        <v>314</v>
      </c>
      <c r="D864" s="192">
        <v>9</v>
      </c>
      <c r="E864" s="83">
        <v>90</v>
      </c>
      <c r="F864" s="192">
        <v>6</v>
      </c>
      <c r="G864" s="83">
        <v>100</v>
      </c>
      <c r="H864" s="86" t="s">
        <v>1329</v>
      </c>
      <c r="I864" s="89" t="s">
        <v>1329</v>
      </c>
      <c r="J864" s="82">
        <v>100</v>
      </c>
      <c r="K864" s="83">
        <v>1</v>
      </c>
      <c r="O864" s="84"/>
      <c r="P864" s="84"/>
      <c r="Q864" s="84"/>
      <c r="R864" s="84"/>
      <c r="S864" s="84"/>
      <c r="T864" s="84"/>
      <c r="U864" s="84"/>
      <c r="V864" s="84"/>
      <c r="W864" s="84"/>
      <c r="X864" s="84"/>
      <c r="Y864" s="84"/>
      <c r="Z864" s="84"/>
    </row>
    <row r="865" spans="1:26" ht="15.75" customHeight="1" x14ac:dyDescent="0.25">
      <c r="A865" s="85" t="s">
        <v>2175</v>
      </c>
      <c r="B865" s="86" t="s">
        <v>335</v>
      </c>
      <c r="C865" s="87" t="s">
        <v>322</v>
      </c>
      <c r="D865" s="192" t="s">
        <v>304</v>
      </c>
      <c r="E865" s="83" t="s">
        <v>305</v>
      </c>
      <c r="F865" s="192">
        <v>6</v>
      </c>
      <c r="G865" s="83">
        <v>100</v>
      </c>
      <c r="H865" s="86" t="s">
        <v>2176</v>
      </c>
      <c r="I865" s="89" t="s">
        <v>2177</v>
      </c>
      <c r="J865" s="82" t="s">
        <v>305</v>
      </c>
      <c r="K865" s="83" t="s">
        <v>184</v>
      </c>
      <c r="O865" s="84"/>
      <c r="P865" s="84"/>
      <c r="Q865" s="84"/>
      <c r="R865" s="84"/>
      <c r="S865" s="84"/>
      <c r="T865" s="84"/>
      <c r="U865" s="84"/>
      <c r="V865" s="84"/>
      <c r="W865" s="84"/>
      <c r="X865" s="84"/>
      <c r="Y865" s="84"/>
      <c r="Z865" s="84"/>
    </row>
    <row r="866" spans="1:26" ht="15.75" customHeight="1" x14ac:dyDescent="0.25">
      <c r="A866" s="85" t="s">
        <v>2178</v>
      </c>
      <c r="B866" s="86" t="s">
        <v>335</v>
      </c>
      <c r="C866" s="87" t="s">
        <v>322</v>
      </c>
      <c r="D866" s="88" t="s">
        <v>304</v>
      </c>
      <c r="E866" s="83" t="s">
        <v>305</v>
      </c>
      <c r="F866" s="192" t="s">
        <v>304</v>
      </c>
      <c r="G866" s="83" t="s">
        <v>305</v>
      </c>
      <c r="H866" s="86" t="s">
        <v>2179</v>
      </c>
      <c r="I866" s="89" t="s">
        <v>2180</v>
      </c>
      <c r="J866" s="82" t="s">
        <v>305</v>
      </c>
      <c r="K866" s="83" t="s">
        <v>184</v>
      </c>
      <c r="O866" s="84"/>
      <c r="P866" s="84"/>
      <c r="Q866" s="84"/>
      <c r="R866" s="84"/>
      <c r="S866" s="84"/>
      <c r="T866" s="84"/>
      <c r="U866" s="84"/>
      <c r="V866" s="84"/>
      <c r="W866" s="84"/>
      <c r="X866" s="84"/>
      <c r="Y866" s="84"/>
      <c r="Z866" s="84"/>
    </row>
    <row r="867" spans="1:26" ht="15.75" customHeight="1" x14ac:dyDescent="0.25">
      <c r="A867" s="85" t="s">
        <v>2181</v>
      </c>
      <c r="B867" s="86" t="s">
        <v>403</v>
      </c>
      <c r="C867" s="87" t="s">
        <v>322</v>
      </c>
      <c r="D867" s="192" t="s">
        <v>304</v>
      </c>
      <c r="E867" s="83" t="s">
        <v>305</v>
      </c>
      <c r="F867" s="192" t="s">
        <v>304</v>
      </c>
      <c r="G867" s="83" t="s">
        <v>305</v>
      </c>
      <c r="H867" s="86" t="s">
        <v>2182</v>
      </c>
      <c r="I867" s="89" t="s">
        <v>2183</v>
      </c>
      <c r="J867" s="82" t="s">
        <v>305</v>
      </c>
      <c r="K867" s="83" t="s">
        <v>184</v>
      </c>
      <c r="O867" s="84"/>
      <c r="P867" s="84"/>
      <c r="Q867" s="84"/>
      <c r="R867" s="84"/>
      <c r="S867" s="84"/>
      <c r="T867" s="84"/>
      <c r="U867" s="84"/>
      <c r="V867" s="84"/>
      <c r="W867" s="84"/>
      <c r="X867" s="84"/>
      <c r="Y867" s="84"/>
      <c r="Z867" s="84"/>
    </row>
    <row r="868" spans="1:26" ht="15.75" customHeight="1" x14ac:dyDescent="0.25">
      <c r="A868" s="85" t="s">
        <v>2184</v>
      </c>
      <c r="B868" s="86" t="s">
        <v>390</v>
      </c>
      <c r="C868" s="87" t="s">
        <v>303</v>
      </c>
      <c r="D868" s="88">
        <v>8</v>
      </c>
      <c r="E868" s="83">
        <v>80</v>
      </c>
      <c r="F868" s="192">
        <v>6</v>
      </c>
      <c r="G868" s="83">
        <v>100</v>
      </c>
      <c r="H868" s="86" t="s">
        <v>2185</v>
      </c>
      <c r="I868" s="89" t="s">
        <v>2186</v>
      </c>
      <c r="J868" s="82" t="s">
        <v>305</v>
      </c>
      <c r="K868" s="83" t="s">
        <v>184</v>
      </c>
      <c r="O868" s="84"/>
      <c r="P868" s="84"/>
      <c r="Q868" s="84"/>
      <c r="R868" s="84"/>
      <c r="S868" s="84"/>
      <c r="T868" s="84"/>
      <c r="U868" s="84"/>
      <c r="V868" s="84"/>
      <c r="W868" s="84"/>
      <c r="X868" s="84"/>
      <c r="Y868" s="84"/>
      <c r="Z868" s="84"/>
    </row>
    <row r="869" spans="1:26" ht="15.75" customHeight="1" x14ac:dyDescent="0.25">
      <c r="A869" s="85" t="s">
        <v>168</v>
      </c>
      <c r="B869" s="86" t="s">
        <v>403</v>
      </c>
      <c r="C869" s="87" t="s">
        <v>322</v>
      </c>
      <c r="D869" s="88" t="s">
        <v>304</v>
      </c>
      <c r="E869" s="83" t="s">
        <v>305</v>
      </c>
      <c r="F869" s="192">
        <v>6</v>
      </c>
      <c r="G869" s="83">
        <v>100</v>
      </c>
      <c r="H869" s="86" t="s">
        <v>2187</v>
      </c>
      <c r="I869" s="89" t="s">
        <v>2188</v>
      </c>
      <c r="J869" s="82" t="s">
        <v>305</v>
      </c>
      <c r="K869" s="83" t="s">
        <v>184</v>
      </c>
      <c r="O869" s="84"/>
      <c r="P869" s="84"/>
      <c r="Q869" s="84"/>
      <c r="R869" s="84"/>
      <c r="S869" s="84"/>
      <c r="T869" s="84"/>
      <c r="U869" s="84"/>
      <c r="V869" s="84"/>
      <c r="W869" s="84"/>
      <c r="X869" s="84"/>
      <c r="Y869" s="84"/>
      <c r="Z869" s="84"/>
    </row>
    <row r="870" spans="1:26" ht="15.75" customHeight="1" x14ac:dyDescent="0.25">
      <c r="A870" s="85" t="s">
        <v>2189</v>
      </c>
      <c r="B870" s="86" t="s">
        <v>318</v>
      </c>
      <c r="C870" s="87" t="s">
        <v>322</v>
      </c>
      <c r="D870" s="88" t="s">
        <v>304</v>
      </c>
      <c r="E870" s="83" t="s">
        <v>305</v>
      </c>
      <c r="F870" s="192">
        <v>8</v>
      </c>
      <c r="G870" s="83">
        <v>90</v>
      </c>
      <c r="H870" s="86" t="s">
        <v>2190</v>
      </c>
      <c r="I870" s="89" t="s">
        <v>2191</v>
      </c>
      <c r="J870" s="82" t="s">
        <v>305</v>
      </c>
      <c r="K870" s="83" t="s">
        <v>184</v>
      </c>
      <c r="O870" s="84"/>
      <c r="P870" s="84"/>
      <c r="Q870" s="84"/>
      <c r="R870" s="84"/>
      <c r="S870" s="84"/>
      <c r="T870" s="84"/>
      <c r="U870" s="84"/>
      <c r="V870" s="84"/>
      <c r="W870" s="84"/>
      <c r="X870" s="84"/>
      <c r="Y870" s="84"/>
      <c r="Z870" s="84"/>
    </row>
    <row r="871" spans="1:26" ht="15.75" customHeight="1" x14ac:dyDescent="0.25">
      <c r="A871" s="85" t="s">
        <v>2192</v>
      </c>
      <c r="B871" s="86" t="s">
        <v>318</v>
      </c>
      <c r="C871" s="87" t="s">
        <v>322</v>
      </c>
      <c r="D871" s="88" t="s">
        <v>304</v>
      </c>
      <c r="E871" s="83" t="s">
        <v>305</v>
      </c>
      <c r="F871" s="192" t="s">
        <v>304</v>
      </c>
      <c r="G871" s="83" t="s">
        <v>305</v>
      </c>
      <c r="H871" s="86" t="s">
        <v>2193</v>
      </c>
      <c r="I871" s="89" t="s">
        <v>2194</v>
      </c>
      <c r="J871" s="82" t="s">
        <v>305</v>
      </c>
      <c r="K871" s="83" t="s">
        <v>184</v>
      </c>
      <c r="O871" s="84"/>
      <c r="P871" s="84"/>
      <c r="Q871" s="84"/>
      <c r="R871" s="84"/>
      <c r="S871" s="84"/>
      <c r="T871" s="84"/>
      <c r="U871" s="84"/>
      <c r="V871" s="84"/>
      <c r="W871" s="84"/>
      <c r="X871" s="84"/>
      <c r="Y871" s="84"/>
      <c r="Z871" s="84"/>
    </row>
    <row r="872" spans="1:26" ht="15.75" customHeight="1" x14ac:dyDescent="0.25">
      <c r="A872" s="85" t="s">
        <v>2195</v>
      </c>
      <c r="B872" s="86" t="s">
        <v>318</v>
      </c>
      <c r="C872" s="87" t="s">
        <v>322</v>
      </c>
      <c r="D872" s="88" t="s">
        <v>304</v>
      </c>
      <c r="E872" s="83" t="s">
        <v>305</v>
      </c>
      <c r="F872" s="192">
        <v>6</v>
      </c>
      <c r="G872" s="83">
        <v>100</v>
      </c>
      <c r="H872" s="86" t="s">
        <v>2196</v>
      </c>
      <c r="I872" s="89" t="s">
        <v>2197</v>
      </c>
      <c r="J872" s="82">
        <v>100</v>
      </c>
      <c r="K872" s="83">
        <v>1</v>
      </c>
      <c r="O872" s="84"/>
      <c r="P872" s="84"/>
      <c r="Q872" s="84"/>
      <c r="R872" s="84"/>
      <c r="S872" s="84"/>
      <c r="T872" s="84"/>
      <c r="U872" s="84"/>
      <c r="V872" s="84"/>
      <c r="W872" s="84"/>
      <c r="X872" s="84"/>
      <c r="Y872" s="84"/>
      <c r="Z872" s="84"/>
    </row>
    <row r="873" spans="1:26" ht="15.75" customHeight="1" x14ac:dyDescent="0.25">
      <c r="A873" s="85" t="s">
        <v>2198</v>
      </c>
      <c r="B873" s="86" t="s">
        <v>309</v>
      </c>
      <c r="C873" s="87" t="s">
        <v>314</v>
      </c>
      <c r="D873" s="192">
        <v>5</v>
      </c>
      <c r="E873" s="83">
        <v>50</v>
      </c>
      <c r="F873" s="192">
        <v>6</v>
      </c>
      <c r="G873" s="83">
        <v>100</v>
      </c>
      <c r="H873" s="86" t="s">
        <v>383</v>
      </c>
      <c r="I873" s="89" t="s">
        <v>384</v>
      </c>
      <c r="J873" s="82" t="s">
        <v>305</v>
      </c>
      <c r="K873" s="83" t="s">
        <v>184</v>
      </c>
      <c r="O873" s="84"/>
      <c r="P873" s="84"/>
      <c r="Q873" s="84"/>
      <c r="R873" s="84"/>
      <c r="S873" s="84"/>
      <c r="T873" s="84"/>
      <c r="U873" s="84"/>
      <c r="V873" s="84"/>
      <c r="W873" s="84"/>
      <c r="X873" s="84"/>
      <c r="Y873" s="84"/>
      <c r="Z873" s="84"/>
    </row>
    <row r="874" spans="1:26" ht="15.75" customHeight="1" x14ac:dyDescent="0.25">
      <c r="A874" s="85" t="s">
        <v>2199</v>
      </c>
      <c r="B874" s="86" t="s">
        <v>335</v>
      </c>
      <c r="C874" s="87" t="s">
        <v>322</v>
      </c>
      <c r="D874" s="88" t="s">
        <v>304</v>
      </c>
      <c r="E874" s="83" t="s">
        <v>305</v>
      </c>
      <c r="F874" s="192" t="s">
        <v>304</v>
      </c>
      <c r="G874" s="83" t="s">
        <v>305</v>
      </c>
      <c r="H874" s="86" t="s">
        <v>2200</v>
      </c>
      <c r="I874" s="89" t="s">
        <v>2201</v>
      </c>
      <c r="J874" s="82" t="s">
        <v>305</v>
      </c>
      <c r="K874" s="83" t="s">
        <v>184</v>
      </c>
      <c r="O874" s="84"/>
      <c r="P874" s="84"/>
      <c r="Q874" s="84"/>
      <c r="R874" s="84"/>
      <c r="S874" s="84"/>
      <c r="T874" s="84"/>
      <c r="U874" s="84"/>
      <c r="V874" s="84"/>
      <c r="W874" s="84"/>
      <c r="X874" s="84"/>
      <c r="Y874" s="84"/>
      <c r="Z874" s="84"/>
    </row>
    <row r="875" spans="1:26" ht="15.75" customHeight="1" x14ac:dyDescent="0.25">
      <c r="A875" s="85" t="s">
        <v>2202</v>
      </c>
      <c r="B875" s="86" t="s">
        <v>335</v>
      </c>
      <c r="C875" s="87" t="s">
        <v>303</v>
      </c>
      <c r="D875" s="88">
        <v>8</v>
      </c>
      <c r="E875" s="83">
        <v>80</v>
      </c>
      <c r="F875" s="192">
        <v>6</v>
      </c>
      <c r="G875" s="83">
        <v>100</v>
      </c>
      <c r="H875" s="86" t="s">
        <v>2203</v>
      </c>
      <c r="I875" s="89" t="s">
        <v>2204</v>
      </c>
      <c r="J875" s="82">
        <v>20</v>
      </c>
      <c r="K875" s="83">
        <v>17</v>
      </c>
      <c r="O875" s="84"/>
      <c r="P875" s="84"/>
      <c r="Q875" s="84"/>
      <c r="R875" s="84"/>
      <c r="S875" s="84"/>
      <c r="T875" s="84"/>
      <c r="U875" s="84"/>
      <c r="V875" s="84"/>
      <c r="W875" s="84"/>
      <c r="X875" s="84"/>
      <c r="Y875" s="84"/>
      <c r="Z875" s="84"/>
    </row>
    <row r="876" spans="1:26" ht="15.75" customHeight="1" x14ac:dyDescent="0.25">
      <c r="A876" s="85" t="s">
        <v>2205</v>
      </c>
      <c r="B876" s="86" t="s">
        <v>348</v>
      </c>
      <c r="C876" s="87" t="s">
        <v>322</v>
      </c>
      <c r="D876" s="88" t="s">
        <v>304</v>
      </c>
      <c r="E876" s="83" t="s">
        <v>305</v>
      </c>
      <c r="F876" s="192">
        <v>6</v>
      </c>
      <c r="G876" s="83">
        <v>100</v>
      </c>
      <c r="H876" s="86" t="s">
        <v>2098</v>
      </c>
      <c r="I876" s="89" t="s">
        <v>2099</v>
      </c>
      <c r="J876" s="82" t="s">
        <v>305</v>
      </c>
      <c r="K876" s="83" t="s">
        <v>184</v>
      </c>
      <c r="O876" s="84"/>
      <c r="P876" s="84"/>
      <c r="Q876" s="84"/>
      <c r="R876" s="84"/>
      <c r="S876" s="84"/>
      <c r="T876" s="84"/>
      <c r="U876" s="84"/>
      <c r="V876" s="84"/>
      <c r="W876" s="84"/>
      <c r="X876" s="84"/>
      <c r="Y876" s="84"/>
      <c r="Z876" s="84"/>
    </row>
    <row r="877" spans="1:26" ht="15.75" customHeight="1" x14ac:dyDescent="0.25">
      <c r="A877" s="85" t="s">
        <v>2206</v>
      </c>
      <c r="B877" s="86" t="s">
        <v>348</v>
      </c>
      <c r="C877" s="87" t="s">
        <v>322</v>
      </c>
      <c r="D877" s="88" t="s">
        <v>304</v>
      </c>
      <c r="E877" s="83" t="s">
        <v>305</v>
      </c>
      <c r="F877" s="192" t="s">
        <v>304</v>
      </c>
      <c r="G877" s="83" t="s">
        <v>305</v>
      </c>
      <c r="H877" s="86" t="s">
        <v>2207</v>
      </c>
      <c r="I877" s="89" t="s">
        <v>2208</v>
      </c>
      <c r="J877" s="82" t="s">
        <v>305</v>
      </c>
      <c r="K877" s="83" t="s">
        <v>184</v>
      </c>
      <c r="O877" s="84"/>
      <c r="P877" s="84"/>
      <c r="Q877" s="84"/>
      <c r="R877" s="84"/>
      <c r="S877" s="84"/>
      <c r="T877" s="84"/>
      <c r="U877" s="84"/>
      <c r="V877" s="84"/>
      <c r="W877" s="84"/>
      <c r="X877" s="84"/>
      <c r="Y877" s="84"/>
      <c r="Z877" s="84"/>
    </row>
    <row r="878" spans="1:26" ht="15.75" customHeight="1" x14ac:dyDescent="0.25">
      <c r="A878" s="85" t="s">
        <v>2209</v>
      </c>
      <c r="B878" s="86" t="s">
        <v>407</v>
      </c>
      <c r="C878" s="87" t="s">
        <v>322</v>
      </c>
      <c r="D878" s="192" t="s">
        <v>304</v>
      </c>
      <c r="E878" s="83" t="s">
        <v>305</v>
      </c>
      <c r="F878" s="192">
        <v>6</v>
      </c>
      <c r="G878" s="83">
        <v>100</v>
      </c>
      <c r="H878" s="86" t="s">
        <v>2210</v>
      </c>
      <c r="I878" s="89" t="s">
        <v>2211</v>
      </c>
      <c r="J878" s="82" t="s">
        <v>305</v>
      </c>
      <c r="K878" s="83" t="s">
        <v>184</v>
      </c>
      <c r="O878" s="84"/>
      <c r="P878" s="84"/>
      <c r="Q878" s="84"/>
      <c r="R878" s="84"/>
      <c r="S878" s="84"/>
      <c r="T878" s="84"/>
      <c r="U878" s="84"/>
      <c r="V878" s="84"/>
      <c r="W878" s="84"/>
      <c r="X878" s="84"/>
      <c r="Y878" s="84"/>
      <c r="Z878" s="84"/>
    </row>
    <row r="879" spans="1:26" ht="15.75" customHeight="1" x14ac:dyDescent="0.25">
      <c r="A879" s="85" t="s">
        <v>2212</v>
      </c>
      <c r="B879" s="86" t="s">
        <v>356</v>
      </c>
      <c r="C879" s="87" t="s">
        <v>314</v>
      </c>
      <c r="D879" s="88">
        <v>9</v>
      </c>
      <c r="E879" s="83">
        <v>90</v>
      </c>
      <c r="F879" s="192">
        <v>6</v>
      </c>
      <c r="G879" s="83">
        <v>100</v>
      </c>
      <c r="H879" s="86" t="s">
        <v>2213</v>
      </c>
      <c r="I879" s="89" t="s">
        <v>2214</v>
      </c>
      <c r="J879" s="82" t="s">
        <v>305</v>
      </c>
      <c r="K879" s="83" t="s">
        <v>184</v>
      </c>
      <c r="O879" s="84"/>
      <c r="P879" s="84"/>
      <c r="Q879" s="84"/>
      <c r="R879" s="84"/>
      <c r="S879" s="84"/>
      <c r="T879" s="84"/>
      <c r="U879" s="84"/>
      <c r="V879" s="84"/>
      <c r="W879" s="84"/>
      <c r="X879" s="84"/>
      <c r="Y879" s="84"/>
      <c r="Z879" s="84"/>
    </row>
    <row r="880" spans="1:26" ht="15.75" customHeight="1" x14ac:dyDescent="0.25">
      <c r="A880" s="85" t="s">
        <v>2215</v>
      </c>
      <c r="B880" s="86" t="s">
        <v>419</v>
      </c>
      <c r="C880" s="87" t="s">
        <v>314</v>
      </c>
      <c r="D880" s="88">
        <v>2</v>
      </c>
      <c r="E880" s="83">
        <v>20</v>
      </c>
      <c r="F880" s="192">
        <v>8</v>
      </c>
      <c r="G880" s="83">
        <v>90</v>
      </c>
      <c r="H880" s="86" t="s">
        <v>2216</v>
      </c>
      <c r="I880" s="89" t="s">
        <v>2216</v>
      </c>
      <c r="J880" s="82" t="s">
        <v>305</v>
      </c>
      <c r="K880" s="83" t="s">
        <v>184</v>
      </c>
      <c r="O880" s="84"/>
      <c r="P880" s="84"/>
      <c r="Q880" s="84"/>
      <c r="R880" s="84"/>
      <c r="S880" s="84"/>
      <c r="T880" s="84"/>
      <c r="U880" s="84"/>
      <c r="V880" s="84"/>
      <c r="W880" s="84"/>
      <c r="X880" s="84"/>
      <c r="Y880" s="84"/>
      <c r="Z880" s="84"/>
    </row>
    <row r="881" spans="1:26" ht="15.75" customHeight="1" x14ac:dyDescent="0.25">
      <c r="A881" s="85" t="s">
        <v>2217</v>
      </c>
      <c r="B881" s="86" t="s">
        <v>377</v>
      </c>
      <c r="C881" s="87" t="s">
        <v>314</v>
      </c>
      <c r="D881" s="88">
        <v>3</v>
      </c>
      <c r="E881" s="83">
        <v>30</v>
      </c>
      <c r="F881" s="192">
        <v>7</v>
      </c>
      <c r="G881" s="83">
        <v>95</v>
      </c>
      <c r="H881" s="86" t="s">
        <v>2218</v>
      </c>
      <c r="I881" s="89" t="s">
        <v>2219</v>
      </c>
      <c r="J881" s="82" t="s">
        <v>305</v>
      </c>
      <c r="K881" s="83" t="s">
        <v>184</v>
      </c>
      <c r="O881" s="84"/>
      <c r="P881" s="84"/>
      <c r="Q881" s="84"/>
      <c r="R881" s="84"/>
      <c r="S881" s="84"/>
      <c r="T881" s="84"/>
      <c r="U881" s="84"/>
      <c r="V881" s="84"/>
      <c r="W881" s="84"/>
      <c r="X881" s="84"/>
      <c r="Y881" s="84"/>
      <c r="Z881" s="84"/>
    </row>
    <row r="882" spans="1:26" ht="15.75" customHeight="1" x14ac:dyDescent="0.25">
      <c r="A882" s="85" t="s">
        <v>2220</v>
      </c>
      <c r="B882" s="86" t="s">
        <v>356</v>
      </c>
      <c r="C882" s="87" t="s">
        <v>314</v>
      </c>
      <c r="D882" s="192">
        <v>1</v>
      </c>
      <c r="E882" s="83">
        <v>10</v>
      </c>
      <c r="F882" s="192">
        <v>8</v>
      </c>
      <c r="G882" s="83">
        <v>90</v>
      </c>
      <c r="H882" s="86" t="s">
        <v>2221</v>
      </c>
      <c r="I882" s="89" t="s">
        <v>2222</v>
      </c>
      <c r="J882" s="82" t="s">
        <v>305</v>
      </c>
      <c r="K882" s="83" t="s">
        <v>184</v>
      </c>
      <c r="O882" s="84"/>
      <c r="P882" s="84"/>
      <c r="Q882" s="84"/>
      <c r="R882" s="84"/>
      <c r="S882" s="84"/>
      <c r="T882" s="84"/>
      <c r="U882" s="84"/>
      <c r="V882" s="84"/>
      <c r="W882" s="84"/>
      <c r="X882" s="84"/>
      <c r="Y882" s="84"/>
      <c r="Z882" s="84"/>
    </row>
    <row r="883" spans="1:26" ht="15.75" customHeight="1" x14ac:dyDescent="0.25">
      <c r="A883" s="85" t="s">
        <v>2223</v>
      </c>
      <c r="B883" s="86" t="s">
        <v>309</v>
      </c>
      <c r="C883" s="87" t="s">
        <v>314</v>
      </c>
      <c r="D883" s="192">
        <v>7</v>
      </c>
      <c r="E883" s="83">
        <v>70</v>
      </c>
      <c r="F883" s="192">
        <v>6</v>
      </c>
      <c r="G883" s="83">
        <v>100</v>
      </c>
      <c r="H883" s="86" t="s">
        <v>599</v>
      </c>
      <c r="I883" s="89" t="s">
        <v>600</v>
      </c>
      <c r="J883" s="82">
        <v>100</v>
      </c>
      <c r="K883" s="83">
        <v>1</v>
      </c>
      <c r="O883" s="84"/>
      <c r="P883" s="84"/>
      <c r="Q883" s="84"/>
      <c r="R883" s="84"/>
      <c r="S883" s="84"/>
      <c r="T883" s="84"/>
      <c r="U883" s="84"/>
      <c r="V883" s="84"/>
      <c r="W883" s="84"/>
      <c r="X883" s="84"/>
      <c r="Y883" s="84"/>
      <c r="Z883" s="84"/>
    </row>
    <row r="884" spans="1:26" ht="15.75" customHeight="1" x14ac:dyDescent="0.25">
      <c r="A884" s="85" t="s">
        <v>2224</v>
      </c>
      <c r="B884" s="86" t="s">
        <v>335</v>
      </c>
      <c r="C884" s="87" t="s">
        <v>303</v>
      </c>
      <c r="D884" s="88" t="s">
        <v>304</v>
      </c>
      <c r="E884" s="83" t="s">
        <v>305</v>
      </c>
      <c r="F884" s="192">
        <v>24.4</v>
      </c>
      <c r="G884" s="83">
        <v>8</v>
      </c>
      <c r="H884" s="86" t="s">
        <v>2225</v>
      </c>
      <c r="I884" s="89" t="s">
        <v>2226</v>
      </c>
      <c r="J884" s="82" t="s">
        <v>305</v>
      </c>
      <c r="K884" s="83" t="s">
        <v>184</v>
      </c>
      <c r="O884" s="84"/>
      <c r="P884" s="84"/>
      <c r="Q884" s="84"/>
      <c r="R884" s="84"/>
      <c r="S884" s="84"/>
      <c r="T884" s="84"/>
      <c r="U884" s="84"/>
      <c r="V884" s="84"/>
      <c r="W884" s="84"/>
      <c r="X884" s="84"/>
      <c r="Y884" s="84"/>
      <c r="Z884" s="84"/>
    </row>
    <row r="885" spans="1:26" ht="15.75" customHeight="1" x14ac:dyDescent="0.25">
      <c r="A885" s="85" t="s">
        <v>2227</v>
      </c>
      <c r="B885" s="86" t="s">
        <v>348</v>
      </c>
      <c r="C885" s="87" t="s">
        <v>303</v>
      </c>
      <c r="D885" s="88">
        <v>4</v>
      </c>
      <c r="E885" s="83">
        <v>40</v>
      </c>
      <c r="F885" s="192">
        <v>6</v>
      </c>
      <c r="G885" s="83">
        <v>100</v>
      </c>
      <c r="H885" s="86" t="s">
        <v>518</v>
      </c>
      <c r="I885" s="89" t="s">
        <v>2228</v>
      </c>
      <c r="J885" s="82" t="s">
        <v>305</v>
      </c>
      <c r="K885" s="83" t="s">
        <v>184</v>
      </c>
      <c r="O885" s="84"/>
      <c r="P885" s="84"/>
      <c r="Q885" s="84"/>
      <c r="R885" s="84"/>
      <c r="S885" s="84"/>
      <c r="T885" s="84"/>
      <c r="U885" s="84"/>
      <c r="V885" s="84"/>
      <c r="W885" s="84"/>
      <c r="X885" s="84"/>
      <c r="Y885" s="84"/>
      <c r="Z885" s="84"/>
    </row>
    <row r="886" spans="1:26" ht="15.75" customHeight="1" x14ac:dyDescent="0.25">
      <c r="A886" s="85" t="s">
        <v>2229</v>
      </c>
      <c r="B886" s="86" t="s">
        <v>411</v>
      </c>
      <c r="C886" s="87" t="s">
        <v>314</v>
      </c>
      <c r="D886" s="88">
        <v>3</v>
      </c>
      <c r="E886" s="83">
        <v>25</v>
      </c>
      <c r="F886" s="192">
        <v>6</v>
      </c>
      <c r="G886" s="83">
        <v>100</v>
      </c>
      <c r="H886" s="86" t="s">
        <v>2230</v>
      </c>
      <c r="I886" s="89" t="s">
        <v>2231</v>
      </c>
      <c r="J886" s="82">
        <v>20</v>
      </c>
      <c r="K886" s="83">
        <v>17</v>
      </c>
      <c r="O886" s="84"/>
      <c r="P886" s="84"/>
      <c r="Q886" s="84"/>
      <c r="R886" s="84"/>
      <c r="S886" s="84"/>
      <c r="T886" s="84"/>
      <c r="U886" s="84"/>
      <c r="V886" s="84"/>
      <c r="W886" s="84"/>
      <c r="X886" s="84"/>
      <c r="Y886" s="84"/>
      <c r="Z886" s="84"/>
    </row>
    <row r="887" spans="1:26" ht="15.75" customHeight="1" x14ac:dyDescent="0.25">
      <c r="A887" s="85" t="s">
        <v>2232</v>
      </c>
      <c r="B887" s="86" t="s">
        <v>359</v>
      </c>
      <c r="C887" s="87" t="s">
        <v>305</v>
      </c>
      <c r="D887" s="88" t="s">
        <v>304</v>
      </c>
      <c r="E887" s="83" t="s">
        <v>305</v>
      </c>
      <c r="F887" s="192" t="s">
        <v>304</v>
      </c>
      <c r="G887" s="83" t="s">
        <v>305</v>
      </c>
      <c r="H887" s="86" t="s">
        <v>2233</v>
      </c>
      <c r="I887" s="89" t="s">
        <v>2233</v>
      </c>
      <c r="J887" s="82" t="s">
        <v>305</v>
      </c>
      <c r="K887" s="83" t="s">
        <v>184</v>
      </c>
      <c r="O887" s="84"/>
      <c r="P887" s="84"/>
      <c r="Q887" s="84"/>
      <c r="R887" s="84"/>
      <c r="S887" s="84"/>
      <c r="T887" s="84"/>
      <c r="U887" s="84"/>
      <c r="V887" s="84"/>
      <c r="W887" s="84"/>
      <c r="X887" s="84"/>
      <c r="Y887" s="84"/>
      <c r="Z887" s="84"/>
    </row>
    <row r="888" spans="1:26" ht="15.75" customHeight="1" x14ac:dyDescent="0.25">
      <c r="A888" s="85" t="s">
        <v>2234</v>
      </c>
      <c r="B888" s="86" t="s">
        <v>530</v>
      </c>
      <c r="C888" s="87" t="s">
        <v>303</v>
      </c>
      <c r="D888" s="88">
        <v>4</v>
      </c>
      <c r="E888" s="83">
        <v>40</v>
      </c>
      <c r="F888" s="192">
        <v>6</v>
      </c>
      <c r="G888" s="83">
        <v>100</v>
      </c>
      <c r="H888" s="86" t="s">
        <v>2235</v>
      </c>
      <c r="I888" s="89" t="s">
        <v>2236</v>
      </c>
      <c r="J888" s="82">
        <v>20</v>
      </c>
      <c r="K888" s="83">
        <v>17</v>
      </c>
      <c r="O888" s="84"/>
      <c r="P888" s="84"/>
      <c r="Q888" s="84"/>
      <c r="R888" s="84"/>
      <c r="S888" s="84"/>
      <c r="T888" s="84"/>
      <c r="U888" s="84"/>
      <c r="V888" s="84"/>
      <c r="W888" s="84"/>
      <c r="X888" s="84"/>
      <c r="Y888" s="84"/>
      <c r="Z888" s="84"/>
    </row>
    <row r="889" spans="1:26" ht="15.75" customHeight="1" x14ac:dyDescent="0.25">
      <c r="A889" s="85" t="s">
        <v>2237</v>
      </c>
      <c r="B889" s="86" t="s">
        <v>411</v>
      </c>
      <c r="C889" s="87" t="s">
        <v>314</v>
      </c>
      <c r="D889" s="88">
        <v>7</v>
      </c>
      <c r="E889" s="83">
        <v>70</v>
      </c>
      <c r="F889" s="192">
        <v>6</v>
      </c>
      <c r="G889" s="83">
        <v>100</v>
      </c>
      <c r="H889" s="86" t="s">
        <v>2238</v>
      </c>
      <c r="I889" s="89" t="s">
        <v>2239</v>
      </c>
      <c r="J889" s="82" t="s">
        <v>305</v>
      </c>
      <c r="K889" s="83" t="s">
        <v>184</v>
      </c>
      <c r="O889" s="84"/>
      <c r="P889" s="84"/>
      <c r="Q889" s="84"/>
      <c r="R889" s="84"/>
      <c r="S889" s="84"/>
      <c r="T889" s="84"/>
      <c r="U889" s="84"/>
      <c r="V889" s="84"/>
      <c r="W889" s="84"/>
      <c r="X889" s="84"/>
      <c r="Y889" s="84"/>
      <c r="Z889" s="84"/>
    </row>
    <row r="890" spans="1:26" ht="15.75" customHeight="1" x14ac:dyDescent="0.25">
      <c r="A890" s="85" t="s">
        <v>2240</v>
      </c>
      <c r="B890" s="86" t="s">
        <v>356</v>
      </c>
      <c r="C890" s="87" t="s">
        <v>314</v>
      </c>
      <c r="D890" s="88">
        <v>7</v>
      </c>
      <c r="E890" s="83">
        <v>65</v>
      </c>
      <c r="F890" s="192">
        <v>6</v>
      </c>
      <c r="G890" s="83">
        <v>100</v>
      </c>
      <c r="H890" s="86" t="s">
        <v>2241</v>
      </c>
      <c r="I890" s="89" t="s">
        <v>316</v>
      </c>
      <c r="J890" s="82" t="s">
        <v>305</v>
      </c>
      <c r="K890" s="83" t="s">
        <v>184</v>
      </c>
      <c r="O890" s="84"/>
      <c r="P890" s="84"/>
      <c r="Q890" s="84"/>
      <c r="R890" s="84"/>
      <c r="S890" s="84"/>
      <c r="T890" s="84"/>
      <c r="U890" s="84"/>
      <c r="V890" s="84"/>
      <c r="W890" s="84"/>
      <c r="X890" s="84"/>
      <c r="Y890" s="84"/>
      <c r="Z890" s="84"/>
    </row>
    <row r="891" spans="1:26" ht="15.75" customHeight="1" x14ac:dyDescent="0.25">
      <c r="A891" s="85" t="s">
        <v>2242</v>
      </c>
      <c r="B891" s="86" t="s">
        <v>335</v>
      </c>
      <c r="C891" s="87" t="s">
        <v>303</v>
      </c>
      <c r="D891" s="88">
        <v>9</v>
      </c>
      <c r="E891" s="83">
        <v>90</v>
      </c>
      <c r="F891" s="192">
        <v>6</v>
      </c>
      <c r="G891" s="83">
        <v>100</v>
      </c>
      <c r="H891" s="86" t="s">
        <v>2243</v>
      </c>
      <c r="I891" s="89" t="s">
        <v>2244</v>
      </c>
      <c r="J891" s="82" t="s">
        <v>305</v>
      </c>
      <c r="K891" s="83" t="s">
        <v>184</v>
      </c>
      <c r="O891" s="84"/>
      <c r="P891" s="84"/>
      <c r="Q891" s="84"/>
      <c r="R891" s="84"/>
      <c r="S891" s="84"/>
      <c r="T891" s="84"/>
      <c r="U891" s="84"/>
      <c r="V891" s="84"/>
      <c r="W891" s="84"/>
      <c r="X891" s="84"/>
      <c r="Y891" s="84"/>
      <c r="Z891" s="84"/>
    </row>
    <row r="892" spans="1:26" ht="15.75" customHeight="1" x14ac:dyDescent="0.25">
      <c r="A892" s="85" t="s">
        <v>2245</v>
      </c>
      <c r="B892" s="86" t="s">
        <v>390</v>
      </c>
      <c r="C892" s="87" t="s">
        <v>314</v>
      </c>
      <c r="D892" s="192">
        <v>18</v>
      </c>
      <c r="E892" s="83">
        <v>180</v>
      </c>
      <c r="F892" s="192">
        <v>7</v>
      </c>
      <c r="G892" s="83">
        <v>95</v>
      </c>
      <c r="H892" s="86" t="s">
        <v>2246</v>
      </c>
      <c r="I892" s="89" t="s">
        <v>2247</v>
      </c>
      <c r="J892" s="82">
        <v>100</v>
      </c>
      <c r="K892" s="83">
        <v>1</v>
      </c>
      <c r="O892" s="84"/>
      <c r="P892" s="84"/>
      <c r="Q892" s="84"/>
      <c r="R892" s="84"/>
      <c r="S892" s="84"/>
      <c r="T892" s="84"/>
      <c r="U892" s="84"/>
      <c r="V892" s="84"/>
      <c r="W892" s="84"/>
      <c r="X892" s="84"/>
      <c r="Y892" s="84"/>
      <c r="Z892" s="84"/>
    </row>
    <row r="893" spans="1:26" ht="15.75" customHeight="1" x14ac:dyDescent="0.25">
      <c r="A893" s="85" t="s">
        <v>2248</v>
      </c>
      <c r="B893" s="86" t="s">
        <v>356</v>
      </c>
      <c r="C893" s="87" t="s">
        <v>303</v>
      </c>
      <c r="D893" s="88">
        <v>4</v>
      </c>
      <c r="E893" s="83">
        <v>40</v>
      </c>
      <c r="F893" s="192">
        <v>6</v>
      </c>
      <c r="G893" s="83">
        <v>100</v>
      </c>
      <c r="H893" s="86" t="s">
        <v>315</v>
      </c>
      <c r="I893" s="89" t="s">
        <v>316</v>
      </c>
      <c r="J893" s="82" t="s">
        <v>305</v>
      </c>
      <c r="K893" s="83" t="s">
        <v>184</v>
      </c>
      <c r="O893" s="84"/>
      <c r="P893" s="84"/>
      <c r="Q893" s="84"/>
      <c r="R893" s="84"/>
      <c r="S893" s="84"/>
      <c r="T893" s="84"/>
      <c r="U893" s="84"/>
      <c r="V893" s="84"/>
      <c r="W893" s="84"/>
      <c r="X893" s="84"/>
      <c r="Y893" s="84"/>
      <c r="Z893" s="84"/>
    </row>
    <row r="894" spans="1:26" ht="15.75" customHeight="1" x14ac:dyDescent="0.25">
      <c r="A894" s="85" t="s">
        <v>2249</v>
      </c>
      <c r="B894" s="86" t="s">
        <v>335</v>
      </c>
      <c r="C894" s="87" t="s">
        <v>314</v>
      </c>
      <c r="D894" s="88" t="s">
        <v>304</v>
      </c>
      <c r="E894" s="83" t="s">
        <v>305</v>
      </c>
      <c r="F894" s="192">
        <v>24.4</v>
      </c>
      <c r="G894" s="83">
        <v>8</v>
      </c>
      <c r="H894" s="86" t="s">
        <v>1611</v>
      </c>
      <c r="I894" s="89" t="s">
        <v>1612</v>
      </c>
      <c r="J894" s="82" t="s">
        <v>305</v>
      </c>
      <c r="K894" s="83" t="s">
        <v>184</v>
      </c>
      <c r="O894" s="84"/>
      <c r="P894" s="84"/>
      <c r="Q894" s="84"/>
      <c r="R894" s="84"/>
      <c r="S894" s="84"/>
      <c r="T894" s="84"/>
      <c r="U894" s="84"/>
      <c r="V894" s="84"/>
      <c r="W894" s="84"/>
      <c r="X894" s="84"/>
      <c r="Y894" s="84"/>
      <c r="Z894" s="84"/>
    </row>
    <row r="895" spans="1:26" ht="15.75" customHeight="1" x14ac:dyDescent="0.25">
      <c r="A895" s="85" t="s">
        <v>2250</v>
      </c>
      <c r="B895" s="86" t="s">
        <v>318</v>
      </c>
      <c r="C895" s="87" t="s">
        <v>322</v>
      </c>
      <c r="D895" s="192" t="s">
        <v>304</v>
      </c>
      <c r="E895" s="83" t="s">
        <v>305</v>
      </c>
      <c r="F895" s="192">
        <v>6</v>
      </c>
      <c r="G895" s="83">
        <v>100</v>
      </c>
      <c r="H895" s="86" t="s">
        <v>2251</v>
      </c>
      <c r="I895" s="89" t="s">
        <v>2252</v>
      </c>
      <c r="J895" s="82">
        <v>100</v>
      </c>
      <c r="K895" s="83">
        <v>1</v>
      </c>
      <c r="O895" s="84"/>
      <c r="P895" s="84"/>
      <c r="Q895" s="84"/>
      <c r="R895" s="84"/>
      <c r="S895" s="84"/>
      <c r="T895" s="84"/>
      <c r="U895" s="84"/>
      <c r="V895" s="84"/>
      <c r="W895" s="84"/>
      <c r="X895" s="84"/>
      <c r="Y895" s="84"/>
      <c r="Z895" s="84"/>
    </row>
    <row r="896" spans="1:26" ht="15.75" customHeight="1" x14ac:dyDescent="0.25">
      <c r="A896" s="85" t="s">
        <v>2253</v>
      </c>
      <c r="B896" s="86" t="s">
        <v>318</v>
      </c>
      <c r="C896" s="87" t="s">
        <v>303</v>
      </c>
      <c r="D896" s="192">
        <v>7</v>
      </c>
      <c r="E896" s="83">
        <v>65</v>
      </c>
      <c r="F896" s="192">
        <v>6</v>
      </c>
      <c r="G896" s="83">
        <v>100</v>
      </c>
      <c r="H896" s="86" t="s">
        <v>2254</v>
      </c>
      <c r="I896" s="89" t="s">
        <v>2255</v>
      </c>
      <c r="J896" s="82" t="s">
        <v>305</v>
      </c>
      <c r="K896" s="83" t="s">
        <v>184</v>
      </c>
      <c r="O896" s="84"/>
      <c r="P896" s="84"/>
      <c r="Q896" s="84"/>
      <c r="R896" s="84"/>
      <c r="S896" s="84"/>
      <c r="T896" s="84"/>
      <c r="U896" s="84"/>
      <c r="V896" s="84"/>
      <c r="W896" s="84"/>
      <c r="X896" s="84"/>
      <c r="Y896" s="84"/>
      <c r="Z896" s="84"/>
    </row>
    <row r="897" spans="1:26" ht="15.75" customHeight="1" x14ac:dyDescent="0.25">
      <c r="A897" s="85" t="s">
        <v>2256</v>
      </c>
      <c r="B897" s="86" t="s">
        <v>356</v>
      </c>
      <c r="C897" s="87" t="s">
        <v>322</v>
      </c>
      <c r="D897" s="192" t="s">
        <v>304</v>
      </c>
      <c r="E897" s="83" t="s">
        <v>305</v>
      </c>
      <c r="F897" s="192" t="s">
        <v>304</v>
      </c>
      <c r="G897" s="83" t="s">
        <v>305</v>
      </c>
      <c r="H897" s="86" t="s">
        <v>2257</v>
      </c>
      <c r="I897" s="89" t="s">
        <v>2258</v>
      </c>
      <c r="J897" s="82" t="s">
        <v>305</v>
      </c>
      <c r="K897" s="83" t="s">
        <v>184</v>
      </c>
      <c r="O897" s="84"/>
      <c r="P897" s="84"/>
      <c r="Q897" s="84"/>
      <c r="R897" s="84"/>
      <c r="S897" s="84"/>
      <c r="T897" s="84"/>
      <c r="U897" s="84"/>
      <c r="V897" s="84"/>
      <c r="W897" s="84"/>
      <c r="X897" s="84"/>
      <c r="Y897" s="84"/>
      <c r="Z897" s="84"/>
    </row>
    <row r="898" spans="1:26" ht="15.75" customHeight="1" x14ac:dyDescent="0.25">
      <c r="A898" s="85" t="s">
        <v>2259</v>
      </c>
      <c r="B898" s="86" t="s">
        <v>309</v>
      </c>
      <c r="C898" s="87" t="s">
        <v>314</v>
      </c>
      <c r="D898" s="192">
        <v>5</v>
      </c>
      <c r="E898" s="83">
        <v>45</v>
      </c>
      <c r="F898" s="192">
        <v>6</v>
      </c>
      <c r="G898" s="83">
        <v>100</v>
      </c>
      <c r="H898" s="86"/>
      <c r="I898" s="89" t="s">
        <v>184</v>
      </c>
      <c r="J898" s="82" t="s">
        <v>305</v>
      </c>
      <c r="K898" s="83" t="s">
        <v>184</v>
      </c>
      <c r="O898" s="84"/>
      <c r="P898" s="84"/>
      <c r="Q898" s="84"/>
      <c r="R898" s="84"/>
      <c r="S898" s="84"/>
      <c r="T898" s="84"/>
      <c r="U898" s="84"/>
      <c r="V898" s="84"/>
      <c r="W898" s="84"/>
      <c r="X898" s="84"/>
      <c r="Y898" s="84"/>
      <c r="Z898" s="84"/>
    </row>
    <row r="899" spans="1:26" ht="15.75" customHeight="1" x14ac:dyDescent="0.25">
      <c r="A899" s="85" t="s">
        <v>2260</v>
      </c>
      <c r="B899" s="86" t="s">
        <v>335</v>
      </c>
      <c r="C899" s="87" t="s">
        <v>314</v>
      </c>
      <c r="D899" s="88">
        <v>6</v>
      </c>
      <c r="E899" s="83">
        <v>55</v>
      </c>
      <c r="F899" s="192">
        <v>6</v>
      </c>
      <c r="G899" s="83">
        <v>100</v>
      </c>
      <c r="H899" s="86"/>
      <c r="I899" s="89" t="s">
        <v>184</v>
      </c>
      <c r="J899" s="82" t="s">
        <v>305</v>
      </c>
      <c r="K899" s="83" t="s">
        <v>184</v>
      </c>
      <c r="O899" s="84"/>
      <c r="P899" s="84"/>
      <c r="Q899" s="84"/>
      <c r="R899" s="84"/>
      <c r="S899" s="84"/>
      <c r="T899" s="84"/>
      <c r="U899" s="84"/>
      <c r="V899" s="84"/>
      <c r="W899" s="84"/>
      <c r="X899" s="84"/>
      <c r="Y899" s="84"/>
      <c r="Z899" s="84"/>
    </row>
    <row r="900" spans="1:26" ht="15.75" customHeight="1" x14ac:dyDescent="0.25">
      <c r="A900" s="85" t="s">
        <v>2261</v>
      </c>
      <c r="B900" s="86" t="s">
        <v>356</v>
      </c>
      <c r="C900" s="87" t="s">
        <v>314</v>
      </c>
      <c r="D900" s="88">
        <v>7</v>
      </c>
      <c r="E900" s="83">
        <v>70</v>
      </c>
      <c r="F900" s="192">
        <v>24.4</v>
      </c>
      <c r="G900" s="83">
        <v>8</v>
      </c>
      <c r="H900" s="86" t="s">
        <v>2262</v>
      </c>
      <c r="I900" s="89" t="s">
        <v>2263</v>
      </c>
      <c r="J900" s="82" t="s">
        <v>305</v>
      </c>
      <c r="K900" s="83" t="s">
        <v>184</v>
      </c>
      <c r="O900" s="84"/>
      <c r="P900" s="84"/>
      <c r="Q900" s="84"/>
      <c r="R900" s="84"/>
      <c r="S900" s="84"/>
      <c r="T900" s="84"/>
      <c r="U900" s="84"/>
      <c r="V900" s="84"/>
      <c r="W900" s="84"/>
      <c r="X900" s="84"/>
      <c r="Y900" s="84"/>
      <c r="Z900" s="84"/>
    </row>
    <row r="901" spans="1:26" ht="15.75" customHeight="1" x14ac:dyDescent="0.25">
      <c r="A901" s="85" t="s">
        <v>2264</v>
      </c>
      <c r="B901" s="86" t="s">
        <v>302</v>
      </c>
      <c r="C901" s="87" t="s">
        <v>303</v>
      </c>
      <c r="D901" s="88">
        <v>7</v>
      </c>
      <c r="E901" s="83">
        <v>70</v>
      </c>
      <c r="F901" s="192">
        <v>6</v>
      </c>
      <c r="G901" s="83">
        <v>100</v>
      </c>
      <c r="H901" s="86" t="s">
        <v>2265</v>
      </c>
      <c r="I901" s="89" t="s">
        <v>2266</v>
      </c>
      <c r="J901" s="82" t="s">
        <v>305</v>
      </c>
      <c r="K901" s="83" t="s">
        <v>184</v>
      </c>
      <c r="O901" s="84"/>
      <c r="P901" s="84"/>
      <c r="Q901" s="84"/>
      <c r="R901" s="84"/>
      <c r="S901" s="84"/>
      <c r="T901" s="84"/>
      <c r="U901" s="84"/>
      <c r="V901" s="84"/>
      <c r="W901" s="84"/>
      <c r="X901" s="84"/>
      <c r="Y901" s="84"/>
      <c r="Z901" s="84"/>
    </row>
    <row r="902" spans="1:26" ht="15.75" customHeight="1" x14ac:dyDescent="0.25">
      <c r="A902" s="85" t="s">
        <v>2267</v>
      </c>
      <c r="B902" s="86" t="s">
        <v>302</v>
      </c>
      <c r="C902" s="87" t="s">
        <v>314</v>
      </c>
      <c r="D902" s="88">
        <v>12</v>
      </c>
      <c r="E902" s="83">
        <v>120</v>
      </c>
      <c r="F902" s="192">
        <v>6</v>
      </c>
      <c r="G902" s="83">
        <v>100</v>
      </c>
      <c r="H902" s="86" t="s">
        <v>2268</v>
      </c>
      <c r="I902" s="89" t="s">
        <v>2269</v>
      </c>
      <c r="J902" s="82">
        <v>10</v>
      </c>
      <c r="K902" s="83">
        <v>19</v>
      </c>
      <c r="O902" s="84"/>
      <c r="P902" s="84"/>
      <c r="Q902" s="84"/>
      <c r="R902" s="84"/>
      <c r="S902" s="84"/>
      <c r="T902" s="84"/>
      <c r="U902" s="84"/>
      <c r="V902" s="84"/>
      <c r="W902" s="84"/>
      <c r="X902" s="84"/>
      <c r="Y902" s="84"/>
      <c r="Z902" s="84"/>
    </row>
    <row r="903" spans="1:26" ht="15.75" customHeight="1" x14ac:dyDescent="0.25">
      <c r="A903" s="85" t="s">
        <v>2270</v>
      </c>
      <c r="B903" s="86" t="s">
        <v>356</v>
      </c>
      <c r="C903" s="87" t="s">
        <v>314</v>
      </c>
      <c r="D903" s="88">
        <v>7</v>
      </c>
      <c r="E903" s="83">
        <v>70</v>
      </c>
      <c r="F903" s="192">
        <v>6</v>
      </c>
      <c r="G903" s="83">
        <v>100</v>
      </c>
      <c r="H903" s="86" t="s">
        <v>2271</v>
      </c>
      <c r="I903" s="89" t="s">
        <v>2272</v>
      </c>
      <c r="J903" s="82" t="s">
        <v>305</v>
      </c>
      <c r="K903" s="83" t="s">
        <v>184</v>
      </c>
      <c r="O903" s="84"/>
      <c r="P903" s="84"/>
      <c r="Q903" s="84"/>
      <c r="R903" s="84"/>
      <c r="S903" s="84"/>
      <c r="T903" s="84"/>
      <c r="U903" s="84"/>
      <c r="V903" s="84"/>
      <c r="W903" s="84"/>
      <c r="X903" s="84"/>
      <c r="Y903" s="84"/>
      <c r="Z903" s="84"/>
    </row>
    <row r="904" spans="1:26" ht="15.75" customHeight="1" x14ac:dyDescent="0.25">
      <c r="A904" s="85" t="s">
        <v>2273</v>
      </c>
      <c r="B904" s="86" t="s">
        <v>377</v>
      </c>
      <c r="C904" s="87" t="s">
        <v>303</v>
      </c>
      <c r="D904" s="88">
        <v>4</v>
      </c>
      <c r="E904" s="83">
        <v>40</v>
      </c>
      <c r="F904" s="192">
        <v>6</v>
      </c>
      <c r="G904" s="83">
        <v>100</v>
      </c>
      <c r="H904" s="86"/>
      <c r="I904" s="89" t="s">
        <v>184</v>
      </c>
      <c r="J904" s="82" t="s">
        <v>305</v>
      </c>
      <c r="K904" s="83" t="s">
        <v>184</v>
      </c>
      <c r="O904" s="84"/>
      <c r="P904" s="84"/>
      <c r="Q904" s="84"/>
      <c r="R904" s="84"/>
      <c r="S904" s="84"/>
      <c r="T904" s="84"/>
      <c r="U904" s="84"/>
      <c r="V904" s="84"/>
      <c r="W904" s="84"/>
      <c r="X904" s="84"/>
      <c r="Y904" s="84"/>
      <c r="Z904" s="84"/>
    </row>
    <row r="905" spans="1:26" ht="15.75" customHeight="1" x14ac:dyDescent="0.25">
      <c r="A905" s="85" t="s">
        <v>2274</v>
      </c>
      <c r="B905" s="86" t="s">
        <v>377</v>
      </c>
      <c r="C905" s="87" t="s">
        <v>303</v>
      </c>
      <c r="D905" s="88">
        <v>8</v>
      </c>
      <c r="E905" s="83">
        <v>80</v>
      </c>
      <c r="F905" s="192">
        <v>6</v>
      </c>
      <c r="G905" s="83">
        <v>100</v>
      </c>
      <c r="H905" s="86" t="s">
        <v>2275</v>
      </c>
      <c r="I905" s="89" t="s">
        <v>2275</v>
      </c>
      <c r="J905" s="82" t="s">
        <v>305</v>
      </c>
      <c r="K905" s="83" t="s">
        <v>184</v>
      </c>
      <c r="O905" s="84"/>
      <c r="P905" s="84"/>
      <c r="Q905" s="84"/>
      <c r="R905" s="84"/>
      <c r="S905" s="84"/>
      <c r="T905" s="84"/>
      <c r="U905" s="84"/>
      <c r="V905" s="84"/>
      <c r="W905" s="84"/>
      <c r="X905" s="84"/>
      <c r="Y905" s="84"/>
      <c r="Z905" s="84"/>
    </row>
    <row r="906" spans="1:26" ht="15.75" customHeight="1" x14ac:dyDescent="0.25">
      <c r="A906" s="85" t="s">
        <v>2276</v>
      </c>
      <c r="B906" s="86" t="s">
        <v>377</v>
      </c>
      <c r="C906" s="87" t="s">
        <v>303</v>
      </c>
      <c r="D906" s="88">
        <v>6</v>
      </c>
      <c r="E906" s="83">
        <v>60</v>
      </c>
      <c r="F906" s="192">
        <v>6</v>
      </c>
      <c r="G906" s="83">
        <v>100</v>
      </c>
      <c r="H906" s="86" t="s">
        <v>644</v>
      </c>
      <c r="I906" s="89" t="s">
        <v>645</v>
      </c>
      <c r="J906" s="82">
        <v>20</v>
      </c>
      <c r="K906" s="83">
        <v>17</v>
      </c>
      <c r="O906" s="84"/>
      <c r="P906" s="84"/>
      <c r="Q906" s="84"/>
      <c r="R906" s="84"/>
      <c r="S906" s="84"/>
      <c r="T906" s="84"/>
      <c r="U906" s="84"/>
      <c r="V906" s="84"/>
      <c r="W906" s="84"/>
      <c r="X906" s="84"/>
      <c r="Y906" s="84"/>
      <c r="Z906" s="84"/>
    </row>
    <row r="907" spans="1:26" ht="15.75" customHeight="1" x14ac:dyDescent="0.25">
      <c r="A907" s="85" t="s">
        <v>2277</v>
      </c>
      <c r="B907" s="86" t="s">
        <v>377</v>
      </c>
      <c r="C907" s="87" t="s">
        <v>303</v>
      </c>
      <c r="D907" s="88">
        <v>2</v>
      </c>
      <c r="E907" s="83">
        <v>15</v>
      </c>
      <c r="F907" s="192">
        <v>6</v>
      </c>
      <c r="G907" s="83">
        <v>100</v>
      </c>
      <c r="H907" s="86" t="s">
        <v>387</v>
      </c>
      <c r="I907" s="89" t="s">
        <v>388</v>
      </c>
      <c r="J907" s="82" t="s">
        <v>305</v>
      </c>
      <c r="K907" s="83" t="s">
        <v>184</v>
      </c>
      <c r="O907" s="84"/>
      <c r="P907" s="84"/>
      <c r="Q907" s="84"/>
      <c r="R907" s="84"/>
      <c r="S907" s="84"/>
      <c r="T907" s="84"/>
      <c r="U907" s="84"/>
      <c r="V907" s="84"/>
      <c r="W907" s="84"/>
      <c r="X907" s="84"/>
      <c r="Y907" s="84"/>
      <c r="Z907" s="84"/>
    </row>
    <row r="908" spans="1:26" ht="15.75" customHeight="1" x14ac:dyDescent="0.25">
      <c r="A908" s="85" t="s">
        <v>2278</v>
      </c>
      <c r="B908" s="86" t="s">
        <v>377</v>
      </c>
      <c r="C908" s="87" t="s">
        <v>322</v>
      </c>
      <c r="D908" s="88" t="s">
        <v>304</v>
      </c>
      <c r="E908" s="83" t="s">
        <v>305</v>
      </c>
      <c r="F908" s="192" t="s">
        <v>304</v>
      </c>
      <c r="G908" s="83" t="s">
        <v>305</v>
      </c>
      <c r="H908" s="86" t="s">
        <v>2279</v>
      </c>
      <c r="I908" s="89" t="s">
        <v>2280</v>
      </c>
      <c r="J908" s="82" t="s">
        <v>305</v>
      </c>
      <c r="K908" s="83" t="s">
        <v>184</v>
      </c>
      <c r="O908" s="84"/>
      <c r="P908" s="84"/>
      <c r="Q908" s="84"/>
      <c r="R908" s="84"/>
      <c r="S908" s="84"/>
      <c r="T908" s="84"/>
      <c r="U908" s="84"/>
      <c r="V908" s="84"/>
      <c r="W908" s="84"/>
      <c r="X908" s="84"/>
      <c r="Y908" s="84"/>
      <c r="Z908" s="84"/>
    </row>
    <row r="909" spans="1:26" ht="15.75" customHeight="1" x14ac:dyDescent="0.25">
      <c r="A909" s="85" t="s">
        <v>2281</v>
      </c>
      <c r="B909" s="86" t="s">
        <v>377</v>
      </c>
      <c r="C909" s="87" t="s">
        <v>303</v>
      </c>
      <c r="D909" s="192">
        <v>15</v>
      </c>
      <c r="E909" s="83">
        <v>150</v>
      </c>
      <c r="F909" s="192">
        <v>6</v>
      </c>
      <c r="G909" s="83">
        <v>100</v>
      </c>
      <c r="H909" s="86" t="s">
        <v>2282</v>
      </c>
      <c r="I909" s="89" t="s">
        <v>774</v>
      </c>
      <c r="J909" s="82" t="s">
        <v>305</v>
      </c>
      <c r="K909" s="83" t="s">
        <v>184</v>
      </c>
      <c r="O909" s="84"/>
      <c r="P909" s="84"/>
      <c r="Q909" s="84"/>
      <c r="R909" s="84"/>
      <c r="S909" s="84"/>
      <c r="T909" s="84"/>
      <c r="U909" s="84"/>
      <c r="V909" s="84"/>
      <c r="W909" s="84"/>
      <c r="X909" s="84"/>
      <c r="Y909" s="84"/>
      <c r="Z909" s="84"/>
    </row>
    <row r="910" spans="1:26" ht="15.75" customHeight="1" x14ac:dyDescent="0.25">
      <c r="A910" s="85" t="s">
        <v>2283</v>
      </c>
      <c r="B910" s="86" t="s">
        <v>377</v>
      </c>
      <c r="C910" s="87" t="s">
        <v>314</v>
      </c>
      <c r="D910" s="88">
        <v>8</v>
      </c>
      <c r="E910" s="83">
        <v>80</v>
      </c>
      <c r="F910" s="192">
        <v>6</v>
      </c>
      <c r="G910" s="83">
        <v>100</v>
      </c>
      <c r="H910" s="86" t="s">
        <v>353</v>
      </c>
      <c r="I910" s="89" t="s">
        <v>354</v>
      </c>
      <c r="J910" s="82">
        <v>20</v>
      </c>
      <c r="K910" s="83">
        <v>17</v>
      </c>
      <c r="O910" s="84"/>
      <c r="P910" s="84"/>
      <c r="Q910" s="84"/>
      <c r="R910" s="84"/>
      <c r="S910" s="84"/>
      <c r="T910" s="84"/>
      <c r="U910" s="84"/>
      <c r="V910" s="84"/>
      <c r="W910" s="84"/>
      <c r="X910" s="84"/>
      <c r="Y910" s="84"/>
      <c r="Z910" s="84"/>
    </row>
    <row r="911" spans="1:26" ht="15.75" customHeight="1" x14ac:dyDescent="0.25">
      <c r="A911" s="85" t="s">
        <v>2284</v>
      </c>
      <c r="B911" s="86" t="s">
        <v>377</v>
      </c>
      <c r="C911" s="87" t="s">
        <v>314</v>
      </c>
      <c r="D911" s="88">
        <v>12</v>
      </c>
      <c r="E911" s="83">
        <v>120</v>
      </c>
      <c r="F911" s="192">
        <v>6</v>
      </c>
      <c r="G911" s="83">
        <v>100</v>
      </c>
      <c r="H911" s="86" t="s">
        <v>527</v>
      </c>
      <c r="I911" s="89" t="s">
        <v>608</v>
      </c>
      <c r="J911" s="82" t="s">
        <v>305</v>
      </c>
      <c r="K911" s="83" t="s">
        <v>184</v>
      </c>
      <c r="O911" s="84"/>
      <c r="P911" s="84"/>
      <c r="Q911" s="84"/>
      <c r="R911" s="84"/>
      <c r="S911" s="84"/>
      <c r="T911" s="84"/>
      <c r="U911" s="84"/>
      <c r="V911" s="84"/>
      <c r="W911" s="84"/>
      <c r="X911" s="84"/>
      <c r="Y911" s="84"/>
      <c r="Z911" s="84"/>
    </row>
    <row r="912" spans="1:26" ht="15.75" customHeight="1" x14ac:dyDescent="0.25">
      <c r="A912" s="85" t="s">
        <v>2285</v>
      </c>
      <c r="B912" s="86" t="s">
        <v>335</v>
      </c>
      <c r="C912" s="87" t="s">
        <v>303</v>
      </c>
      <c r="D912" s="88">
        <v>5</v>
      </c>
      <c r="E912" s="83">
        <v>50</v>
      </c>
      <c r="F912" s="192">
        <v>6</v>
      </c>
      <c r="G912" s="83">
        <v>100</v>
      </c>
      <c r="H912" s="86" t="s">
        <v>2286</v>
      </c>
      <c r="I912" s="89" t="s">
        <v>2286</v>
      </c>
      <c r="J912" s="82" t="s">
        <v>305</v>
      </c>
      <c r="K912" s="83" t="s">
        <v>184</v>
      </c>
      <c r="O912" s="84"/>
      <c r="P912" s="84"/>
      <c r="Q912" s="84"/>
      <c r="R912" s="84"/>
      <c r="S912" s="84"/>
      <c r="T912" s="84"/>
      <c r="U912" s="84"/>
      <c r="V912" s="84"/>
      <c r="W912" s="84"/>
      <c r="X912" s="84"/>
      <c r="Y912" s="84"/>
      <c r="Z912" s="84"/>
    </row>
    <row r="913" spans="1:26" ht="15.75" customHeight="1" x14ac:dyDescent="0.25">
      <c r="A913" s="85" t="s">
        <v>2287</v>
      </c>
      <c r="B913" s="86" t="s">
        <v>377</v>
      </c>
      <c r="C913" s="87" t="s">
        <v>303</v>
      </c>
      <c r="D913" s="88">
        <v>4</v>
      </c>
      <c r="E913" s="83">
        <v>35</v>
      </c>
      <c r="F913" s="192">
        <v>9</v>
      </c>
      <c r="G913" s="83">
        <v>85</v>
      </c>
      <c r="H913" s="86" t="s">
        <v>474</v>
      </c>
      <c r="I913" s="89" t="s">
        <v>475</v>
      </c>
      <c r="J913" s="82">
        <v>100</v>
      </c>
      <c r="K913" s="83">
        <v>1</v>
      </c>
      <c r="O913" s="84"/>
      <c r="P913" s="84"/>
      <c r="Q913" s="84"/>
      <c r="R913" s="84"/>
      <c r="S913" s="84"/>
      <c r="T913" s="84"/>
      <c r="U913" s="84"/>
      <c r="V913" s="84"/>
      <c r="W913" s="84"/>
      <c r="X913" s="84"/>
      <c r="Y913" s="84"/>
      <c r="Z913" s="84"/>
    </row>
    <row r="914" spans="1:26" ht="15.75" customHeight="1" x14ac:dyDescent="0.25">
      <c r="A914" s="85" t="s">
        <v>2288</v>
      </c>
      <c r="B914" s="86" t="s">
        <v>335</v>
      </c>
      <c r="C914" s="87" t="s">
        <v>322</v>
      </c>
      <c r="D914" s="88" t="s">
        <v>304</v>
      </c>
      <c r="E914" s="83" t="s">
        <v>305</v>
      </c>
      <c r="F914" s="192" t="s">
        <v>304</v>
      </c>
      <c r="G914" s="83" t="s">
        <v>305</v>
      </c>
      <c r="H914" s="86" t="s">
        <v>610</v>
      </c>
      <c r="I914" s="89" t="s">
        <v>611</v>
      </c>
      <c r="J914" s="82" t="s">
        <v>305</v>
      </c>
      <c r="K914" s="83" t="s">
        <v>184</v>
      </c>
      <c r="O914" s="84"/>
      <c r="P914" s="84"/>
      <c r="Q914" s="84"/>
      <c r="R914" s="84"/>
      <c r="S914" s="84"/>
      <c r="T914" s="84"/>
      <c r="U914" s="84"/>
      <c r="V914" s="84"/>
      <c r="W914" s="84"/>
      <c r="X914" s="84"/>
      <c r="Y914" s="84"/>
      <c r="Z914" s="84"/>
    </row>
    <row r="915" spans="1:26" ht="15.75" customHeight="1" x14ac:dyDescent="0.25">
      <c r="A915" s="85" t="s">
        <v>2289</v>
      </c>
      <c r="B915" s="86" t="s">
        <v>403</v>
      </c>
      <c r="C915" s="87" t="s">
        <v>314</v>
      </c>
      <c r="D915" s="88">
        <v>8</v>
      </c>
      <c r="E915" s="83">
        <v>75</v>
      </c>
      <c r="F915" s="192">
        <v>6</v>
      </c>
      <c r="G915" s="83">
        <v>100</v>
      </c>
      <c r="H915" s="86" t="s">
        <v>2085</v>
      </c>
      <c r="I915" s="89" t="s">
        <v>2085</v>
      </c>
      <c r="J915" s="82" t="s">
        <v>305</v>
      </c>
      <c r="K915" s="83" t="s">
        <v>184</v>
      </c>
      <c r="O915" s="84"/>
      <c r="P915" s="84"/>
      <c r="Q915" s="84"/>
      <c r="R915" s="84"/>
      <c r="S915" s="84"/>
      <c r="T915" s="84"/>
      <c r="U915" s="84"/>
      <c r="V915" s="84"/>
      <c r="W915" s="84"/>
      <c r="X915" s="84"/>
      <c r="Y915" s="84"/>
      <c r="Z915" s="84"/>
    </row>
    <row r="916" spans="1:26" ht="15.75" customHeight="1" x14ac:dyDescent="0.25">
      <c r="A916" s="85" t="s">
        <v>2290</v>
      </c>
      <c r="B916" s="86" t="s">
        <v>403</v>
      </c>
      <c r="C916" s="90" t="s">
        <v>314</v>
      </c>
      <c r="D916" s="88">
        <v>8</v>
      </c>
      <c r="E916" s="83">
        <v>80</v>
      </c>
      <c r="F916" s="82">
        <v>6</v>
      </c>
      <c r="G916" s="83">
        <v>100</v>
      </c>
      <c r="H916" s="86"/>
      <c r="I916" s="89" t="s">
        <v>184</v>
      </c>
      <c r="J916" s="82" t="s">
        <v>305</v>
      </c>
      <c r="K916" s="83" t="s">
        <v>184</v>
      </c>
      <c r="O916" s="84"/>
      <c r="P916" s="84"/>
      <c r="Q916" s="84"/>
      <c r="R916" s="84"/>
      <c r="S916" s="84"/>
      <c r="T916" s="84"/>
      <c r="U916" s="84"/>
      <c r="V916" s="84"/>
      <c r="W916" s="84"/>
      <c r="X916" s="84"/>
      <c r="Y916" s="84"/>
      <c r="Z916" s="84"/>
    </row>
    <row r="917" spans="1:26" ht="15.75" customHeight="1" x14ac:dyDescent="0.25">
      <c r="A917" s="85" t="s">
        <v>2291</v>
      </c>
      <c r="B917" s="86" t="s">
        <v>313</v>
      </c>
      <c r="C917" s="90" t="s">
        <v>322</v>
      </c>
      <c r="D917" s="88" t="s">
        <v>304</v>
      </c>
      <c r="E917" s="83" t="s">
        <v>305</v>
      </c>
      <c r="F917" s="82" t="s">
        <v>304</v>
      </c>
      <c r="G917" s="83" t="s">
        <v>305</v>
      </c>
      <c r="H917" s="86" t="s">
        <v>2292</v>
      </c>
      <c r="I917" s="89" t="s">
        <v>2293</v>
      </c>
      <c r="J917" s="82" t="s">
        <v>305</v>
      </c>
      <c r="K917" s="83" t="s">
        <v>184</v>
      </c>
      <c r="O917" s="84"/>
      <c r="P917" s="84"/>
      <c r="Q917" s="84"/>
      <c r="R917" s="84"/>
      <c r="S917" s="84"/>
      <c r="T917" s="84"/>
      <c r="U917" s="84"/>
      <c r="V917" s="84"/>
      <c r="W917" s="84"/>
      <c r="X917" s="84"/>
      <c r="Y917" s="84"/>
      <c r="Z917" s="84"/>
    </row>
    <row r="918" spans="1:26" ht="15.75" customHeight="1" x14ac:dyDescent="0.25">
      <c r="A918" s="85" t="s">
        <v>2294</v>
      </c>
      <c r="B918" s="86" t="s">
        <v>302</v>
      </c>
      <c r="C918" s="90" t="s">
        <v>314</v>
      </c>
      <c r="D918" s="88">
        <v>9</v>
      </c>
      <c r="E918" s="83">
        <v>90</v>
      </c>
      <c r="F918" s="82">
        <v>6</v>
      </c>
      <c r="G918" s="83">
        <v>100</v>
      </c>
      <c r="H918" s="86" t="s">
        <v>527</v>
      </c>
      <c r="I918" s="89" t="s">
        <v>528</v>
      </c>
      <c r="J918" s="82" t="s">
        <v>305</v>
      </c>
      <c r="K918" s="83" t="s">
        <v>184</v>
      </c>
      <c r="O918" s="84"/>
      <c r="P918" s="84"/>
      <c r="Q918" s="84"/>
      <c r="R918" s="84"/>
      <c r="S918" s="84"/>
      <c r="T918" s="84"/>
      <c r="U918" s="84"/>
      <c r="V918" s="84"/>
      <c r="W918" s="84"/>
      <c r="X918" s="84"/>
      <c r="Y918" s="84"/>
      <c r="Z918" s="84"/>
    </row>
    <row r="919" spans="1:26" ht="15.75" customHeight="1" x14ac:dyDescent="0.25">
      <c r="A919" s="85" t="s">
        <v>2295</v>
      </c>
      <c r="B919" s="86" t="s">
        <v>302</v>
      </c>
      <c r="C919" s="90" t="s">
        <v>303</v>
      </c>
      <c r="D919" s="88">
        <v>10</v>
      </c>
      <c r="E919" s="83">
        <v>100</v>
      </c>
      <c r="F919" s="82">
        <v>10</v>
      </c>
      <c r="G919" s="83">
        <v>80</v>
      </c>
      <c r="H919" s="86" t="s">
        <v>2296</v>
      </c>
      <c r="I919" s="89" t="s">
        <v>2297</v>
      </c>
      <c r="J919" s="82" t="s">
        <v>305</v>
      </c>
      <c r="K919" s="83" t="s">
        <v>184</v>
      </c>
      <c r="O919" s="84"/>
      <c r="P919" s="84"/>
      <c r="Q919" s="84"/>
      <c r="R919" s="84"/>
      <c r="S919" s="84"/>
      <c r="T919" s="84"/>
      <c r="U919" s="84"/>
      <c r="V919" s="84"/>
      <c r="W919" s="84"/>
      <c r="X919" s="84"/>
      <c r="Y919" s="84"/>
      <c r="Z919" s="84"/>
    </row>
    <row r="920" spans="1:26" ht="15.75" customHeight="1" x14ac:dyDescent="0.25">
      <c r="A920" s="85" t="s">
        <v>2298</v>
      </c>
      <c r="B920" s="86" t="s">
        <v>390</v>
      </c>
      <c r="C920" s="90" t="s">
        <v>322</v>
      </c>
      <c r="D920" s="88" t="s">
        <v>304</v>
      </c>
      <c r="E920" s="83" t="s">
        <v>305</v>
      </c>
      <c r="F920" s="82">
        <v>9</v>
      </c>
      <c r="G920" s="83">
        <v>85</v>
      </c>
      <c r="H920" s="86" t="s">
        <v>1268</v>
      </c>
      <c r="I920" s="89" t="s">
        <v>1269</v>
      </c>
      <c r="J920" s="82" t="s">
        <v>305</v>
      </c>
      <c r="K920" s="83" t="s">
        <v>184</v>
      </c>
      <c r="O920" s="84"/>
      <c r="P920" s="84"/>
      <c r="Q920" s="84"/>
      <c r="R920" s="84"/>
      <c r="S920" s="84"/>
      <c r="T920" s="84"/>
      <c r="U920" s="84"/>
      <c r="V920" s="84"/>
      <c r="W920" s="84"/>
      <c r="X920" s="84"/>
      <c r="Y920" s="84"/>
      <c r="Z920" s="84"/>
    </row>
    <row r="921" spans="1:26" ht="15.75" customHeight="1" x14ac:dyDescent="0.25">
      <c r="A921" s="85" t="s">
        <v>2299</v>
      </c>
      <c r="B921" s="86" t="s">
        <v>331</v>
      </c>
      <c r="C921" s="90" t="s">
        <v>314</v>
      </c>
      <c r="D921" s="88">
        <v>6</v>
      </c>
      <c r="E921" s="83">
        <v>60</v>
      </c>
      <c r="F921" s="82">
        <v>6</v>
      </c>
      <c r="G921" s="83">
        <v>100</v>
      </c>
      <c r="H921" s="86"/>
      <c r="I921" s="89" t="s">
        <v>184</v>
      </c>
      <c r="J921" s="82" t="s">
        <v>305</v>
      </c>
      <c r="K921" s="83" t="s">
        <v>184</v>
      </c>
      <c r="O921" s="84"/>
      <c r="P921" s="84"/>
      <c r="Q921" s="84"/>
      <c r="R921" s="84"/>
      <c r="S921" s="84"/>
      <c r="T921" s="84"/>
      <c r="U921" s="84"/>
      <c r="V921" s="84"/>
      <c r="W921" s="84"/>
      <c r="X921" s="84"/>
      <c r="Y921" s="84"/>
      <c r="Z921" s="84"/>
    </row>
    <row r="922" spans="1:26" ht="15.75" customHeight="1" x14ac:dyDescent="0.25">
      <c r="A922" s="85" t="s">
        <v>2300</v>
      </c>
      <c r="B922" s="86" t="s">
        <v>335</v>
      </c>
      <c r="C922" s="90" t="s">
        <v>322</v>
      </c>
      <c r="D922" s="88" t="s">
        <v>304</v>
      </c>
      <c r="E922" s="83" t="s">
        <v>305</v>
      </c>
      <c r="F922" s="82" t="s">
        <v>304</v>
      </c>
      <c r="G922" s="83" t="s">
        <v>305</v>
      </c>
      <c r="H922" s="86" t="s">
        <v>2301</v>
      </c>
      <c r="I922" s="89" t="s">
        <v>2302</v>
      </c>
      <c r="J922" s="82" t="s">
        <v>305</v>
      </c>
      <c r="K922" s="83" t="s">
        <v>184</v>
      </c>
      <c r="O922" s="84"/>
      <c r="P922" s="84"/>
      <c r="Q922" s="84"/>
      <c r="R922" s="84"/>
      <c r="S922" s="84"/>
      <c r="T922" s="84"/>
      <c r="U922" s="84"/>
      <c r="V922" s="84"/>
      <c r="W922" s="84"/>
      <c r="X922" s="84"/>
      <c r="Y922" s="84"/>
      <c r="Z922" s="84"/>
    </row>
    <row r="923" spans="1:26" ht="15.75" customHeight="1" x14ac:dyDescent="0.25">
      <c r="A923" s="85" t="s">
        <v>2303</v>
      </c>
      <c r="B923" s="86" t="s">
        <v>377</v>
      </c>
      <c r="C923" s="90" t="s">
        <v>322</v>
      </c>
      <c r="D923" s="88" t="s">
        <v>304</v>
      </c>
      <c r="E923" s="83" t="s">
        <v>305</v>
      </c>
      <c r="F923" s="82" t="s">
        <v>304</v>
      </c>
      <c r="G923" s="83" t="s">
        <v>305</v>
      </c>
      <c r="H923" s="86" t="s">
        <v>711</v>
      </c>
      <c r="I923" s="89" t="s">
        <v>712</v>
      </c>
      <c r="J923" s="82" t="s">
        <v>305</v>
      </c>
      <c r="K923" s="83" t="s">
        <v>184</v>
      </c>
      <c r="O923" s="84"/>
      <c r="P923" s="84"/>
      <c r="Q923" s="84"/>
      <c r="R923" s="84"/>
      <c r="S923" s="84"/>
      <c r="T923" s="84"/>
      <c r="U923" s="84"/>
      <c r="V923" s="84"/>
      <c r="W923" s="84"/>
      <c r="X923" s="84"/>
      <c r="Y923" s="84"/>
      <c r="Z923" s="84"/>
    </row>
    <row r="924" spans="1:26" ht="15.75" customHeight="1" x14ac:dyDescent="0.25">
      <c r="A924" s="85" t="s">
        <v>2304</v>
      </c>
      <c r="B924" s="86" t="s">
        <v>348</v>
      </c>
      <c r="C924" s="90" t="s">
        <v>322</v>
      </c>
      <c r="D924" s="88" t="s">
        <v>304</v>
      </c>
      <c r="E924" s="83" t="s">
        <v>305</v>
      </c>
      <c r="F924" s="82" t="s">
        <v>304</v>
      </c>
      <c r="G924" s="83" t="s">
        <v>305</v>
      </c>
      <c r="H924" s="86" t="s">
        <v>2305</v>
      </c>
      <c r="I924" s="89" t="s">
        <v>2306</v>
      </c>
      <c r="J924" s="82" t="s">
        <v>305</v>
      </c>
      <c r="K924" s="83" t="s">
        <v>184</v>
      </c>
      <c r="O924" s="84"/>
      <c r="P924" s="84"/>
      <c r="Q924" s="84"/>
      <c r="R924" s="84"/>
      <c r="S924" s="84"/>
      <c r="T924" s="84"/>
      <c r="U924" s="84"/>
      <c r="V924" s="84"/>
      <c r="W924" s="84"/>
      <c r="X924" s="84"/>
      <c r="Y924" s="84"/>
      <c r="Z924" s="84"/>
    </row>
    <row r="925" spans="1:26" ht="15.75" customHeight="1" x14ac:dyDescent="0.25">
      <c r="A925" s="85" t="s">
        <v>2307</v>
      </c>
      <c r="B925" s="86" t="s">
        <v>309</v>
      </c>
      <c r="C925" s="90" t="s">
        <v>314</v>
      </c>
      <c r="D925" s="88">
        <v>12</v>
      </c>
      <c r="E925" s="83">
        <v>120</v>
      </c>
      <c r="F925" s="82">
        <v>6</v>
      </c>
      <c r="G925" s="83">
        <v>100</v>
      </c>
      <c r="H925" s="86" t="s">
        <v>527</v>
      </c>
      <c r="I925" s="89" t="s">
        <v>528</v>
      </c>
      <c r="J925" s="82" t="s">
        <v>305</v>
      </c>
      <c r="K925" s="83" t="s">
        <v>184</v>
      </c>
      <c r="O925" s="84"/>
      <c r="P925" s="84"/>
      <c r="Q925" s="84"/>
      <c r="R925" s="84"/>
      <c r="S925" s="84"/>
      <c r="T925" s="84"/>
      <c r="U925" s="84"/>
      <c r="V925" s="84"/>
      <c r="W925" s="84"/>
      <c r="X925" s="84"/>
      <c r="Y925" s="84"/>
      <c r="Z925" s="84"/>
    </row>
    <row r="926" spans="1:26" ht="15.75" customHeight="1" x14ac:dyDescent="0.25">
      <c r="A926" s="85" t="s">
        <v>2308</v>
      </c>
      <c r="B926" s="86" t="s">
        <v>335</v>
      </c>
      <c r="C926" s="90" t="s">
        <v>322</v>
      </c>
      <c r="D926" s="88" t="s">
        <v>304</v>
      </c>
      <c r="E926" s="83" t="s">
        <v>305</v>
      </c>
      <c r="F926" s="82" t="s">
        <v>304</v>
      </c>
      <c r="G926" s="83" t="s">
        <v>305</v>
      </c>
      <c r="H926" s="86" t="s">
        <v>1132</v>
      </c>
      <c r="I926" s="89" t="s">
        <v>1133</v>
      </c>
      <c r="J926" s="82" t="s">
        <v>305</v>
      </c>
      <c r="K926" s="83" t="s">
        <v>184</v>
      </c>
      <c r="O926" s="84"/>
      <c r="P926" s="84"/>
      <c r="Q926" s="84"/>
      <c r="R926" s="84"/>
      <c r="S926" s="84"/>
      <c r="T926" s="84"/>
      <c r="U926" s="84"/>
      <c r="V926" s="84"/>
      <c r="W926" s="84"/>
      <c r="X926" s="84"/>
      <c r="Y926" s="84"/>
      <c r="Z926" s="84"/>
    </row>
    <row r="927" spans="1:26" ht="15.75" customHeight="1" x14ac:dyDescent="0.25">
      <c r="A927" s="85" t="s">
        <v>2309</v>
      </c>
      <c r="B927" s="86" t="s">
        <v>309</v>
      </c>
      <c r="C927" s="90" t="s">
        <v>322</v>
      </c>
      <c r="D927" s="88" t="s">
        <v>304</v>
      </c>
      <c r="E927" s="83" t="s">
        <v>305</v>
      </c>
      <c r="F927" s="82">
        <v>6</v>
      </c>
      <c r="G927" s="83">
        <v>100</v>
      </c>
      <c r="H927" s="86" t="s">
        <v>2310</v>
      </c>
      <c r="I927" s="89" t="s">
        <v>2311</v>
      </c>
      <c r="J927" s="82" t="s">
        <v>305</v>
      </c>
      <c r="K927" s="83" t="s">
        <v>184</v>
      </c>
      <c r="O927" s="84"/>
      <c r="P927" s="84"/>
      <c r="Q927" s="84"/>
      <c r="R927" s="84"/>
      <c r="S927" s="84"/>
      <c r="T927" s="84"/>
      <c r="U927" s="84"/>
      <c r="V927" s="84"/>
      <c r="W927" s="84"/>
      <c r="X927" s="84"/>
      <c r="Y927" s="84"/>
      <c r="Z927" s="84"/>
    </row>
    <row r="928" spans="1:26" ht="15.75" customHeight="1" x14ac:dyDescent="0.25">
      <c r="A928" s="85" t="s">
        <v>2312</v>
      </c>
      <c r="B928" s="86" t="s">
        <v>335</v>
      </c>
      <c r="C928" s="90" t="s">
        <v>314</v>
      </c>
      <c r="D928" s="88">
        <v>2</v>
      </c>
      <c r="E928" s="83">
        <v>15</v>
      </c>
      <c r="F928" s="82">
        <v>8</v>
      </c>
      <c r="G928" s="83">
        <v>90</v>
      </c>
      <c r="H928" s="86" t="s">
        <v>474</v>
      </c>
      <c r="I928" s="89" t="s">
        <v>475</v>
      </c>
      <c r="J928" s="82">
        <v>100</v>
      </c>
      <c r="K928" s="83">
        <v>1</v>
      </c>
      <c r="O928" s="84"/>
      <c r="P928" s="84"/>
      <c r="Q928" s="84"/>
      <c r="R928" s="84"/>
      <c r="S928" s="84"/>
      <c r="T928" s="84"/>
      <c r="U928" s="84"/>
      <c r="V928" s="84"/>
      <c r="W928" s="84"/>
      <c r="X928" s="84"/>
      <c r="Y928" s="84"/>
      <c r="Z928" s="84"/>
    </row>
    <row r="929" spans="1:26" ht="15.75" customHeight="1" x14ac:dyDescent="0.25">
      <c r="A929" s="85" t="s">
        <v>2313</v>
      </c>
      <c r="B929" s="86" t="s">
        <v>335</v>
      </c>
      <c r="C929" s="90" t="s">
        <v>303</v>
      </c>
      <c r="D929" s="88" t="s">
        <v>304</v>
      </c>
      <c r="E929" s="83" t="s">
        <v>305</v>
      </c>
      <c r="F929" s="82">
        <v>6</v>
      </c>
      <c r="G929" s="83">
        <v>100</v>
      </c>
      <c r="H929" s="86" t="s">
        <v>2314</v>
      </c>
      <c r="I929" s="89" t="s">
        <v>2315</v>
      </c>
      <c r="J929" s="82" t="s">
        <v>305</v>
      </c>
      <c r="K929" s="83" t="s">
        <v>184</v>
      </c>
      <c r="O929" s="84"/>
      <c r="P929" s="84"/>
      <c r="Q929" s="84"/>
      <c r="R929" s="84"/>
      <c r="S929" s="84"/>
      <c r="T929" s="84"/>
      <c r="U929" s="84"/>
      <c r="V929" s="84"/>
      <c r="W929" s="84"/>
      <c r="X929" s="84"/>
      <c r="Y929" s="84"/>
      <c r="Z929" s="84"/>
    </row>
    <row r="930" spans="1:26" ht="15.75" customHeight="1" x14ac:dyDescent="0.25">
      <c r="A930" s="85" t="s">
        <v>2316</v>
      </c>
      <c r="B930" s="86" t="s">
        <v>411</v>
      </c>
      <c r="C930" s="90" t="s">
        <v>314</v>
      </c>
      <c r="D930" s="88">
        <v>8</v>
      </c>
      <c r="E930" s="83">
        <v>80</v>
      </c>
      <c r="F930" s="82">
        <v>6</v>
      </c>
      <c r="G930" s="83">
        <v>100</v>
      </c>
      <c r="H930" s="86"/>
      <c r="I930" s="89" t="s">
        <v>184</v>
      </c>
      <c r="J930" s="82" t="s">
        <v>305</v>
      </c>
      <c r="K930" s="83" t="s">
        <v>184</v>
      </c>
      <c r="O930" s="84"/>
      <c r="P930" s="84"/>
      <c r="Q930" s="84"/>
      <c r="R930" s="84"/>
      <c r="S930" s="84"/>
      <c r="T930" s="84"/>
      <c r="U930" s="84"/>
      <c r="V930" s="84"/>
      <c r="W930" s="84"/>
      <c r="X930" s="84"/>
      <c r="Y930" s="84"/>
      <c r="Z930" s="84"/>
    </row>
    <row r="931" spans="1:26" ht="15.75" customHeight="1" x14ac:dyDescent="0.25">
      <c r="A931" s="85" t="s">
        <v>2317</v>
      </c>
      <c r="B931" s="86" t="s">
        <v>335</v>
      </c>
      <c r="C931" s="90" t="s">
        <v>322</v>
      </c>
      <c r="D931" s="88" t="s">
        <v>304</v>
      </c>
      <c r="E931" s="83" t="s">
        <v>305</v>
      </c>
      <c r="F931" s="82" t="s">
        <v>304</v>
      </c>
      <c r="G931" s="83" t="s">
        <v>305</v>
      </c>
      <c r="H931" s="86" t="s">
        <v>2318</v>
      </c>
      <c r="I931" s="89" t="s">
        <v>2319</v>
      </c>
      <c r="J931" s="82" t="s">
        <v>305</v>
      </c>
      <c r="K931" s="83" t="s">
        <v>184</v>
      </c>
      <c r="O931" s="84"/>
      <c r="P931" s="84"/>
      <c r="Q931" s="84"/>
      <c r="R931" s="84"/>
      <c r="S931" s="84"/>
      <c r="T931" s="84"/>
      <c r="U931" s="84"/>
      <c r="V931" s="84"/>
      <c r="W931" s="84"/>
      <c r="X931" s="84"/>
      <c r="Y931" s="84"/>
      <c r="Z931" s="84"/>
    </row>
    <row r="932" spans="1:26" ht="15.75" customHeight="1" x14ac:dyDescent="0.25">
      <c r="A932" s="85" t="s">
        <v>2320</v>
      </c>
      <c r="B932" s="86" t="s">
        <v>302</v>
      </c>
      <c r="C932" s="90" t="s">
        <v>303</v>
      </c>
      <c r="D932" s="88">
        <v>12</v>
      </c>
      <c r="E932" s="83">
        <v>120</v>
      </c>
      <c r="F932" s="82">
        <v>16</v>
      </c>
      <c r="G932" s="83">
        <v>50</v>
      </c>
      <c r="H932" s="86" t="s">
        <v>1107</v>
      </c>
      <c r="I932" s="89" t="s">
        <v>1108</v>
      </c>
      <c r="J932" s="82">
        <v>100</v>
      </c>
      <c r="K932" s="83">
        <v>1</v>
      </c>
      <c r="O932" s="84"/>
      <c r="P932" s="84"/>
      <c r="Q932" s="84"/>
      <c r="R932" s="84"/>
      <c r="S932" s="84"/>
      <c r="T932" s="84"/>
      <c r="U932" s="84"/>
      <c r="V932" s="84"/>
      <c r="W932" s="84"/>
      <c r="X932" s="84"/>
      <c r="Y932" s="84"/>
      <c r="Z932" s="84"/>
    </row>
    <row r="933" spans="1:26" ht="15.75" customHeight="1" x14ac:dyDescent="0.25">
      <c r="A933" s="85" t="s">
        <v>2321</v>
      </c>
      <c r="B933" s="86" t="s">
        <v>348</v>
      </c>
      <c r="C933" s="90" t="s">
        <v>314</v>
      </c>
      <c r="D933" s="88">
        <v>8</v>
      </c>
      <c r="E933" s="83">
        <v>80</v>
      </c>
      <c r="F933" s="82">
        <v>8</v>
      </c>
      <c r="G933" s="83">
        <v>90</v>
      </c>
      <c r="H933" s="86" t="s">
        <v>353</v>
      </c>
      <c r="I933" s="89" t="s">
        <v>354</v>
      </c>
      <c r="J933" s="82">
        <v>20</v>
      </c>
      <c r="K933" s="83">
        <v>17</v>
      </c>
      <c r="O933" s="84"/>
      <c r="P933" s="84"/>
      <c r="Q933" s="84"/>
      <c r="R933" s="84"/>
      <c r="S933" s="84"/>
      <c r="T933" s="84"/>
      <c r="U933" s="84"/>
      <c r="V933" s="84"/>
      <c r="W933" s="84"/>
      <c r="X933" s="84"/>
      <c r="Y933" s="84"/>
      <c r="Z933" s="84"/>
    </row>
    <row r="934" spans="1:26" ht="15.75" customHeight="1" x14ac:dyDescent="0.25">
      <c r="A934" s="85" t="s">
        <v>2322</v>
      </c>
      <c r="B934" s="86" t="s">
        <v>302</v>
      </c>
      <c r="C934" s="90" t="s">
        <v>314</v>
      </c>
      <c r="D934" s="88">
        <v>8</v>
      </c>
      <c r="E934" s="83">
        <v>80</v>
      </c>
      <c r="F934" s="82">
        <v>6</v>
      </c>
      <c r="G934" s="83">
        <v>100</v>
      </c>
      <c r="H934" s="86" t="s">
        <v>353</v>
      </c>
      <c r="I934" s="89" t="s">
        <v>2323</v>
      </c>
      <c r="J934" s="82">
        <v>30</v>
      </c>
      <c r="K934" s="83">
        <v>15</v>
      </c>
      <c r="O934" s="84"/>
      <c r="P934" s="84"/>
      <c r="Q934" s="84"/>
      <c r="R934" s="84"/>
      <c r="S934" s="84"/>
      <c r="T934" s="84"/>
      <c r="U934" s="84"/>
      <c r="V934" s="84"/>
      <c r="W934" s="84"/>
      <c r="X934" s="84"/>
      <c r="Y934" s="84"/>
      <c r="Z934" s="84"/>
    </row>
    <row r="935" spans="1:26" ht="15.75" customHeight="1" x14ac:dyDescent="0.25">
      <c r="A935" s="85" t="s">
        <v>2324</v>
      </c>
      <c r="B935" s="86" t="s">
        <v>302</v>
      </c>
      <c r="C935" s="90" t="s">
        <v>314</v>
      </c>
      <c r="D935" s="88">
        <v>5</v>
      </c>
      <c r="E935" s="83">
        <v>50</v>
      </c>
      <c r="F935" s="82">
        <v>6</v>
      </c>
      <c r="G935" s="83">
        <v>100</v>
      </c>
      <c r="H935" s="86" t="s">
        <v>980</v>
      </c>
      <c r="I935" s="89" t="s">
        <v>343</v>
      </c>
      <c r="J935" s="82">
        <v>100</v>
      </c>
      <c r="K935" s="83">
        <v>1</v>
      </c>
      <c r="O935" s="84"/>
      <c r="P935" s="84"/>
      <c r="Q935" s="84"/>
      <c r="R935" s="84"/>
      <c r="S935" s="84"/>
      <c r="T935" s="84"/>
      <c r="U935" s="84"/>
      <c r="V935" s="84"/>
      <c r="W935" s="84"/>
      <c r="X935" s="84"/>
      <c r="Y935" s="84"/>
      <c r="Z935" s="84"/>
    </row>
    <row r="936" spans="1:26" ht="15.75" customHeight="1" x14ac:dyDescent="0.25">
      <c r="A936" s="85"/>
      <c r="B936" s="86"/>
      <c r="C936" s="90"/>
      <c r="D936" s="88"/>
      <c r="E936" s="83"/>
      <c r="F936" s="82"/>
      <c r="G936" s="83"/>
      <c r="H936" s="86"/>
      <c r="I936" s="89"/>
      <c r="J936" s="82"/>
      <c r="K936" s="83"/>
      <c r="O936" s="84"/>
      <c r="P936" s="84"/>
      <c r="Q936" s="84"/>
      <c r="R936" s="84"/>
      <c r="S936" s="84"/>
      <c r="T936" s="84"/>
      <c r="U936" s="84"/>
      <c r="V936" s="84"/>
      <c r="W936" s="84"/>
      <c r="X936" s="84"/>
      <c r="Y936" s="84"/>
      <c r="Z936" s="84"/>
    </row>
    <row r="937" spans="1:26" ht="15.75" customHeight="1" x14ac:dyDescent="0.25">
      <c r="A937" s="85"/>
      <c r="B937" s="86"/>
      <c r="C937" s="90"/>
      <c r="D937" s="88"/>
      <c r="E937" s="83"/>
      <c r="F937" s="82"/>
      <c r="G937" s="83"/>
      <c r="H937" s="86"/>
      <c r="I937" s="89"/>
      <c r="J937" s="82"/>
      <c r="K937" s="83"/>
      <c r="O937" s="84"/>
      <c r="P937" s="84"/>
      <c r="Q937" s="84"/>
      <c r="R937" s="84"/>
      <c r="S937" s="84"/>
      <c r="T937" s="84"/>
      <c r="U937" s="84"/>
      <c r="V937" s="84"/>
      <c r="W937" s="84"/>
      <c r="X937" s="84"/>
      <c r="Y937" s="84"/>
      <c r="Z937" s="84"/>
    </row>
    <row r="938" spans="1:26" ht="15.75" customHeight="1" x14ac:dyDescent="0.25">
      <c r="A938" s="85"/>
      <c r="B938" s="86"/>
      <c r="C938" s="90"/>
      <c r="D938" s="88"/>
      <c r="E938" s="83"/>
      <c r="F938" s="82"/>
      <c r="G938" s="83"/>
      <c r="H938" s="86"/>
      <c r="I938" s="89"/>
      <c r="J938" s="82"/>
      <c r="K938" s="83"/>
      <c r="O938" s="84"/>
      <c r="P938" s="84"/>
      <c r="Q938" s="84"/>
      <c r="R938" s="84"/>
      <c r="S938" s="84"/>
      <c r="T938" s="84"/>
      <c r="U938" s="84"/>
      <c r="V938" s="84"/>
      <c r="W938" s="84"/>
      <c r="X938" s="84"/>
      <c r="Y938" s="84"/>
      <c r="Z938" s="84"/>
    </row>
    <row r="939" spans="1:26" ht="15.75" customHeight="1" x14ac:dyDescent="0.25">
      <c r="A939" s="85"/>
      <c r="B939" s="86"/>
      <c r="C939" s="90"/>
      <c r="D939" s="88"/>
      <c r="E939" s="83"/>
      <c r="F939" s="82"/>
      <c r="G939" s="83"/>
      <c r="H939" s="86"/>
      <c r="I939" s="89"/>
      <c r="J939" s="82"/>
      <c r="K939" s="83"/>
      <c r="O939" s="84"/>
      <c r="P939" s="84"/>
      <c r="Q939" s="84"/>
      <c r="R939" s="84"/>
      <c r="S939" s="84"/>
      <c r="T939" s="84"/>
      <c r="U939" s="84"/>
      <c r="V939" s="84"/>
      <c r="W939" s="84"/>
      <c r="X939" s="84"/>
      <c r="Y939" s="84"/>
      <c r="Z939" s="84"/>
    </row>
    <row r="940" spans="1:26" ht="15.75" customHeight="1" x14ac:dyDescent="0.25">
      <c r="A940" s="85"/>
      <c r="B940" s="86"/>
      <c r="C940" s="90"/>
      <c r="D940" s="88"/>
      <c r="E940" s="83"/>
      <c r="F940" s="82"/>
      <c r="G940" s="83"/>
      <c r="H940" s="86"/>
      <c r="I940" s="89"/>
      <c r="J940" s="82"/>
      <c r="K940" s="83"/>
      <c r="O940" s="84"/>
      <c r="P940" s="84"/>
      <c r="Q940" s="84"/>
      <c r="R940" s="84"/>
      <c r="S940" s="84"/>
      <c r="T940" s="84"/>
      <c r="U940" s="84"/>
      <c r="V940" s="84"/>
      <c r="W940" s="84"/>
      <c r="X940" s="84"/>
      <c r="Y940" s="84"/>
      <c r="Z940" s="84"/>
    </row>
    <row r="941" spans="1:26" ht="15.75" customHeight="1" x14ac:dyDescent="0.25">
      <c r="A941" s="85"/>
      <c r="B941" s="86"/>
      <c r="C941" s="90"/>
      <c r="D941" s="88"/>
      <c r="E941" s="83"/>
      <c r="F941" s="82"/>
      <c r="G941" s="83"/>
      <c r="H941" s="86"/>
      <c r="I941" s="89"/>
      <c r="J941" s="82"/>
      <c r="K941" s="83"/>
      <c r="O941" s="84"/>
      <c r="P941" s="84"/>
      <c r="Q941" s="84"/>
      <c r="R941" s="84"/>
      <c r="S941" s="84"/>
      <c r="T941" s="84"/>
      <c r="U941" s="84"/>
      <c r="V941" s="84"/>
      <c r="W941" s="84"/>
      <c r="X941" s="84"/>
      <c r="Y941" s="84"/>
      <c r="Z941" s="84"/>
    </row>
    <row r="942" spans="1:26" ht="15.75" customHeight="1" x14ac:dyDescent="0.25">
      <c r="A942" s="85"/>
      <c r="B942" s="86"/>
      <c r="C942" s="90"/>
      <c r="D942" s="88"/>
      <c r="E942" s="83"/>
      <c r="F942" s="82"/>
      <c r="G942" s="83"/>
      <c r="H942" s="86"/>
      <c r="I942" s="89"/>
      <c r="J942" s="82"/>
      <c r="K942" s="83"/>
      <c r="O942" s="84"/>
      <c r="P942" s="84"/>
      <c r="Q942" s="84"/>
      <c r="R942" s="84"/>
      <c r="S942" s="84"/>
      <c r="T942" s="84"/>
      <c r="U942" s="84"/>
      <c r="V942" s="84"/>
      <c r="W942" s="84"/>
      <c r="X942" s="84"/>
      <c r="Y942" s="84"/>
      <c r="Z942" s="84"/>
    </row>
    <row r="943" spans="1:26" ht="15.75" customHeight="1" x14ac:dyDescent="0.25">
      <c r="A943" s="85"/>
      <c r="B943" s="86"/>
      <c r="C943" s="90"/>
      <c r="D943" s="88"/>
      <c r="E943" s="83"/>
      <c r="F943" s="82"/>
      <c r="G943" s="83"/>
      <c r="H943" s="86"/>
      <c r="I943" s="89"/>
      <c r="J943" s="82"/>
      <c r="K943" s="83"/>
      <c r="O943" s="84"/>
      <c r="P943" s="84"/>
      <c r="Q943" s="84"/>
      <c r="R943" s="84"/>
      <c r="S943" s="84"/>
      <c r="T943" s="84"/>
      <c r="U943" s="84"/>
      <c r="V943" s="84"/>
      <c r="W943" s="84"/>
      <c r="X943" s="84"/>
      <c r="Y943" s="84"/>
      <c r="Z943" s="84"/>
    </row>
    <row r="944" spans="1:26" ht="15.75" customHeight="1" x14ac:dyDescent="0.25">
      <c r="A944" s="85"/>
      <c r="B944" s="86"/>
      <c r="C944" s="90"/>
      <c r="D944" s="88"/>
      <c r="E944" s="83"/>
      <c r="F944" s="82"/>
      <c r="G944" s="83"/>
      <c r="H944" s="86"/>
      <c r="I944" s="89"/>
      <c r="J944" s="82"/>
      <c r="K944" s="83"/>
      <c r="O944" s="84"/>
      <c r="P944" s="84"/>
      <c r="Q944" s="84"/>
      <c r="R944" s="84"/>
      <c r="S944" s="84"/>
      <c r="T944" s="84"/>
      <c r="U944" s="84"/>
      <c r="V944" s="84"/>
      <c r="W944" s="84"/>
      <c r="X944" s="84"/>
      <c r="Y944" s="84"/>
      <c r="Z944" s="84"/>
    </row>
    <row r="945" spans="1:26" ht="15.75" customHeight="1" x14ac:dyDescent="0.25">
      <c r="A945" s="85"/>
      <c r="B945" s="86"/>
      <c r="C945" s="90"/>
      <c r="D945" s="88"/>
      <c r="E945" s="83"/>
      <c r="F945" s="82"/>
      <c r="G945" s="83"/>
      <c r="H945" s="86"/>
      <c r="I945" s="89"/>
      <c r="J945" s="82"/>
      <c r="K945" s="83"/>
      <c r="O945" s="84"/>
      <c r="P945" s="84"/>
      <c r="Q945" s="84"/>
      <c r="R945" s="84"/>
      <c r="S945" s="84"/>
      <c r="T945" s="84"/>
      <c r="U945" s="84"/>
      <c r="V945" s="84"/>
      <c r="W945" s="84"/>
      <c r="X945" s="84"/>
      <c r="Y945" s="84"/>
      <c r="Z945" s="84"/>
    </row>
    <row r="946" spans="1:26" ht="15.75" customHeight="1" x14ac:dyDescent="0.25">
      <c r="A946" s="85"/>
      <c r="B946" s="86"/>
      <c r="C946" s="90"/>
      <c r="D946" s="88"/>
      <c r="E946" s="83"/>
      <c r="F946" s="82"/>
      <c r="G946" s="83"/>
      <c r="H946" s="86"/>
      <c r="I946" s="89"/>
      <c r="J946" s="82"/>
      <c r="K946" s="83"/>
      <c r="O946" s="84"/>
      <c r="P946" s="84"/>
      <c r="Q946" s="84"/>
      <c r="R946" s="84"/>
      <c r="S946" s="84"/>
      <c r="T946" s="84"/>
      <c r="U946" s="84"/>
      <c r="V946" s="84"/>
      <c r="W946" s="84"/>
      <c r="X946" s="84"/>
      <c r="Y946" s="84"/>
      <c r="Z946" s="84"/>
    </row>
    <row r="947" spans="1:26" ht="15.75" customHeight="1" x14ac:dyDescent="0.25">
      <c r="A947" s="85"/>
      <c r="B947" s="86"/>
      <c r="C947" s="90"/>
      <c r="D947" s="88"/>
      <c r="E947" s="83"/>
      <c r="F947" s="82"/>
      <c r="G947" s="83"/>
      <c r="H947" s="86"/>
      <c r="I947" s="89"/>
      <c r="J947" s="82"/>
      <c r="K947" s="83"/>
      <c r="O947" s="84"/>
      <c r="P947" s="84"/>
      <c r="Q947" s="84"/>
      <c r="R947" s="84"/>
      <c r="S947" s="84"/>
      <c r="T947" s="84"/>
      <c r="U947" s="84"/>
      <c r="V947" s="84"/>
      <c r="W947" s="84"/>
      <c r="X947" s="84"/>
      <c r="Y947" s="84"/>
      <c r="Z947" s="84"/>
    </row>
    <row r="948" spans="1:26" ht="15.75" customHeight="1" x14ac:dyDescent="0.25">
      <c r="A948" s="85"/>
      <c r="B948" s="86"/>
      <c r="C948" s="90"/>
      <c r="D948" s="88"/>
      <c r="E948" s="83"/>
      <c r="F948" s="82"/>
      <c r="G948" s="83"/>
      <c r="H948" s="86"/>
      <c r="I948" s="89"/>
      <c r="J948" s="82"/>
      <c r="K948" s="83"/>
      <c r="O948" s="84"/>
      <c r="P948" s="84"/>
      <c r="Q948" s="84"/>
      <c r="R948" s="84"/>
      <c r="S948" s="84"/>
      <c r="T948" s="84"/>
      <c r="U948" s="84"/>
      <c r="V948" s="84"/>
      <c r="W948" s="84"/>
      <c r="X948" s="84"/>
      <c r="Y948" s="84"/>
      <c r="Z948" s="84"/>
    </row>
    <row r="949" spans="1:26" ht="15.75" customHeight="1" x14ac:dyDescent="0.25">
      <c r="A949" s="85"/>
      <c r="B949" s="86"/>
      <c r="C949" s="90"/>
      <c r="D949" s="88"/>
      <c r="E949" s="83"/>
      <c r="F949" s="82"/>
      <c r="G949" s="83"/>
      <c r="H949" s="86"/>
      <c r="I949" s="89"/>
      <c r="J949" s="82"/>
      <c r="K949" s="83"/>
      <c r="O949" s="84"/>
      <c r="P949" s="84"/>
      <c r="Q949" s="84"/>
      <c r="R949" s="84"/>
      <c r="S949" s="84"/>
      <c r="T949" s="84"/>
      <c r="U949" s="84"/>
      <c r="V949" s="84"/>
      <c r="W949" s="84"/>
      <c r="X949" s="84"/>
      <c r="Y949" s="84"/>
      <c r="Z949" s="84"/>
    </row>
    <row r="950" spans="1:26" ht="15.75" customHeight="1" x14ac:dyDescent="0.25">
      <c r="A950" s="85"/>
      <c r="B950" s="86"/>
      <c r="C950" s="90"/>
      <c r="D950" s="88"/>
      <c r="E950" s="83"/>
      <c r="F950" s="82"/>
      <c r="G950" s="83"/>
      <c r="H950" s="86"/>
      <c r="I950" s="89"/>
      <c r="J950" s="82"/>
      <c r="K950" s="83"/>
      <c r="O950" s="84"/>
      <c r="P950" s="84"/>
      <c r="Q950" s="84"/>
      <c r="R950" s="84"/>
      <c r="S950" s="84"/>
      <c r="T950" s="84"/>
      <c r="U950" s="84"/>
      <c r="V950" s="84"/>
      <c r="W950" s="84"/>
      <c r="X950" s="84"/>
      <c r="Y950" s="84"/>
      <c r="Z950" s="84"/>
    </row>
    <row r="951" spans="1:26" ht="15.75" customHeight="1" x14ac:dyDescent="0.25">
      <c r="A951" s="85"/>
      <c r="B951" s="86"/>
      <c r="C951" s="90"/>
      <c r="D951" s="88"/>
      <c r="E951" s="83"/>
      <c r="F951" s="82"/>
      <c r="G951" s="83"/>
      <c r="H951" s="86"/>
      <c r="I951" s="89"/>
      <c r="J951" s="82"/>
      <c r="K951" s="83"/>
      <c r="O951" s="84"/>
      <c r="P951" s="84"/>
      <c r="Q951" s="84"/>
      <c r="R951" s="84"/>
      <c r="S951" s="84"/>
      <c r="T951" s="84"/>
      <c r="U951" s="84"/>
      <c r="V951" s="84"/>
      <c r="W951" s="84"/>
      <c r="X951" s="84"/>
      <c r="Y951" s="84"/>
      <c r="Z951" s="84"/>
    </row>
    <row r="952" spans="1:26" ht="15.75" customHeight="1" x14ac:dyDescent="0.25">
      <c r="A952" s="85"/>
      <c r="B952" s="86"/>
      <c r="C952" s="90"/>
      <c r="D952" s="88"/>
      <c r="E952" s="83"/>
      <c r="F952" s="82"/>
      <c r="G952" s="83"/>
      <c r="H952" s="86"/>
      <c r="I952" s="89"/>
      <c r="J952" s="82"/>
      <c r="K952" s="83"/>
      <c r="O952" s="84"/>
      <c r="P952" s="84"/>
      <c r="Q952" s="84"/>
      <c r="R952" s="84"/>
      <c r="S952" s="84"/>
      <c r="T952" s="84"/>
      <c r="U952" s="84"/>
      <c r="V952" s="84"/>
      <c r="W952" s="84"/>
      <c r="X952" s="84"/>
      <c r="Y952" s="84"/>
      <c r="Z952" s="84"/>
    </row>
    <row r="953" spans="1:26" ht="15.75" customHeight="1" x14ac:dyDescent="0.25">
      <c r="A953" s="85"/>
      <c r="B953" s="86"/>
      <c r="C953" s="90"/>
      <c r="D953" s="88"/>
      <c r="E953" s="83"/>
      <c r="F953" s="82"/>
      <c r="G953" s="83"/>
      <c r="H953" s="86"/>
      <c r="I953" s="89"/>
      <c r="J953" s="82"/>
      <c r="K953" s="83"/>
      <c r="O953" s="84"/>
      <c r="P953" s="84"/>
      <c r="Q953" s="84"/>
      <c r="R953" s="84"/>
      <c r="S953" s="84"/>
      <c r="T953" s="84"/>
      <c r="U953" s="84"/>
      <c r="V953" s="84"/>
      <c r="W953" s="84"/>
      <c r="X953" s="84"/>
      <c r="Y953" s="84"/>
      <c r="Z953" s="84"/>
    </row>
    <row r="954" spans="1:26" ht="15.75" customHeight="1" x14ac:dyDescent="0.25">
      <c r="A954" s="85"/>
      <c r="B954" s="86"/>
      <c r="C954" s="90"/>
      <c r="D954" s="88"/>
      <c r="E954" s="83"/>
      <c r="F954" s="82"/>
      <c r="G954" s="83"/>
      <c r="H954" s="86"/>
      <c r="I954" s="89"/>
      <c r="J954" s="82"/>
      <c r="K954" s="83"/>
      <c r="O954" s="84"/>
      <c r="P954" s="84"/>
      <c r="Q954" s="84"/>
      <c r="R954" s="84"/>
      <c r="S954" s="84"/>
      <c r="T954" s="84"/>
      <c r="U954" s="84"/>
      <c r="V954" s="84"/>
      <c r="W954" s="84"/>
      <c r="X954" s="84"/>
      <c r="Y954" s="84"/>
      <c r="Z954" s="84"/>
    </row>
    <row r="955" spans="1:26" ht="15.75" customHeight="1" x14ac:dyDescent="0.25">
      <c r="A955" s="85"/>
      <c r="B955" s="86"/>
      <c r="C955" s="90"/>
      <c r="D955" s="88"/>
      <c r="E955" s="83"/>
      <c r="F955" s="82"/>
      <c r="G955" s="83"/>
      <c r="H955" s="86"/>
      <c r="I955" s="89"/>
      <c r="J955" s="82"/>
      <c r="K955" s="83"/>
      <c r="O955" s="84"/>
      <c r="P955" s="84"/>
      <c r="Q955" s="84"/>
      <c r="R955" s="84"/>
      <c r="S955" s="84"/>
      <c r="T955" s="84"/>
      <c r="U955" s="84"/>
      <c r="V955" s="84"/>
      <c r="W955" s="84"/>
      <c r="X955" s="84"/>
      <c r="Y955" s="84"/>
      <c r="Z955" s="84"/>
    </row>
    <row r="956" spans="1:26" ht="15.75" customHeight="1" x14ac:dyDescent="0.25">
      <c r="A956" s="85"/>
      <c r="B956" s="86"/>
      <c r="C956" s="90"/>
      <c r="D956" s="88"/>
      <c r="E956" s="83"/>
      <c r="F956" s="82"/>
      <c r="G956" s="83"/>
      <c r="H956" s="86"/>
      <c r="I956" s="89"/>
      <c r="J956" s="82"/>
      <c r="K956" s="83"/>
      <c r="O956" s="84"/>
      <c r="P956" s="84"/>
      <c r="Q956" s="84"/>
      <c r="R956" s="84"/>
      <c r="S956" s="84"/>
      <c r="T956" s="84"/>
      <c r="U956" s="84"/>
      <c r="V956" s="84"/>
      <c r="W956" s="84"/>
      <c r="X956" s="84"/>
      <c r="Y956" s="84"/>
      <c r="Z956" s="84"/>
    </row>
    <row r="957" spans="1:26" ht="15.75" customHeight="1" x14ac:dyDescent="0.25">
      <c r="A957" s="85"/>
      <c r="B957" s="86"/>
      <c r="C957" s="90"/>
      <c r="D957" s="88"/>
      <c r="E957" s="83"/>
      <c r="F957" s="82"/>
      <c r="G957" s="83"/>
      <c r="H957" s="86"/>
      <c r="I957" s="89"/>
      <c r="J957" s="82"/>
      <c r="K957" s="83"/>
      <c r="O957" s="84"/>
      <c r="P957" s="84"/>
      <c r="Q957" s="84"/>
      <c r="R957" s="84"/>
      <c r="S957" s="84"/>
      <c r="T957" s="84"/>
      <c r="U957" s="84"/>
      <c r="V957" s="84"/>
      <c r="W957" s="84"/>
      <c r="X957" s="84"/>
      <c r="Y957" s="84"/>
      <c r="Z957" s="84"/>
    </row>
    <row r="958" spans="1:26" ht="15.75" customHeight="1" x14ac:dyDescent="0.25">
      <c r="A958" s="85"/>
      <c r="B958" s="86"/>
      <c r="C958" s="90"/>
      <c r="D958" s="88"/>
      <c r="E958" s="83"/>
      <c r="F958" s="82"/>
      <c r="G958" s="83"/>
      <c r="H958" s="86"/>
      <c r="I958" s="89"/>
      <c r="J958" s="82"/>
      <c r="K958" s="83"/>
      <c r="O958" s="84"/>
      <c r="P958" s="84"/>
      <c r="Q958" s="84"/>
      <c r="R958" s="84"/>
      <c r="S958" s="84"/>
      <c r="T958" s="84"/>
      <c r="U958" s="84"/>
      <c r="V958" s="84"/>
      <c r="W958" s="84"/>
      <c r="X958" s="84"/>
      <c r="Y958" s="84"/>
      <c r="Z958" s="84"/>
    </row>
    <row r="959" spans="1:26" ht="15.75" customHeight="1" x14ac:dyDescent="0.25">
      <c r="A959" s="85"/>
      <c r="B959" s="86"/>
      <c r="C959" s="90"/>
      <c r="D959" s="88"/>
      <c r="E959" s="83"/>
      <c r="F959" s="82"/>
      <c r="G959" s="83"/>
      <c r="H959" s="86"/>
      <c r="I959" s="89"/>
      <c r="J959" s="82"/>
      <c r="K959" s="83"/>
      <c r="O959" s="84"/>
      <c r="P959" s="84"/>
      <c r="Q959" s="84"/>
      <c r="R959" s="84"/>
      <c r="S959" s="84"/>
      <c r="T959" s="84"/>
      <c r="U959" s="84"/>
      <c r="V959" s="84"/>
      <c r="W959" s="84"/>
      <c r="X959" s="84"/>
      <c r="Y959" s="84"/>
      <c r="Z959" s="84"/>
    </row>
    <row r="960" spans="1:26" ht="15.75" customHeight="1" x14ac:dyDescent="0.25">
      <c r="A960" s="85"/>
      <c r="B960" s="86"/>
      <c r="C960" s="90"/>
      <c r="D960" s="88"/>
      <c r="E960" s="83"/>
      <c r="F960" s="82"/>
      <c r="G960" s="83"/>
      <c r="H960" s="86"/>
      <c r="I960" s="89"/>
      <c r="J960" s="82"/>
      <c r="K960" s="83"/>
      <c r="O960" s="84"/>
      <c r="P960" s="84"/>
      <c r="Q960" s="84"/>
      <c r="R960" s="84"/>
      <c r="S960" s="84"/>
      <c r="T960" s="84"/>
      <c r="U960" s="84"/>
      <c r="V960" s="84"/>
      <c r="W960" s="84"/>
      <c r="X960" s="84"/>
      <c r="Y960" s="84"/>
      <c r="Z960" s="84"/>
    </row>
    <row r="961" spans="1:26" ht="15.75" customHeight="1" x14ac:dyDescent="0.25">
      <c r="A961" s="85"/>
      <c r="B961" s="86"/>
      <c r="C961" s="90"/>
      <c r="D961" s="88"/>
      <c r="E961" s="83"/>
      <c r="F961" s="82"/>
      <c r="G961" s="83"/>
      <c r="H961" s="86"/>
      <c r="I961" s="89"/>
      <c r="J961" s="82"/>
      <c r="K961" s="83"/>
      <c r="O961" s="84"/>
      <c r="P961" s="84"/>
      <c r="Q961" s="84"/>
      <c r="R961" s="84"/>
      <c r="S961" s="84"/>
      <c r="T961" s="84"/>
      <c r="U961" s="84"/>
      <c r="V961" s="84"/>
      <c r="W961" s="84"/>
      <c r="X961" s="84"/>
      <c r="Y961" s="84"/>
      <c r="Z961" s="84"/>
    </row>
    <row r="962" spans="1:26" ht="15.75" customHeight="1" x14ac:dyDescent="0.25">
      <c r="A962" s="85"/>
      <c r="B962" s="86"/>
      <c r="C962" s="90"/>
      <c r="D962" s="88"/>
      <c r="E962" s="83"/>
      <c r="F962" s="82"/>
      <c r="G962" s="83"/>
      <c r="H962" s="86"/>
      <c r="I962" s="89"/>
      <c r="J962" s="82"/>
      <c r="K962" s="83"/>
      <c r="O962" s="84"/>
      <c r="P962" s="84"/>
      <c r="Q962" s="84"/>
      <c r="R962" s="84"/>
      <c r="S962" s="84"/>
      <c r="T962" s="84"/>
      <c r="U962" s="84"/>
      <c r="V962" s="84"/>
      <c r="W962" s="84"/>
      <c r="X962" s="84"/>
      <c r="Y962" s="84"/>
      <c r="Z962" s="84"/>
    </row>
    <row r="963" spans="1:26" ht="15.75" customHeight="1" x14ac:dyDescent="0.25">
      <c r="A963" s="85"/>
      <c r="B963" s="86"/>
      <c r="C963" s="90"/>
      <c r="D963" s="88"/>
      <c r="E963" s="83"/>
      <c r="F963" s="82"/>
      <c r="G963" s="83"/>
      <c r="H963" s="86"/>
      <c r="I963" s="89"/>
      <c r="J963" s="82"/>
      <c r="K963" s="83"/>
      <c r="O963" s="84"/>
      <c r="P963" s="84"/>
      <c r="Q963" s="84"/>
      <c r="R963" s="84"/>
      <c r="S963" s="84"/>
      <c r="T963" s="84"/>
      <c r="U963" s="84"/>
      <c r="V963" s="84"/>
      <c r="W963" s="84"/>
      <c r="X963" s="84"/>
      <c r="Y963" s="84"/>
      <c r="Z963" s="84"/>
    </row>
    <row r="964" spans="1:26" ht="15.75" customHeight="1" x14ac:dyDescent="0.25">
      <c r="A964" s="85"/>
      <c r="B964" s="86"/>
      <c r="C964" s="90"/>
      <c r="D964" s="88"/>
      <c r="E964" s="83"/>
      <c r="F964" s="82"/>
      <c r="G964" s="83"/>
      <c r="H964" s="86"/>
      <c r="I964" s="89"/>
      <c r="J964" s="82"/>
      <c r="K964" s="83"/>
      <c r="O964" s="84"/>
      <c r="P964" s="84"/>
      <c r="Q964" s="84"/>
      <c r="R964" s="84"/>
      <c r="S964" s="84"/>
      <c r="T964" s="84"/>
      <c r="U964" s="84"/>
      <c r="V964" s="84"/>
      <c r="W964" s="84"/>
      <c r="X964" s="84"/>
      <c r="Y964" s="84"/>
      <c r="Z964" s="84"/>
    </row>
    <row r="965" spans="1:26" ht="15.75" customHeight="1" x14ac:dyDescent="0.25">
      <c r="A965" s="85"/>
      <c r="B965" s="86"/>
      <c r="C965" s="90"/>
      <c r="D965" s="88"/>
      <c r="E965" s="83"/>
      <c r="F965" s="82"/>
      <c r="G965" s="83"/>
      <c r="H965" s="86"/>
      <c r="I965" s="89"/>
      <c r="J965" s="82"/>
      <c r="K965" s="83"/>
      <c r="O965" s="84"/>
      <c r="P965" s="84"/>
      <c r="Q965" s="84"/>
      <c r="R965" s="84"/>
      <c r="S965" s="84"/>
      <c r="T965" s="84"/>
      <c r="U965" s="84"/>
      <c r="V965" s="84"/>
      <c r="W965" s="84"/>
      <c r="X965" s="84"/>
      <c r="Y965" s="84"/>
      <c r="Z965" s="84"/>
    </row>
    <row r="966" spans="1:26" ht="15.75" customHeight="1" x14ac:dyDescent="0.25">
      <c r="A966" s="85"/>
      <c r="B966" s="86"/>
      <c r="C966" s="90"/>
      <c r="D966" s="88"/>
      <c r="E966" s="83"/>
      <c r="F966" s="82"/>
      <c r="G966" s="83"/>
      <c r="H966" s="86"/>
      <c r="I966" s="89"/>
      <c r="J966" s="82"/>
      <c r="K966" s="83"/>
      <c r="O966" s="84"/>
      <c r="P966" s="84"/>
      <c r="Q966" s="84"/>
      <c r="R966" s="84"/>
      <c r="S966" s="84"/>
      <c r="T966" s="84"/>
      <c r="U966" s="84"/>
      <c r="V966" s="84"/>
      <c r="W966" s="84"/>
      <c r="X966" s="84"/>
      <c r="Y966" s="84"/>
      <c r="Z966" s="84"/>
    </row>
    <row r="967" spans="1:26" ht="15.75" customHeight="1" x14ac:dyDescent="0.25">
      <c r="A967" s="85"/>
      <c r="B967" s="86"/>
      <c r="C967" s="90"/>
      <c r="D967" s="88"/>
      <c r="E967" s="83"/>
      <c r="F967" s="82"/>
      <c r="G967" s="83"/>
      <c r="H967" s="86"/>
      <c r="I967" s="89"/>
      <c r="J967" s="82"/>
      <c r="K967" s="83"/>
      <c r="O967" s="84"/>
      <c r="P967" s="84"/>
      <c r="Q967" s="84"/>
      <c r="R967" s="84"/>
      <c r="S967" s="84"/>
      <c r="T967" s="84"/>
      <c r="U967" s="84"/>
      <c r="V967" s="84"/>
      <c r="W967" s="84"/>
      <c r="X967" s="84"/>
      <c r="Y967" s="84"/>
      <c r="Z967" s="84"/>
    </row>
    <row r="968" spans="1:26" ht="15.75" customHeight="1" x14ac:dyDescent="0.25">
      <c r="A968" s="85"/>
      <c r="B968" s="86"/>
      <c r="C968" s="90"/>
      <c r="D968" s="88"/>
      <c r="E968" s="83"/>
      <c r="F968" s="82"/>
      <c r="G968" s="83"/>
      <c r="H968" s="86"/>
      <c r="I968" s="89"/>
      <c r="J968" s="82"/>
      <c r="K968" s="83"/>
      <c r="O968" s="84"/>
      <c r="P968" s="84"/>
      <c r="Q968" s="84"/>
      <c r="R968" s="84"/>
      <c r="S968" s="84"/>
      <c r="T968" s="84"/>
      <c r="U968" s="84"/>
      <c r="V968" s="84"/>
      <c r="W968" s="84"/>
      <c r="X968" s="84"/>
      <c r="Y968" s="84"/>
      <c r="Z968" s="84"/>
    </row>
    <row r="969" spans="1:26" ht="15.75" customHeight="1" x14ac:dyDescent="0.25">
      <c r="A969" s="85"/>
      <c r="B969" s="86"/>
      <c r="C969" s="90"/>
      <c r="D969" s="88"/>
      <c r="E969" s="83"/>
      <c r="F969" s="82"/>
      <c r="G969" s="83"/>
      <c r="H969" s="86"/>
      <c r="I969" s="89"/>
      <c r="J969" s="82"/>
      <c r="K969" s="83"/>
      <c r="O969" s="84"/>
      <c r="P969" s="84"/>
      <c r="Q969" s="84"/>
      <c r="R969" s="84"/>
      <c r="S969" s="84"/>
      <c r="T969" s="84"/>
      <c r="U969" s="84"/>
      <c r="V969" s="84"/>
      <c r="W969" s="84"/>
      <c r="X969" s="84"/>
      <c r="Y969" s="84"/>
      <c r="Z969" s="84"/>
    </row>
    <row r="970" spans="1:26" ht="15.75" customHeight="1" x14ac:dyDescent="0.25">
      <c r="A970" s="85"/>
      <c r="B970" s="86"/>
      <c r="C970" s="90"/>
      <c r="D970" s="88"/>
      <c r="E970" s="83"/>
      <c r="F970" s="82"/>
      <c r="G970" s="83"/>
      <c r="H970" s="86"/>
      <c r="I970" s="89"/>
      <c r="J970" s="82"/>
      <c r="K970" s="83"/>
      <c r="O970" s="84"/>
      <c r="P970" s="84"/>
      <c r="Q970" s="84"/>
      <c r="R970" s="84"/>
      <c r="S970" s="84"/>
      <c r="T970" s="84"/>
      <c r="U970" s="84"/>
      <c r="V970" s="84"/>
      <c r="W970" s="84"/>
      <c r="X970" s="84"/>
      <c r="Y970" s="84"/>
      <c r="Z970" s="84"/>
    </row>
    <row r="971" spans="1:26" ht="15.75" customHeight="1" x14ac:dyDescent="0.25">
      <c r="A971" s="85"/>
      <c r="B971" s="86"/>
      <c r="C971" s="90"/>
      <c r="D971" s="88"/>
      <c r="E971" s="83"/>
      <c r="F971" s="82"/>
      <c r="G971" s="83"/>
      <c r="H971" s="86"/>
      <c r="I971" s="89"/>
      <c r="J971" s="82"/>
      <c r="K971" s="83"/>
      <c r="O971" s="84"/>
      <c r="P971" s="84"/>
      <c r="Q971" s="84"/>
      <c r="R971" s="84"/>
      <c r="S971" s="84"/>
      <c r="T971" s="84"/>
      <c r="U971" s="84"/>
      <c r="V971" s="84"/>
      <c r="W971" s="84"/>
      <c r="X971" s="84"/>
      <c r="Y971" s="84"/>
      <c r="Z971" s="84"/>
    </row>
    <row r="972" spans="1:26" ht="15.75" customHeight="1" x14ac:dyDescent="0.25">
      <c r="A972" s="85"/>
      <c r="B972" s="86"/>
      <c r="C972" s="90"/>
      <c r="D972" s="88"/>
      <c r="E972" s="83"/>
      <c r="F972" s="82"/>
      <c r="G972" s="83"/>
      <c r="H972" s="86"/>
      <c r="I972" s="89"/>
      <c r="J972" s="82"/>
      <c r="K972" s="83"/>
      <c r="O972" s="84"/>
      <c r="P972" s="84"/>
      <c r="Q972" s="84"/>
      <c r="R972" s="84"/>
      <c r="S972" s="84"/>
      <c r="T972" s="84"/>
      <c r="U972" s="84"/>
      <c r="V972" s="84"/>
      <c r="W972" s="84"/>
      <c r="X972" s="84"/>
      <c r="Y972" s="84"/>
      <c r="Z972" s="84"/>
    </row>
    <row r="973" spans="1:26" ht="15.75" customHeight="1" x14ac:dyDescent="0.25">
      <c r="A973" s="85"/>
      <c r="B973" s="86"/>
      <c r="C973" s="90"/>
      <c r="D973" s="88"/>
      <c r="E973" s="83"/>
      <c r="F973" s="82"/>
      <c r="G973" s="83"/>
      <c r="H973" s="86"/>
      <c r="I973" s="89"/>
      <c r="J973" s="82"/>
      <c r="K973" s="83"/>
      <c r="O973" s="84"/>
      <c r="P973" s="84"/>
      <c r="Q973" s="84"/>
      <c r="R973" s="84"/>
      <c r="S973" s="84"/>
      <c r="T973" s="84"/>
      <c r="U973" s="84"/>
      <c r="V973" s="84"/>
      <c r="W973" s="84"/>
      <c r="X973" s="84"/>
      <c r="Y973" s="84"/>
      <c r="Z973" s="84"/>
    </row>
    <row r="974" spans="1:26" ht="15.75" customHeight="1" x14ac:dyDescent="0.25">
      <c r="A974" s="85"/>
      <c r="B974" s="86"/>
      <c r="C974" s="90"/>
      <c r="D974" s="88"/>
      <c r="E974" s="83"/>
      <c r="F974" s="82"/>
      <c r="G974" s="83"/>
      <c r="H974" s="86"/>
      <c r="I974" s="89"/>
      <c r="J974" s="82"/>
      <c r="K974" s="83"/>
      <c r="O974" s="84"/>
      <c r="P974" s="84"/>
      <c r="Q974" s="84"/>
      <c r="R974" s="84"/>
      <c r="S974" s="84"/>
      <c r="T974" s="84"/>
      <c r="U974" s="84"/>
      <c r="V974" s="84"/>
      <c r="W974" s="84"/>
      <c r="X974" s="84"/>
      <c r="Y974" s="84"/>
      <c r="Z974" s="84"/>
    </row>
    <row r="975" spans="1:26" ht="15.75" customHeight="1" x14ac:dyDescent="0.25">
      <c r="A975" s="85"/>
      <c r="B975" s="86"/>
      <c r="C975" s="90"/>
      <c r="D975" s="88"/>
      <c r="E975" s="83"/>
      <c r="F975" s="82"/>
      <c r="G975" s="83"/>
      <c r="H975" s="86"/>
      <c r="I975" s="89"/>
      <c r="J975" s="82"/>
      <c r="K975" s="83"/>
      <c r="O975" s="84"/>
      <c r="P975" s="84"/>
      <c r="Q975" s="84"/>
      <c r="R975" s="84"/>
      <c r="S975" s="84"/>
      <c r="T975" s="84"/>
      <c r="U975" s="84"/>
      <c r="V975" s="84"/>
      <c r="W975" s="84"/>
      <c r="X975" s="84"/>
      <c r="Y975" s="84"/>
      <c r="Z975" s="84"/>
    </row>
    <row r="976" spans="1:26" ht="15.75" customHeight="1" x14ac:dyDescent="0.25">
      <c r="A976" s="85"/>
      <c r="B976" s="86"/>
      <c r="C976" s="90"/>
      <c r="D976" s="88"/>
      <c r="E976" s="83"/>
      <c r="F976" s="82"/>
      <c r="G976" s="83"/>
      <c r="H976" s="86"/>
      <c r="I976" s="89"/>
      <c r="J976" s="82"/>
      <c r="K976" s="83"/>
      <c r="O976" s="84"/>
      <c r="P976" s="84"/>
      <c r="Q976" s="84"/>
      <c r="R976" s="84"/>
      <c r="S976" s="84"/>
      <c r="T976" s="84"/>
      <c r="U976" s="84"/>
      <c r="V976" s="84"/>
      <c r="W976" s="84"/>
      <c r="X976" s="84"/>
      <c r="Y976" s="84"/>
      <c r="Z976" s="84"/>
    </row>
    <row r="977" spans="1:26" ht="15.75" customHeight="1" x14ac:dyDescent="0.25">
      <c r="A977" s="85"/>
      <c r="B977" s="86"/>
      <c r="C977" s="90"/>
      <c r="D977" s="88"/>
      <c r="E977" s="83"/>
      <c r="F977" s="82"/>
      <c r="G977" s="83"/>
      <c r="H977" s="86"/>
      <c r="I977" s="89"/>
      <c r="J977" s="82"/>
      <c r="K977" s="83"/>
      <c r="O977" s="84"/>
      <c r="P977" s="84"/>
      <c r="Q977" s="84"/>
      <c r="R977" s="84"/>
      <c r="S977" s="84"/>
      <c r="T977" s="84"/>
      <c r="U977" s="84"/>
      <c r="V977" s="84"/>
      <c r="W977" s="84"/>
      <c r="X977" s="84"/>
      <c r="Y977" s="84"/>
      <c r="Z977" s="84"/>
    </row>
    <row r="978" spans="1:26" ht="15.75" customHeight="1" x14ac:dyDescent="0.25">
      <c r="A978" s="85"/>
      <c r="B978" s="86"/>
      <c r="C978" s="90"/>
      <c r="D978" s="88"/>
      <c r="E978" s="83"/>
      <c r="F978" s="82"/>
      <c r="G978" s="83"/>
      <c r="H978" s="86"/>
      <c r="I978" s="89"/>
      <c r="J978" s="82"/>
      <c r="K978" s="83"/>
      <c r="O978" s="84"/>
      <c r="P978" s="84"/>
      <c r="Q978" s="84"/>
      <c r="R978" s="84"/>
      <c r="S978" s="84"/>
      <c r="T978" s="84"/>
      <c r="U978" s="84"/>
      <c r="V978" s="84"/>
      <c r="W978" s="84"/>
      <c r="X978" s="84"/>
      <c r="Y978" s="84"/>
      <c r="Z978" s="84"/>
    </row>
    <row r="979" spans="1:26" ht="15.75" customHeight="1" x14ac:dyDescent="0.25">
      <c r="A979" s="85"/>
      <c r="B979" s="86"/>
      <c r="C979" s="90"/>
      <c r="D979" s="88"/>
      <c r="E979" s="83"/>
      <c r="F979" s="82"/>
      <c r="G979" s="83"/>
      <c r="H979" s="86"/>
      <c r="I979" s="89"/>
      <c r="J979" s="82"/>
      <c r="K979" s="83"/>
      <c r="O979" s="84"/>
      <c r="P979" s="84"/>
      <c r="Q979" s="84"/>
      <c r="R979" s="84"/>
      <c r="S979" s="84"/>
      <c r="T979" s="84"/>
      <c r="U979" s="84"/>
      <c r="V979" s="84"/>
      <c r="W979" s="84"/>
      <c r="X979" s="84"/>
      <c r="Y979" s="84"/>
      <c r="Z979" s="84"/>
    </row>
    <row r="980" spans="1:26" ht="15.75" customHeight="1" x14ac:dyDescent="0.25">
      <c r="A980" s="85"/>
      <c r="B980" s="86"/>
      <c r="C980" s="90"/>
      <c r="D980" s="88"/>
      <c r="E980" s="83"/>
      <c r="F980" s="82"/>
      <c r="G980" s="83"/>
      <c r="H980" s="86"/>
      <c r="I980" s="89"/>
      <c r="J980" s="82"/>
      <c r="K980" s="83"/>
      <c r="O980" s="84"/>
      <c r="P980" s="84"/>
      <c r="Q980" s="84"/>
      <c r="R980" s="84"/>
      <c r="S980" s="84"/>
      <c r="T980" s="84"/>
      <c r="U980" s="84"/>
      <c r="V980" s="84"/>
      <c r="W980" s="84"/>
      <c r="X980" s="84"/>
      <c r="Y980" s="84"/>
      <c r="Z980" s="84"/>
    </row>
    <row r="981" spans="1:26" ht="15.75" customHeight="1" x14ac:dyDescent="0.25">
      <c r="A981" s="85"/>
      <c r="B981" s="86"/>
      <c r="C981" s="90"/>
      <c r="D981" s="88"/>
      <c r="E981" s="83"/>
      <c r="F981" s="82"/>
      <c r="G981" s="83"/>
      <c r="H981" s="86"/>
      <c r="I981" s="89"/>
      <c r="J981" s="82"/>
      <c r="K981" s="83"/>
      <c r="O981" s="84"/>
      <c r="P981" s="84"/>
      <c r="Q981" s="84"/>
      <c r="R981" s="84"/>
      <c r="S981" s="84"/>
      <c r="T981" s="84"/>
      <c r="U981" s="84"/>
      <c r="V981" s="84"/>
      <c r="W981" s="84"/>
      <c r="X981" s="84"/>
      <c r="Y981" s="84"/>
      <c r="Z981" s="84"/>
    </row>
    <row r="982" spans="1:26" ht="15.75" customHeight="1" x14ac:dyDescent="0.25">
      <c r="A982" s="85"/>
      <c r="B982" s="86"/>
      <c r="C982" s="90"/>
      <c r="D982" s="88"/>
      <c r="E982" s="83"/>
      <c r="F982" s="82"/>
      <c r="G982" s="83"/>
      <c r="H982" s="86"/>
      <c r="I982" s="89"/>
      <c r="J982" s="82"/>
      <c r="K982" s="83"/>
      <c r="O982" s="84"/>
      <c r="P982" s="84"/>
      <c r="Q982" s="84"/>
      <c r="R982" s="84"/>
      <c r="S982" s="84"/>
      <c r="T982" s="84"/>
      <c r="U982" s="84"/>
      <c r="V982" s="84"/>
      <c r="W982" s="84"/>
      <c r="X982" s="84"/>
      <c r="Y982" s="84"/>
      <c r="Z982" s="84"/>
    </row>
    <row r="983" spans="1:26" ht="15.75" customHeight="1" x14ac:dyDescent="0.25">
      <c r="A983" s="85"/>
      <c r="B983" s="86"/>
      <c r="C983" s="90"/>
      <c r="D983" s="88"/>
      <c r="E983" s="83"/>
      <c r="F983" s="82"/>
      <c r="G983" s="83"/>
      <c r="H983" s="86"/>
      <c r="I983" s="89"/>
      <c r="J983" s="82"/>
      <c r="K983" s="83"/>
      <c r="O983" s="84"/>
      <c r="P983" s="84"/>
      <c r="Q983" s="84"/>
      <c r="R983" s="84"/>
      <c r="S983" s="84"/>
      <c r="T983" s="84"/>
      <c r="U983" s="84"/>
      <c r="V983" s="84"/>
      <c r="W983" s="84"/>
      <c r="X983" s="84"/>
      <c r="Y983" s="84"/>
      <c r="Z983" s="84"/>
    </row>
    <row r="984" spans="1:26" ht="15.75" customHeight="1" x14ac:dyDescent="0.25">
      <c r="A984" s="85"/>
      <c r="B984" s="86"/>
      <c r="C984" s="90"/>
      <c r="D984" s="88"/>
      <c r="E984" s="83"/>
      <c r="F984" s="82"/>
      <c r="G984" s="83"/>
      <c r="H984" s="86"/>
      <c r="I984" s="89"/>
      <c r="J984" s="82"/>
      <c r="K984" s="83"/>
      <c r="O984" s="84"/>
      <c r="P984" s="84"/>
      <c r="Q984" s="84"/>
      <c r="R984" s="84"/>
      <c r="S984" s="84"/>
      <c r="T984" s="84"/>
      <c r="U984" s="84"/>
      <c r="V984" s="84"/>
      <c r="W984" s="84"/>
      <c r="X984" s="84"/>
      <c r="Y984" s="84"/>
      <c r="Z984" s="84"/>
    </row>
    <row r="985" spans="1:26" ht="15.75" customHeight="1" x14ac:dyDescent="0.25">
      <c r="A985" s="85"/>
      <c r="B985" s="86"/>
      <c r="C985" s="90"/>
      <c r="D985" s="88"/>
      <c r="E985" s="83"/>
      <c r="F985" s="82"/>
      <c r="G985" s="83"/>
      <c r="H985" s="86"/>
      <c r="I985" s="89"/>
      <c r="J985" s="82"/>
      <c r="K985" s="83"/>
      <c r="O985" s="84"/>
      <c r="P985" s="84"/>
      <c r="Q985" s="84"/>
      <c r="R985" s="84"/>
      <c r="S985" s="84"/>
      <c r="T985" s="84"/>
      <c r="U985" s="84"/>
      <c r="V985" s="84"/>
      <c r="W985" s="84"/>
      <c r="X985" s="84"/>
      <c r="Y985" s="84"/>
      <c r="Z985" s="84"/>
    </row>
    <row r="986" spans="1:26" ht="15.75" customHeight="1" x14ac:dyDescent="0.25">
      <c r="A986" s="85"/>
      <c r="B986" s="86"/>
      <c r="C986" s="90"/>
      <c r="D986" s="88"/>
      <c r="E986" s="83"/>
      <c r="F986" s="82"/>
      <c r="G986" s="83"/>
      <c r="H986" s="86"/>
      <c r="I986" s="89"/>
      <c r="J986" s="82"/>
      <c r="K986" s="83"/>
      <c r="O986" s="84"/>
      <c r="P986" s="84"/>
      <c r="Q986" s="84"/>
      <c r="R986" s="84"/>
      <c r="S986" s="84"/>
      <c r="T986" s="84"/>
      <c r="U986" s="84"/>
      <c r="V986" s="84"/>
      <c r="W986" s="84"/>
      <c r="X986" s="84"/>
      <c r="Y986" s="84"/>
      <c r="Z986" s="84"/>
    </row>
    <row r="987" spans="1:26" ht="15.75" customHeight="1" x14ac:dyDescent="0.25">
      <c r="A987" s="85"/>
      <c r="B987" s="86"/>
      <c r="C987" s="90"/>
      <c r="D987" s="88"/>
      <c r="E987" s="83"/>
      <c r="F987" s="82"/>
      <c r="G987" s="83"/>
      <c r="H987" s="86"/>
      <c r="I987" s="89"/>
      <c r="J987" s="82"/>
      <c r="K987" s="83"/>
      <c r="O987" s="84"/>
      <c r="P987" s="84"/>
      <c r="Q987" s="84"/>
      <c r="R987" s="84"/>
      <c r="S987" s="84"/>
      <c r="T987" s="84"/>
      <c r="U987" s="84"/>
      <c r="V987" s="84"/>
      <c r="W987" s="84"/>
      <c r="X987" s="84"/>
      <c r="Y987" s="84"/>
      <c r="Z987" s="84"/>
    </row>
    <row r="988" spans="1:26" ht="15.75" customHeight="1" x14ac:dyDescent="0.25">
      <c r="A988" s="85"/>
      <c r="B988" s="86"/>
      <c r="C988" s="90"/>
      <c r="D988" s="88"/>
      <c r="E988" s="83"/>
      <c r="F988" s="82"/>
      <c r="G988" s="83"/>
      <c r="H988" s="86"/>
      <c r="I988" s="89"/>
      <c r="J988" s="82"/>
      <c r="K988" s="83"/>
      <c r="O988" s="84"/>
      <c r="P988" s="84"/>
      <c r="Q988" s="84"/>
      <c r="R988" s="84"/>
      <c r="S988" s="84"/>
      <c r="T988" s="84"/>
      <c r="U988" s="84"/>
      <c r="V988" s="84"/>
      <c r="W988" s="84"/>
      <c r="X988" s="84"/>
      <c r="Y988" s="84"/>
      <c r="Z988" s="84"/>
    </row>
    <row r="989" spans="1:26" ht="15.75" customHeight="1" x14ac:dyDescent="0.25">
      <c r="A989" s="85"/>
      <c r="B989" s="86"/>
      <c r="C989" s="90"/>
      <c r="D989" s="88"/>
      <c r="E989" s="83"/>
      <c r="F989" s="82"/>
      <c r="G989" s="83"/>
      <c r="H989" s="86"/>
      <c r="I989" s="89"/>
      <c r="J989" s="82"/>
      <c r="K989" s="83"/>
      <c r="O989" s="84"/>
      <c r="P989" s="84"/>
      <c r="Q989" s="84"/>
      <c r="R989" s="84"/>
      <c r="S989" s="84"/>
      <c r="T989" s="84"/>
      <c r="U989" s="84"/>
      <c r="V989" s="84"/>
      <c r="W989" s="84"/>
      <c r="X989" s="84"/>
      <c r="Y989" s="84"/>
      <c r="Z989" s="84"/>
    </row>
    <row r="990" spans="1:26" ht="15.75" customHeight="1" x14ac:dyDescent="0.25">
      <c r="A990" s="85"/>
      <c r="B990" s="86"/>
      <c r="C990" s="90"/>
      <c r="D990" s="88"/>
      <c r="E990" s="83"/>
      <c r="F990" s="82"/>
      <c r="G990" s="83"/>
      <c r="H990" s="86"/>
      <c r="I990" s="89"/>
      <c r="J990" s="82"/>
      <c r="K990" s="83"/>
      <c r="O990" s="84"/>
      <c r="P990" s="84"/>
      <c r="Q990" s="84"/>
      <c r="R990" s="84"/>
      <c r="S990" s="84"/>
      <c r="T990" s="84"/>
      <c r="U990" s="84"/>
      <c r="V990" s="84"/>
      <c r="W990" s="84"/>
      <c r="X990" s="84"/>
      <c r="Y990" s="84"/>
      <c r="Z990" s="84"/>
    </row>
    <row r="991" spans="1:26" ht="15.75" customHeight="1" x14ac:dyDescent="0.25">
      <c r="A991" s="85"/>
      <c r="B991" s="86"/>
      <c r="C991" s="90"/>
      <c r="D991" s="88"/>
      <c r="E991" s="83"/>
      <c r="F991" s="82"/>
      <c r="G991" s="83"/>
      <c r="H991" s="86"/>
      <c r="I991" s="89"/>
      <c r="J991" s="82"/>
      <c r="K991" s="83"/>
      <c r="O991" s="84"/>
      <c r="P991" s="84"/>
      <c r="Q991" s="84"/>
      <c r="R991" s="84"/>
      <c r="S991" s="84"/>
      <c r="T991" s="84"/>
      <c r="U991" s="84"/>
      <c r="V991" s="84"/>
      <c r="W991" s="84"/>
      <c r="X991" s="84"/>
      <c r="Y991" s="84"/>
      <c r="Z991" s="84"/>
    </row>
    <row r="992" spans="1:26" ht="15.75" customHeight="1" x14ac:dyDescent="0.25">
      <c r="A992" s="85"/>
      <c r="B992" s="86"/>
      <c r="C992" s="90"/>
      <c r="D992" s="88"/>
      <c r="E992" s="83"/>
      <c r="F992" s="82"/>
      <c r="G992" s="83"/>
      <c r="H992" s="86"/>
      <c r="I992" s="89"/>
      <c r="J992" s="82"/>
      <c r="K992" s="83"/>
      <c r="O992" s="84"/>
      <c r="P992" s="84"/>
      <c r="Q992" s="84"/>
      <c r="R992" s="84"/>
      <c r="S992" s="84"/>
      <c r="T992" s="84"/>
      <c r="U992" s="84"/>
      <c r="V992" s="84"/>
      <c r="W992" s="84"/>
      <c r="X992" s="84"/>
      <c r="Y992" s="84"/>
      <c r="Z992" s="84"/>
    </row>
    <row r="993" spans="1:26" ht="15.75" customHeight="1" x14ac:dyDescent="0.25">
      <c r="A993" s="85"/>
      <c r="B993" s="86"/>
      <c r="C993" s="90"/>
      <c r="D993" s="88"/>
      <c r="E993" s="83"/>
      <c r="F993" s="82"/>
      <c r="G993" s="83"/>
      <c r="H993" s="86"/>
      <c r="I993" s="89"/>
      <c r="J993" s="82"/>
      <c r="K993" s="83"/>
      <c r="O993" s="84"/>
      <c r="P993" s="84"/>
      <c r="Q993" s="84"/>
      <c r="R993" s="84"/>
      <c r="S993" s="84"/>
      <c r="T993" s="84"/>
      <c r="U993" s="84"/>
      <c r="V993" s="84"/>
      <c r="W993" s="84"/>
      <c r="X993" s="84"/>
      <c r="Y993" s="84"/>
      <c r="Z993" s="84"/>
    </row>
    <row r="994" spans="1:26" ht="15.75" customHeight="1" x14ac:dyDescent="0.25">
      <c r="A994" s="85"/>
      <c r="B994" s="86"/>
      <c r="C994" s="90"/>
      <c r="D994" s="88"/>
      <c r="E994" s="83"/>
      <c r="F994" s="82"/>
      <c r="G994" s="83"/>
      <c r="H994" s="86"/>
      <c r="I994" s="89"/>
      <c r="J994" s="82"/>
      <c r="K994" s="83"/>
      <c r="O994" s="84"/>
      <c r="P994" s="84"/>
      <c r="Q994" s="84"/>
      <c r="R994" s="84"/>
      <c r="S994" s="84"/>
      <c r="T994" s="84"/>
      <c r="U994" s="84"/>
      <c r="V994" s="84"/>
      <c r="W994" s="84"/>
      <c r="X994" s="84"/>
      <c r="Y994" s="84"/>
      <c r="Z994" s="84"/>
    </row>
    <row r="995" spans="1:26" ht="15.75" customHeight="1" x14ac:dyDescent="0.25">
      <c r="A995" s="85"/>
      <c r="B995" s="86"/>
      <c r="C995" s="90"/>
      <c r="D995" s="88"/>
      <c r="E995" s="83"/>
      <c r="F995" s="82"/>
      <c r="G995" s="83"/>
      <c r="H995" s="86"/>
      <c r="I995" s="89"/>
      <c r="J995" s="82"/>
      <c r="K995" s="83"/>
      <c r="O995" s="84"/>
      <c r="P995" s="84"/>
      <c r="Q995" s="84"/>
      <c r="R995" s="84"/>
      <c r="S995" s="84"/>
      <c r="T995" s="84"/>
      <c r="U995" s="84"/>
      <c r="V995" s="84"/>
      <c r="W995" s="84"/>
      <c r="X995" s="84"/>
      <c r="Y995" s="84"/>
      <c r="Z995" s="84"/>
    </row>
    <row r="996" spans="1:26" ht="15.75" customHeight="1" x14ac:dyDescent="0.25">
      <c r="A996" s="85"/>
      <c r="B996" s="86"/>
      <c r="C996" s="90"/>
      <c r="D996" s="88"/>
      <c r="E996" s="83"/>
      <c r="F996" s="82"/>
      <c r="G996" s="83"/>
      <c r="H996" s="86"/>
      <c r="I996" s="89"/>
      <c r="J996" s="82"/>
      <c r="K996" s="83"/>
      <c r="O996" s="84"/>
      <c r="P996" s="84"/>
      <c r="Q996" s="84"/>
      <c r="R996" s="84"/>
      <c r="S996" s="84"/>
      <c r="T996" s="84"/>
      <c r="U996" s="84"/>
      <c r="V996" s="84"/>
      <c r="W996" s="84"/>
      <c r="X996" s="84"/>
      <c r="Y996" s="84"/>
      <c r="Z996" s="84"/>
    </row>
    <row r="997" spans="1:26" ht="15.75" customHeight="1" x14ac:dyDescent="0.25">
      <c r="A997" s="85"/>
      <c r="B997" s="86"/>
      <c r="C997" s="90"/>
      <c r="D997" s="88"/>
      <c r="E997" s="83"/>
      <c r="F997" s="82"/>
      <c r="G997" s="83"/>
      <c r="H997" s="86"/>
      <c r="I997" s="89"/>
      <c r="J997" s="82"/>
      <c r="K997" s="83"/>
      <c r="O997" s="84"/>
      <c r="P997" s="84"/>
      <c r="Q997" s="84"/>
      <c r="R997" s="84"/>
      <c r="S997" s="84"/>
      <c r="T997" s="84"/>
      <c r="U997" s="84"/>
      <c r="V997" s="84"/>
      <c r="W997" s="84"/>
      <c r="X997" s="84"/>
      <c r="Y997" s="84"/>
      <c r="Z997" s="84"/>
    </row>
    <row r="998" spans="1:26" ht="15.75" customHeight="1" x14ac:dyDescent="0.25">
      <c r="A998" s="85"/>
      <c r="B998" s="86"/>
      <c r="C998" s="90"/>
      <c r="D998" s="88"/>
      <c r="E998" s="83"/>
      <c r="F998" s="82"/>
      <c r="G998" s="83"/>
      <c r="H998" s="86"/>
      <c r="I998" s="89"/>
      <c r="J998" s="82"/>
      <c r="K998" s="83"/>
      <c r="O998" s="84"/>
      <c r="P998" s="84"/>
      <c r="Q998" s="84"/>
      <c r="R998" s="84"/>
      <c r="S998" s="84"/>
      <c r="T998" s="84"/>
      <c r="U998" s="84"/>
      <c r="V998" s="84"/>
      <c r="W998" s="84"/>
      <c r="X998" s="84"/>
      <c r="Y998" s="84"/>
      <c r="Z998" s="84"/>
    </row>
    <row r="999" spans="1:26" ht="15.75" customHeight="1" x14ac:dyDescent="0.25">
      <c r="A999" s="85"/>
      <c r="B999" s="86"/>
      <c r="C999" s="90"/>
      <c r="D999" s="88"/>
      <c r="E999" s="83"/>
      <c r="F999" s="82"/>
      <c r="G999" s="83"/>
      <c r="H999" s="86"/>
      <c r="I999" s="89"/>
      <c r="J999" s="82"/>
      <c r="K999" s="83"/>
      <c r="O999" s="84"/>
      <c r="P999" s="84"/>
      <c r="Q999" s="84"/>
      <c r="R999" s="84"/>
      <c r="S999" s="84"/>
      <c r="T999" s="84"/>
      <c r="U999" s="84"/>
      <c r="V999" s="84"/>
      <c r="W999" s="84"/>
      <c r="X999" s="84"/>
      <c r="Y999" s="84"/>
      <c r="Z999" s="84"/>
    </row>
    <row r="1000" spans="1:26" ht="15.75" customHeight="1" x14ac:dyDescent="0.25">
      <c r="A1000" s="85"/>
      <c r="B1000" s="86"/>
      <c r="C1000" s="90"/>
      <c r="D1000" s="88"/>
      <c r="E1000" s="83"/>
      <c r="F1000" s="82"/>
      <c r="G1000" s="83"/>
      <c r="H1000" s="86"/>
      <c r="I1000" s="89"/>
      <c r="J1000" s="82"/>
      <c r="K1000" s="83"/>
      <c r="O1000" s="84"/>
      <c r="P1000" s="84"/>
      <c r="Q1000" s="84"/>
      <c r="R1000" s="84"/>
      <c r="S1000" s="84"/>
      <c r="T1000" s="84"/>
      <c r="U1000" s="84"/>
      <c r="V1000" s="84"/>
      <c r="W1000" s="84"/>
      <c r="X1000" s="84"/>
      <c r="Y1000" s="84"/>
      <c r="Z1000" s="84"/>
    </row>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92D050"/>
  </sheetPr>
  <dimension ref="A1:Z1000"/>
  <sheetViews>
    <sheetView workbookViewId="0"/>
  </sheetViews>
  <sheetFormatPr defaultColWidth="14.42578125" defaultRowHeight="15" customHeight="1" x14ac:dyDescent="0.25"/>
  <cols>
    <col min="1" max="1" width="17.42578125" customWidth="1"/>
    <col min="2" max="2" width="250" customWidth="1"/>
    <col min="3" max="3" width="90.7109375" hidden="1" customWidth="1"/>
    <col min="4" max="26" width="8.85546875" customWidth="1"/>
  </cols>
  <sheetData>
    <row r="1" spans="1:26" x14ac:dyDescent="0.25">
      <c r="A1" s="9" t="s">
        <v>43</v>
      </c>
      <c r="B1" s="189" t="s">
        <v>70</v>
      </c>
      <c r="C1" s="91" t="s">
        <v>70</v>
      </c>
      <c r="D1" s="91"/>
      <c r="E1" s="91"/>
      <c r="F1" s="91"/>
      <c r="G1" s="91"/>
      <c r="H1" s="91"/>
      <c r="I1" s="91"/>
      <c r="J1" s="91"/>
      <c r="K1" s="91"/>
      <c r="L1" s="91"/>
      <c r="M1" s="91"/>
      <c r="N1" s="91"/>
      <c r="O1" s="91"/>
      <c r="P1" s="91"/>
      <c r="Q1" s="91"/>
      <c r="R1" s="91"/>
      <c r="S1" s="91"/>
      <c r="T1" s="91"/>
      <c r="U1" s="91"/>
      <c r="V1" s="91"/>
      <c r="W1" s="91"/>
      <c r="X1" s="91"/>
      <c r="Y1" s="91"/>
      <c r="Z1" s="91"/>
    </row>
    <row r="2" spans="1:26" x14ac:dyDescent="0.25">
      <c r="A2" s="9" t="s">
        <v>2325</v>
      </c>
      <c r="B2" s="189" t="s">
        <v>2326</v>
      </c>
      <c r="C2" s="91" t="s">
        <v>2327</v>
      </c>
      <c r="D2" s="91"/>
      <c r="E2" s="91"/>
      <c r="F2" s="91"/>
      <c r="G2" s="91"/>
      <c r="H2" s="91"/>
      <c r="I2" s="91"/>
      <c r="J2" s="91"/>
      <c r="K2" s="91"/>
      <c r="L2" s="91"/>
      <c r="M2" s="91"/>
      <c r="N2" s="91"/>
      <c r="O2" s="91"/>
      <c r="P2" s="91"/>
      <c r="Q2" s="91"/>
      <c r="R2" s="91"/>
      <c r="S2" s="91"/>
      <c r="T2" s="91"/>
      <c r="U2" s="91"/>
      <c r="V2" s="91"/>
      <c r="W2" s="91"/>
      <c r="X2" s="91"/>
      <c r="Y2" s="91"/>
      <c r="Z2" s="91"/>
    </row>
    <row r="3" spans="1:26" x14ac:dyDescent="0.25">
      <c r="A3" s="9" t="s">
        <v>2328</v>
      </c>
      <c r="B3" s="189" t="s">
        <v>2329</v>
      </c>
      <c r="C3" s="91" t="s">
        <v>2330</v>
      </c>
      <c r="D3" s="91"/>
      <c r="E3" s="91"/>
      <c r="F3" s="91"/>
      <c r="G3" s="91"/>
      <c r="H3" s="91"/>
      <c r="I3" s="91"/>
      <c r="J3" s="91"/>
      <c r="K3" s="91"/>
      <c r="L3" s="91"/>
      <c r="M3" s="91"/>
      <c r="N3" s="91"/>
      <c r="O3" s="91"/>
      <c r="P3" s="91"/>
      <c r="Q3" s="91"/>
      <c r="R3" s="91"/>
      <c r="S3" s="91"/>
      <c r="T3" s="91"/>
      <c r="U3" s="91"/>
      <c r="V3" s="91"/>
      <c r="W3" s="91"/>
      <c r="X3" s="91"/>
      <c r="Y3" s="91"/>
      <c r="Z3" s="91"/>
    </row>
    <row r="4" spans="1:26" x14ac:dyDescent="0.25">
      <c r="A4" s="9" t="s">
        <v>2331</v>
      </c>
      <c r="B4" s="189" t="s">
        <v>2332</v>
      </c>
      <c r="C4" s="91" t="s">
        <v>2333</v>
      </c>
      <c r="D4" s="91"/>
      <c r="E4" s="91"/>
      <c r="F4" s="91"/>
      <c r="G4" s="91"/>
      <c r="H4" s="91"/>
      <c r="I4" s="91"/>
      <c r="J4" s="91"/>
      <c r="K4" s="91"/>
      <c r="L4" s="91"/>
      <c r="M4" s="91"/>
      <c r="N4" s="91"/>
      <c r="O4" s="91"/>
      <c r="P4" s="91"/>
      <c r="Q4" s="91"/>
      <c r="R4" s="91"/>
      <c r="S4" s="91"/>
      <c r="T4" s="91"/>
      <c r="U4" s="91"/>
      <c r="V4" s="91"/>
      <c r="W4" s="91"/>
      <c r="X4" s="91"/>
      <c r="Y4" s="91"/>
      <c r="Z4" s="91"/>
    </row>
    <row r="5" spans="1:26" x14ac:dyDescent="0.25">
      <c r="A5" s="9" t="s">
        <v>2334</v>
      </c>
      <c r="B5" s="189" t="s">
        <v>2335</v>
      </c>
      <c r="C5" s="91" t="s">
        <v>2336</v>
      </c>
      <c r="D5" s="91"/>
      <c r="E5" s="91"/>
      <c r="F5" s="91"/>
      <c r="G5" s="91"/>
      <c r="H5" s="91"/>
      <c r="I5" s="91"/>
      <c r="J5" s="91"/>
      <c r="K5" s="91"/>
      <c r="L5" s="91"/>
      <c r="M5" s="91"/>
      <c r="N5" s="91"/>
      <c r="O5" s="91"/>
      <c r="P5" s="91"/>
      <c r="Q5" s="91"/>
      <c r="R5" s="91"/>
      <c r="S5" s="91"/>
      <c r="T5" s="91"/>
      <c r="U5" s="91"/>
      <c r="V5" s="91"/>
      <c r="W5" s="91"/>
      <c r="X5" s="91"/>
      <c r="Y5" s="91"/>
      <c r="Z5" s="91"/>
    </row>
    <row r="6" spans="1:26" x14ac:dyDescent="0.25">
      <c r="A6" s="9" t="s">
        <v>2337</v>
      </c>
      <c r="B6" s="189" t="s">
        <v>2338</v>
      </c>
      <c r="C6" s="91" t="s">
        <v>2339</v>
      </c>
      <c r="D6" s="91"/>
      <c r="E6" s="91"/>
      <c r="F6" s="91"/>
      <c r="G6" s="91"/>
      <c r="H6" s="91"/>
      <c r="I6" s="91"/>
      <c r="J6" s="91"/>
      <c r="K6" s="91"/>
      <c r="L6" s="91"/>
      <c r="M6" s="91"/>
      <c r="N6" s="91"/>
      <c r="O6" s="91"/>
      <c r="P6" s="91"/>
      <c r="Q6" s="91"/>
      <c r="R6" s="91"/>
      <c r="S6" s="91"/>
      <c r="T6" s="91"/>
      <c r="U6" s="91"/>
      <c r="V6" s="91"/>
      <c r="W6" s="91"/>
      <c r="X6" s="91"/>
      <c r="Y6" s="91"/>
      <c r="Z6" s="91"/>
    </row>
    <row r="7" spans="1:26" x14ac:dyDescent="0.25">
      <c r="A7" s="9" t="s">
        <v>2340</v>
      </c>
      <c r="B7" s="189" t="s">
        <v>2341</v>
      </c>
      <c r="C7" s="91" t="s">
        <v>2342</v>
      </c>
      <c r="D7" s="91"/>
      <c r="E7" s="91"/>
      <c r="F7" s="91"/>
      <c r="G7" s="91"/>
      <c r="H7" s="91"/>
      <c r="I7" s="91"/>
      <c r="J7" s="91"/>
      <c r="K7" s="91"/>
      <c r="L7" s="91"/>
      <c r="M7" s="91"/>
      <c r="N7" s="91"/>
      <c r="O7" s="91"/>
      <c r="P7" s="91"/>
      <c r="Q7" s="91"/>
      <c r="R7" s="91"/>
      <c r="S7" s="91"/>
      <c r="T7" s="91"/>
      <c r="U7" s="91"/>
      <c r="V7" s="91"/>
      <c r="W7" s="91"/>
      <c r="X7" s="91"/>
      <c r="Y7" s="91"/>
      <c r="Z7" s="91"/>
    </row>
    <row r="8" spans="1:26" x14ac:dyDescent="0.25">
      <c r="A8" s="9" t="s">
        <v>2343</v>
      </c>
      <c r="B8" s="189" t="s">
        <v>2344</v>
      </c>
      <c r="C8" s="91"/>
      <c r="D8" s="91"/>
      <c r="E8" s="91"/>
      <c r="F8" s="91"/>
      <c r="G8" s="91"/>
      <c r="H8" s="91"/>
      <c r="I8" s="91"/>
      <c r="J8" s="91"/>
      <c r="K8" s="91"/>
      <c r="L8" s="91"/>
      <c r="M8" s="91"/>
      <c r="N8" s="91"/>
      <c r="O8" s="91"/>
      <c r="P8" s="91"/>
      <c r="Q8" s="91"/>
      <c r="R8" s="91"/>
      <c r="S8" s="91"/>
      <c r="T8" s="91"/>
      <c r="U8" s="91"/>
      <c r="V8" s="91"/>
      <c r="W8" s="91"/>
      <c r="X8" s="91"/>
      <c r="Y8" s="91"/>
      <c r="Z8" s="91"/>
    </row>
    <row r="9" spans="1:26" x14ac:dyDescent="0.25">
      <c r="A9" s="9" t="s">
        <v>2345</v>
      </c>
      <c r="B9" s="189" t="s">
        <v>2346</v>
      </c>
      <c r="C9" s="91" t="s">
        <v>2347</v>
      </c>
      <c r="D9" s="91"/>
      <c r="E9" s="91"/>
      <c r="F9" s="91"/>
      <c r="G9" s="91"/>
      <c r="H9" s="91"/>
      <c r="I9" s="91"/>
      <c r="J9" s="91"/>
      <c r="K9" s="91"/>
      <c r="L9" s="91"/>
      <c r="M9" s="91"/>
      <c r="N9" s="91"/>
      <c r="O9" s="91"/>
      <c r="P9" s="91"/>
      <c r="Q9" s="91"/>
      <c r="R9" s="91"/>
      <c r="S9" s="91"/>
      <c r="T9" s="91"/>
      <c r="U9" s="91"/>
      <c r="V9" s="91"/>
      <c r="W9" s="91"/>
      <c r="X9" s="91"/>
      <c r="Y9" s="91"/>
      <c r="Z9" s="91"/>
    </row>
    <row r="10" spans="1:26" x14ac:dyDescent="0.25">
      <c r="A10" s="9" t="s">
        <v>2348</v>
      </c>
      <c r="B10" s="189" t="s">
        <v>2349</v>
      </c>
      <c r="C10" s="91" t="s">
        <v>2350</v>
      </c>
      <c r="D10" s="91"/>
      <c r="E10" s="91"/>
      <c r="F10" s="91"/>
      <c r="G10" s="91"/>
      <c r="H10" s="91"/>
      <c r="I10" s="91"/>
      <c r="J10" s="91"/>
      <c r="K10" s="91"/>
      <c r="L10" s="91"/>
      <c r="M10" s="91"/>
      <c r="N10" s="91"/>
      <c r="O10" s="91"/>
      <c r="P10" s="91"/>
      <c r="Q10" s="91"/>
      <c r="R10" s="91"/>
      <c r="S10" s="91"/>
      <c r="T10" s="91"/>
      <c r="U10" s="91"/>
      <c r="V10" s="91"/>
      <c r="W10" s="91"/>
      <c r="X10" s="91"/>
      <c r="Y10" s="91"/>
      <c r="Z10" s="91"/>
    </row>
    <row r="11" spans="1:26" x14ac:dyDescent="0.25">
      <c r="A11" s="9" t="s">
        <v>2351</v>
      </c>
      <c r="B11" s="189" t="s">
        <v>2352</v>
      </c>
      <c r="C11" s="91"/>
      <c r="D11" s="91"/>
      <c r="E11" s="91"/>
      <c r="F11" s="91"/>
      <c r="G11" s="91"/>
      <c r="H11" s="91"/>
      <c r="I11" s="91"/>
      <c r="J11" s="91"/>
      <c r="K11" s="91"/>
      <c r="L11" s="91"/>
      <c r="M11" s="91"/>
      <c r="N11" s="91"/>
      <c r="O11" s="91"/>
      <c r="P11" s="91"/>
      <c r="Q11" s="91"/>
      <c r="R11" s="91"/>
      <c r="S11" s="91"/>
      <c r="T11" s="91"/>
      <c r="U11" s="91"/>
      <c r="V11" s="91"/>
      <c r="W11" s="91"/>
      <c r="X11" s="91"/>
      <c r="Y11" s="91"/>
      <c r="Z11" s="91"/>
    </row>
    <row r="12" spans="1:26" x14ac:dyDescent="0.25">
      <c r="A12" s="9" t="s">
        <v>2353</v>
      </c>
      <c r="B12" s="189" t="s">
        <v>2354</v>
      </c>
      <c r="C12" s="91" t="s">
        <v>2355</v>
      </c>
      <c r="D12" s="91"/>
      <c r="E12" s="91"/>
      <c r="F12" s="91"/>
      <c r="G12" s="91"/>
      <c r="H12" s="91"/>
      <c r="I12" s="91"/>
      <c r="J12" s="91"/>
      <c r="K12" s="91"/>
      <c r="L12" s="91"/>
      <c r="M12" s="91"/>
      <c r="N12" s="91"/>
      <c r="O12" s="91"/>
      <c r="P12" s="91"/>
      <c r="Q12" s="91"/>
      <c r="R12" s="91"/>
      <c r="S12" s="91"/>
      <c r="T12" s="91"/>
      <c r="U12" s="91"/>
      <c r="V12" s="91"/>
      <c r="W12" s="91"/>
      <c r="X12" s="91"/>
      <c r="Y12" s="91"/>
      <c r="Z12" s="91"/>
    </row>
    <row r="13" spans="1:26" x14ac:dyDescent="0.25">
      <c r="A13" s="9" t="s">
        <v>2356</v>
      </c>
      <c r="B13" s="189" t="s">
        <v>2357</v>
      </c>
      <c r="C13" s="91"/>
      <c r="D13" s="91"/>
      <c r="E13" s="91"/>
      <c r="F13" s="91"/>
      <c r="G13" s="91"/>
      <c r="H13" s="91"/>
      <c r="I13" s="91"/>
      <c r="J13" s="91"/>
      <c r="K13" s="91"/>
      <c r="L13" s="91"/>
      <c r="M13" s="91"/>
      <c r="N13" s="91"/>
      <c r="O13" s="91"/>
      <c r="P13" s="91"/>
      <c r="Q13" s="91"/>
      <c r="R13" s="91"/>
      <c r="S13" s="91"/>
      <c r="T13" s="91"/>
      <c r="U13" s="91"/>
      <c r="V13" s="91"/>
      <c r="W13" s="91"/>
      <c r="X13" s="91"/>
      <c r="Y13" s="91"/>
      <c r="Z13" s="91"/>
    </row>
    <row r="14" spans="1:26" x14ac:dyDescent="0.25">
      <c r="A14" s="9" t="s">
        <v>2358</v>
      </c>
      <c r="B14" s="189" t="s">
        <v>2359</v>
      </c>
      <c r="C14" s="91" t="s">
        <v>2360</v>
      </c>
      <c r="D14" s="91"/>
      <c r="E14" s="91"/>
      <c r="F14" s="91"/>
      <c r="G14" s="91"/>
      <c r="H14" s="91"/>
      <c r="I14" s="91"/>
      <c r="J14" s="91"/>
      <c r="K14" s="91"/>
      <c r="L14" s="91"/>
      <c r="M14" s="91"/>
      <c r="N14" s="91"/>
      <c r="O14" s="91"/>
      <c r="P14" s="91"/>
      <c r="Q14" s="91"/>
      <c r="R14" s="91"/>
      <c r="S14" s="91"/>
      <c r="T14" s="91"/>
      <c r="U14" s="91"/>
      <c r="V14" s="91"/>
      <c r="W14" s="91"/>
      <c r="X14" s="91"/>
      <c r="Y14" s="91"/>
      <c r="Z14" s="91"/>
    </row>
    <row r="15" spans="1:26" x14ac:dyDescent="0.25">
      <c r="A15" s="9" t="s">
        <v>2361</v>
      </c>
      <c r="B15" s="189" t="s">
        <v>2362</v>
      </c>
      <c r="C15" s="91" t="s">
        <v>2363</v>
      </c>
      <c r="D15" s="91"/>
      <c r="E15" s="91"/>
      <c r="F15" s="91"/>
      <c r="G15" s="91"/>
      <c r="H15" s="91"/>
      <c r="I15" s="91"/>
      <c r="J15" s="91"/>
      <c r="K15" s="91"/>
      <c r="L15" s="91"/>
      <c r="M15" s="91"/>
      <c r="N15" s="91"/>
      <c r="O15" s="91"/>
      <c r="P15" s="91"/>
      <c r="Q15" s="91"/>
      <c r="R15" s="91"/>
      <c r="S15" s="91"/>
      <c r="T15" s="91"/>
      <c r="U15" s="91"/>
      <c r="V15" s="91"/>
      <c r="W15" s="91"/>
      <c r="X15" s="91"/>
      <c r="Y15" s="91"/>
      <c r="Z15" s="91"/>
    </row>
    <row r="16" spans="1:26" x14ac:dyDescent="0.25">
      <c r="A16" s="9" t="s">
        <v>2364</v>
      </c>
      <c r="B16" s="189" t="s">
        <v>2365</v>
      </c>
      <c r="C16" s="91" t="s">
        <v>2366</v>
      </c>
      <c r="D16" s="91"/>
      <c r="E16" s="91"/>
      <c r="F16" s="91"/>
      <c r="G16" s="91"/>
      <c r="H16" s="91"/>
      <c r="I16" s="91"/>
      <c r="J16" s="91"/>
      <c r="K16" s="91"/>
      <c r="L16" s="91"/>
      <c r="M16" s="91"/>
      <c r="N16" s="91"/>
      <c r="O16" s="91"/>
      <c r="P16" s="91"/>
      <c r="Q16" s="91"/>
      <c r="R16" s="91"/>
      <c r="S16" s="91"/>
      <c r="T16" s="91"/>
      <c r="U16" s="91"/>
      <c r="V16" s="91"/>
      <c r="W16" s="91"/>
      <c r="X16" s="91"/>
      <c r="Y16" s="91"/>
      <c r="Z16" s="91"/>
    </row>
    <row r="17" spans="1:26" x14ac:dyDescent="0.25">
      <c r="A17" s="9" t="s">
        <v>2367</v>
      </c>
      <c r="B17" s="189" t="s">
        <v>2368</v>
      </c>
      <c r="C17" s="91" t="s">
        <v>2369</v>
      </c>
      <c r="D17" s="91"/>
      <c r="E17" s="91"/>
      <c r="F17" s="91"/>
      <c r="G17" s="91"/>
      <c r="H17" s="91"/>
      <c r="I17" s="91"/>
      <c r="J17" s="91"/>
      <c r="K17" s="91"/>
      <c r="L17" s="91"/>
      <c r="M17" s="91"/>
      <c r="N17" s="91"/>
      <c r="O17" s="91"/>
      <c r="P17" s="91"/>
      <c r="Q17" s="91"/>
      <c r="R17" s="91"/>
      <c r="S17" s="91"/>
      <c r="T17" s="91"/>
      <c r="U17" s="91"/>
      <c r="V17" s="91"/>
      <c r="W17" s="91"/>
      <c r="X17" s="91"/>
      <c r="Y17" s="91"/>
      <c r="Z17" s="91"/>
    </row>
    <row r="18" spans="1:26" x14ac:dyDescent="0.25">
      <c r="A18" s="9" t="s">
        <v>2370</v>
      </c>
      <c r="B18" s="189" t="s">
        <v>2371</v>
      </c>
      <c r="C18" s="91" t="s">
        <v>2372</v>
      </c>
      <c r="D18" s="91"/>
      <c r="E18" s="91"/>
      <c r="F18" s="91"/>
      <c r="G18" s="91"/>
      <c r="H18" s="91"/>
      <c r="I18" s="91"/>
      <c r="J18" s="91"/>
      <c r="K18" s="91"/>
      <c r="L18" s="91"/>
      <c r="M18" s="91"/>
      <c r="N18" s="91"/>
      <c r="O18" s="91"/>
      <c r="P18" s="91"/>
      <c r="Q18" s="91"/>
      <c r="R18" s="91"/>
      <c r="S18" s="91"/>
      <c r="T18" s="91"/>
      <c r="U18" s="91"/>
      <c r="V18" s="91"/>
      <c r="W18" s="91"/>
      <c r="X18" s="91"/>
      <c r="Y18" s="91"/>
      <c r="Z18" s="91"/>
    </row>
    <row r="19" spans="1:26" x14ac:dyDescent="0.25">
      <c r="A19" s="9" t="s">
        <v>2373</v>
      </c>
      <c r="B19" s="189" t="s">
        <v>2374</v>
      </c>
      <c r="C19" s="91" t="s">
        <v>2375</v>
      </c>
      <c r="D19" s="91"/>
      <c r="E19" s="91"/>
      <c r="F19" s="91"/>
      <c r="G19" s="91"/>
      <c r="H19" s="91"/>
      <c r="I19" s="91"/>
      <c r="J19" s="91"/>
      <c r="K19" s="91"/>
      <c r="L19" s="91"/>
      <c r="M19" s="91"/>
      <c r="N19" s="91"/>
      <c r="O19" s="91"/>
      <c r="P19" s="91"/>
      <c r="Q19" s="91"/>
      <c r="R19" s="91"/>
      <c r="S19" s="91"/>
      <c r="T19" s="91"/>
      <c r="U19" s="91"/>
      <c r="V19" s="91"/>
      <c r="W19" s="91"/>
      <c r="X19" s="91"/>
      <c r="Y19" s="91"/>
      <c r="Z19" s="91"/>
    </row>
    <row r="20" spans="1:26" x14ac:dyDescent="0.25">
      <c r="A20" s="9" t="s">
        <v>2376</v>
      </c>
      <c r="B20" s="189" t="s">
        <v>2377</v>
      </c>
      <c r="C20" s="91"/>
      <c r="D20" s="91"/>
      <c r="E20" s="91"/>
      <c r="F20" s="91"/>
      <c r="G20" s="91"/>
      <c r="H20" s="91"/>
      <c r="I20" s="91"/>
      <c r="J20" s="91"/>
      <c r="K20" s="91"/>
      <c r="L20" s="91"/>
      <c r="M20" s="91"/>
      <c r="N20" s="91"/>
      <c r="O20" s="91"/>
      <c r="P20" s="91"/>
      <c r="Q20" s="91"/>
      <c r="R20" s="91"/>
      <c r="S20" s="91"/>
      <c r="T20" s="91"/>
      <c r="U20" s="91"/>
      <c r="V20" s="91"/>
      <c r="W20" s="91"/>
      <c r="X20" s="91"/>
      <c r="Y20" s="91"/>
      <c r="Z20" s="91"/>
    </row>
    <row r="21" spans="1:26" ht="15.75" customHeight="1" x14ac:dyDescent="0.25">
      <c r="A21" s="9" t="s">
        <v>2378</v>
      </c>
      <c r="B21" s="189" t="s">
        <v>2379</v>
      </c>
      <c r="C21" s="91" t="s">
        <v>2380</v>
      </c>
      <c r="D21" s="91"/>
      <c r="E21" s="91"/>
      <c r="F21" s="91"/>
      <c r="G21" s="91"/>
      <c r="H21" s="91"/>
      <c r="I21" s="91"/>
      <c r="J21" s="91"/>
      <c r="K21" s="91"/>
      <c r="L21" s="91"/>
      <c r="M21" s="91"/>
      <c r="N21" s="91"/>
      <c r="O21" s="91"/>
      <c r="P21" s="91"/>
      <c r="Q21" s="91"/>
      <c r="R21" s="91"/>
      <c r="S21" s="91"/>
      <c r="T21" s="91"/>
      <c r="U21" s="91"/>
      <c r="V21" s="91"/>
      <c r="W21" s="91"/>
      <c r="X21" s="91"/>
      <c r="Y21" s="91"/>
      <c r="Z21" s="91"/>
    </row>
    <row r="22" spans="1:26" ht="15.75" customHeight="1" x14ac:dyDescent="0.25">
      <c r="A22" s="9" t="s">
        <v>2381</v>
      </c>
      <c r="B22" s="189" t="s">
        <v>2382</v>
      </c>
      <c r="C22" s="91" t="s">
        <v>2383</v>
      </c>
      <c r="D22" s="91"/>
      <c r="E22" s="91"/>
      <c r="F22" s="91"/>
      <c r="G22" s="91"/>
      <c r="H22" s="91"/>
      <c r="I22" s="91"/>
      <c r="J22" s="91"/>
      <c r="K22" s="91"/>
      <c r="L22" s="91"/>
      <c r="M22" s="91"/>
      <c r="N22" s="91"/>
      <c r="O22" s="91"/>
      <c r="P22" s="91"/>
      <c r="Q22" s="91"/>
      <c r="R22" s="91"/>
      <c r="S22" s="91"/>
      <c r="T22" s="91"/>
      <c r="U22" s="91"/>
      <c r="V22" s="91"/>
      <c r="W22" s="91"/>
      <c r="X22" s="91"/>
      <c r="Y22" s="91"/>
      <c r="Z22" s="91"/>
    </row>
    <row r="23" spans="1:26" ht="15.75" customHeight="1" x14ac:dyDescent="0.25">
      <c r="A23" s="9" t="s">
        <v>2384</v>
      </c>
      <c r="B23" s="189" t="s">
        <v>2385</v>
      </c>
      <c r="C23" s="91" t="s">
        <v>2386</v>
      </c>
      <c r="D23" s="91"/>
      <c r="E23" s="91"/>
      <c r="F23" s="91"/>
      <c r="G23" s="91"/>
      <c r="H23" s="91"/>
      <c r="I23" s="91"/>
      <c r="J23" s="91"/>
      <c r="K23" s="91"/>
      <c r="L23" s="91"/>
      <c r="M23" s="91"/>
      <c r="N23" s="91"/>
      <c r="O23" s="91"/>
      <c r="P23" s="91"/>
      <c r="Q23" s="91"/>
      <c r="R23" s="91"/>
      <c r="S23" s="91"/>
      <c r="T23" s="91"/>
      <c r="U23" s="91"/>
      <c r="V23" s="91"/>
      <c r="W23" s="91"/>
      <c r="X23" s="91"/>
      <c r="Y23" s="91"/>
      <c r="Z23" s="91"/>
    </row>
    <row r="24" spans="1:26" ht="15.75" customHeight="1" x14ac:dyDescent="0.25">
      <c r="A24" s="9" t="s">
        <v>2387</v>
      </c>
      <c r="B24" s="189" t="s">
        <v>2388</v>
      </c>
      <c r="C24" s="91" t="s">
        <v>2389</v>
      </c>
      <c r="D24" s="91"/>
      <c r="E24" s="91"/>
      <c r="F24" s="91"/>
      <c r="G24" s="91"/>
      <c r="H24" s="91"/>
      <c r="I24" s="91"/>
      <c r="J24" s="91"/>
      <c r="K24" s="91"/>
      <c r="L24" s="91"/>
      <c r="M24" s="91"/>
      <c r="N24" s="91"/>
      <c r="O24" s="91"/>
      <c r="P24" s="91"/>
      <c r="Q24" s="91"/>
      <c r="R24" s="91"/>
      <c r="S24" s="91"/>
      <c r="T24" s="91"/>
      <c r="U24" s="91"/>
      <c r="V24" s="91"/>
      <c r="W24" s="91"/>
      <c r="X24" s="91"/>
      <c r="Y24" s="91"/>
      <c r="Z24" s="91"/>
    </row>
    <row r="25" spans="1:26" ht="15.75" customHeight="1" x14ac:dyDescent="0.25">
      <c r="A25" s="9" t="s">
        <v>2390</v>
      </c>
      <c r="B25" s="189" t="s">
        <v>2391</v>
      </c>
      <c r="C25" s="91" t="s">
        <v>2392</v>
      </c>
      <c r="D25" s="91"/>
      <c r="E25" s="91"/>
      <c r="F25" s="91"/>
      <c r="G25" s="91"/>
      <c r="H25" s="91"/>
      <c r="I25" s="91"/>
      <c r="J25" s="91"/>
      <c r="K25" s="91"/>
      <c r="L25" s="91"/>
      <c r="M25" s="91"/>
      <c r="N25" s="91"/>
      <c r="O25" s="91"/>
      <c r="P25" s="91"/>
      <c r="Q25" s="91"/>
      <c r="R25" s="91"/>
      <c r="S25" s="91"/>
      <c r="T25" s="91"/>
      <c r="U25" s="91"/>
      <c r="V25" s="91"/>
      <c r="W25" s="91"/>
      <c r="X25" s="91"/>
      <c r="Y25" s="91"/>
      <c r="Z25" s="91"/>
    </row>
    <row r="26" spans="1:26" ht="15.75" customHeight="1" x14ac:dyDescent="0.25">
      <c r="A26" s="9" t="s">
        <v>2393</v>
      </c>
      <c r="B26" s="189" t="s">
        <v>2394</v>
      </c>
      <c r="C26" s="91" t="s">
        <v>2395</v>
      </c>
      <c r="D26" s="91"/>
      <c r="E26" s="91"/>
      <c r="F26" s="91"/>
      <c r="G26" s="91"/>
      <c r="H26" s="91"/>
      <c r="I26" s="91"/>
      <c r="J26" s="91"/>
      <c r="K26" s="91"/>
      <c r="L26" s="91"/>
      <c r="M26" s="91"/>
      <c r="N26" s="91"/>
      <c r="O26" s="91"/>
      <c r="P26" s="91"/>
      <c r="Q26" s="91"/>
      <c r="R26" s="91"/>
      <c r="S26" s="91"/>
      <c r="T26" s="91"/>
      <c r="U26" s="91"/>
      <c r="V26" s="91"/>
      <c r="W26" s="91"/>
      <c r="X26" s="91"/>
      <c r="Y26" s="91"/>
      <c r="Z26" s="91"/>
    </row>
    <row r="27" spans="1:26" ht="15.75" customHeight="1" x14ac:dyDescent="0.25">
      <c r="A27" s="9" t="s">
        <v>2396</v>
      </c>
      <c r="B27" s="189" t="s">
        <v>2397</v>
      </c>
      <c r="C27" s="91" t="s">
        <v>2398</v>
      </c>
      <c r="D27" s="91"/>
      <c r="E27" s="91"/>
      <c r="F27" s="91"/>
      <c r="G27" s="91"/>
      <c r="H27" s="91"/>
      <c r="I27" s="91"/>
      <c r="J27" s="91"/>
      <c r="K27" s="91"/>
      <c r="L27" s="91"/>
      <c r="M27" s="91"/>
      <c r="N27" s="91"/>
      <c r="O27" s="91"/>
      <c r="P27" s="91"/>
      <c r="Q27" s="91"/>
      <c r="R27" s="91"/>
      <c r="S27" s="91"/>
      <c r="T27" s="91"/>
      <c r="U27" s="91"/>
      <c r="V27" s="91"/>
      <c r="W27" s="91"/>
      <c r="X27" s="91"/>
      <c r="Y27" s="91"/>
      <c r="Z27" s="91"/>
    </row>
    <row r="28" spans="1:26" ht="15.75" customHeight="1" x14ac:dyDescent="0.25">
      <c r="A28" s="9" t="s">
        <v>2399</v>
      </c>
      <c r="B28" s="189" t="s">
        <v>2400</v>
      </c>
      <c r="C28" s="91"/>
      <c r="D28" s="91"/>
      <c r="E28" s="91"/>
      <c r="F28" s="91"/>
      <c r="G28" s="91"/>
      <c r="H28" s="91"/>
      <c r="I28" s="91"/>
      <c r="J28" s="91"/>
      <c r="K28" s="91"/>
      <c r="L28" s="91"/>
      <c r="M28" s="91"/>
      <c r="N28" s="91"/>
      <c r="O28" s="91"/>
      <c r="P28" s="91"/>
      <c r="Q28" s="91"/>
      <c r="R28" s="91"/>
      <c r="S28" s="91"/>
      <c r="T28" s="91"/>
      <c r="U28" s="91"/>
      <c r="V28" s="91"/>
      <c r="W28" s="91"/>
      <c r="X28" s="91"/>
      <c r="Y28" s="91"/>
      <c r="Z28" s="91"/>
    </row>
    <row r="29" spans="1:26" ht="15.75" customHeight="1" x14ac:dyDescent="0.25">
      <c r="A29" s="9" t="s">
        <v>2401</v>
      </c>
      <c r="B29" s="189" t="s">
        <v>2402</v>
      </c>
      <c r="C29" s="91" t="s">
        <v>2403</v>
      </c>
      <c r="D29" s="91"/>
      <c r="E29" s="91"/>
      <c r="F29" s="91"/>
      <c r="G29" s="91"/>
      <c r="H29" s="91"/>
      <c r="I29" s="91"/>
      <c r="J29" s="91"/>
      <c r="K29" s="91"/>
      <c r="L29" s="91"/>
      <c r="M29" s="91"/>
      <c r="N29" s="91"/>
      <c r="O29" s="91"/>
      <c r="P29" s="91"/>
      <c r="Q29" s="91"/>
      <c r="R29" s="91"/>
      <c r="S29" s="91"/>
      <c r="T29" s="91"/>
      <c r="U29" s="91"/>
      <c r="V29" s="91"/>
      <c r="W29" s="91"/>
      <c r="X29" s="91"/>
      <c r="Y29" s="91"/>
      <c r="Z29" s="91"/>
    </row>
    <row r="30" spans="1:26" ht="15.75" customHeight="1" x14ac:dyDescent="0.25">
      <c r="A30" s="9" t="s">
        <v>2404</v>
      </c>
      <c r="B30" s="189" t="s">
        <v>2405</v>
      </c>
      <c r="C30" s="91" t="s">
        <v>2406</v>
      </c>
      <c r="D30" s="91"/>
      <c r="E30" s="91"/>
      <c r="F30" s="91"/>
      <c r="G30" s="91"/>
      <c r="H30" s="91"/>
      <c r="I30" s="91"/>
      <c r="J30" s="91"/>
      <c r="K30" s="91"/>
      <c r="L30" s="91"/>
      <c r="M30" s="91"/>
      <c r="N30" s="91"/>
      <c r="O30" s="91"/>
      <c r="P30" s="91"/>
      <c r="Q30" s="91"/>
      <c r="R30" s="91"/>
      <c r="S30" s="91"/>
      <c r="T30" s="91"/>
      <c r="U30" s="91"/>
      <c r="V30" s="91"/>
      <c r="W30" s="91"/>
      <c r="X30" s="91"/>
      <c r="Y30" s="91"/>
      <c r="Z30" s="91"/>
    </row>
    <row r="31" spans="1:26" ht="15.75" customHeight="1" x14ac:dyDescent="0.25">
      <c r="A31" s="9" t="s">
        <v>2407</v>
      </c>
      <c r="B31" s="189" t="s">
        <v>2335</v>
      </c>
      <c r="C31" s="91" t="s">
        <v>2336</v>
      </c>
      <c r="D31" s="91"/>
      <c r="E31" s="91"/>
      <c r="F31" s="91"/>
      <c r="G31" s="91"/>
      <c r="H31" s="91"/>
      <c r="I31" s="91"/>
      <c r="J31" s="91"/>
      <c r="K31" s="91"/>
      <c r="L31" s="91"/>
      <c r="M31" s="91"/>
      <c r="N31" s="91"/>
      <c r="O31" s="91"/>
      <c r="P31" s="91"/>
      <c r="Q31" s="91"/>
      <c r="R31" s="91"/>
      <c r="S31" s="91"/>
      <c r="T31" s="91"/>
      <c r="U31" s="91"/>
      <c r="V31" s="91"/>
      <c r="W31" s="91"/>
      <c r="X31" s="91"/>
      <c r="Y31" s="91"/>
      <c r="Z31" s="91"/>
    </row>
    <row r="32" spans="1:26" ht="15.75" customHeight="1" x14ac:dyDescent="0.25">
      <c r="A32" s="9" t="s">
        <v>2408</v>
      </c>
      <c r="B32" s="189" t="s">
        <v>2409</v>
      </c>
      <c r="C32" s="91" t="s">
        <v>2410</v>
      </c>
      <c r="D32" s="91"/>
      <c r="E32" s="91"/>
      <c r="F32" s="91"/>
      <c r="G32" s="91"/>
      <c r="H32" s="91"/>
      <c r="I32" s="91"/>
      <c r="J32" s="91"/>
      <c r="K32" s="91"/>
      <c r="L32" s="91"/>
      <c r="M32" s="91"/>
      <c r="N32" s="91"/>
      <c r="O32" s="91"/>
      <c r="P32" s="91"/>
      <c r="Q32" s="91"/>
      <c r="R32" s="91"/>
      <c r="S32" s="91"/>
      <c r="T32" s="91"/>
      <c r="U32" s="91"/>
      <c r="V32" s="91"/>
      <c r="W32" s="91"/>
      <c r="X32" s="91"/>
      <c r="Y32" s="91"/>
      <c r="Z32" s="91"/>
    </row>
    <row r="33" spans="1:26" ht="15.75" customHeight="1" x14ac:dyDescent="0.25">
      <c r="A33" s="9" t="s">
        <v>2411</v>
      </c>
      <c r="B33" s="189" t="s">
        <v>2412</v>
      </c>
      <c r="C33" s="91" t="s">
        <v>2413</v>
      </c>
      <c r="D33" s="91"/>
      <c r="E33" s="91"/>
      <c r="F33" s="91"/>
      <c r="G33" s="91"/>
      <c r="H33" s="91"/>
      <c r="I33" s="91"/>
      <c r="J33" s="91"/>
      <c r="K33" s="91"/>
      <c r="L33" s="91"/>
      <c r="M33" s="91"/>
      <c r="N33" s="91"/>
      <c r="O33" s="91"/>
      <c r="P33" s="91"/>
      <c r="Q33" s="91"/>
      <c r="R33" s="91"/>
      <c r="S33" s="91"/>
      <c r="T33" s="91"/>
      <c r="U33" s="91"/>
      <c r="V33" s="91"/>
      <c r="W33" s="91"/>
      <c r="X33" s="91"/>
      <c r="Y33" s="91"/>
      <c r="Z33" s="91"/>
    </row>
    <row r="34" spans="1:26" ht="15.75" customHeight="1" x14ac:dyDescent="0.25">
      <c r="A34" s="9" t="s">
        <v>2414</v>
      </c>
      <c r="B34" s="189" t="s">
        <v>2415</v>
      </c>
      <c r="C34" s="91"/>
      <c r="D34" s="91"/>
      <c r="E34" s="91"/>
      <c r="F34" s="91"/>
      <c r="G34" s="91"/>
      <c r="H34" s="91"/>
      <c r="I34" s="91"/>
      <c r="J34" s="91"/>
      <c r="K34" s="91"/>
      <c r="L34" s="91"/>
      <c r="M34" s="91"/>
      <c r="N34" s="91"/>
      <c r="O34" s="91"/>
      <c r="P34" s="91"/>
      <c r="Q34" s="91"/>
      <c r="R34" s="91"/>
      <c r="S34" s="91"/>
      <c r="T34" s="91"/>
      <c r="U34" s="91"/>
      <c r="V34" s="91"/>
      <c r="W34" s="91"/>
      <c r="X34" s="91"/>
      <c r="Y34" s="91"/>
      <c r="Z34" s="91"/>
    </row>
    <row r="35" spans="1:26" ht="15.75" customHeight="1" x14ac:dyDescent="0.25">
      <c r="A35" s="9" t="s">
        <v>2416</v>
      </c>
      <c r="B35" s="189" t="s">
        <v>2417</v>
      </c>
      <c r="C35" s="91" t="s">
        <v>2418</v>
      </c>
      <c r="D35" s="91"/>
      <c r="E35" s="91"/>
      <c r="F35" s="91"/>
      <c r="G35" s="91"/>
      <c r="H35" s="91"/>
      <c r="I35" s="91"/>
      <c r="J35" s="91"/>
      <c r="K35" s="91"/>
      <c r="L35" s="91"/>
      <c r="M35" s="91"/>
      <c r="N35" s="91"/>
      <c r="O35" s="91"/>
      <c r="P35" s="91"/>
      <c r="Q35" s="91"/>
      <c r="R35" s="91"/>
      <c r="S35" s="91"/>
      <c r="T35" s="91"/>
      <c r="U35" s="91"/>
      <c r="V35" s="91"/>
      <c r="W35" s="91"/>
      <c r="X35" s="91"/>
      <c r="Y35" s="91"/>
      <c r="Z35" s="91"/>
    </row>
    <row r="36" spans="1:26" ht="15.75" customHeight="1" x14ac:dyDescent="0.25">
      <c r="A36" s="9" t="s">
        <v>2419</v>
      </c>
      <c r="B36" s="189" t="s">
        <v>2420</v>
      </c>
      <c r="C36" s="91" t="s">
        <v>2421</v>
      </c>
      <c r="D36" s="91"/>
      <c r="E36" s="91"/>
      <c r="F36" s="91"/>
      <c r="G36" s="91"/>
      <c r="H36" s="91"/>
      <c r="I36" s="91"/>
      <c r="J36" s="91"/>
      <c r="K36" s="91"/>
      <c r="L36" s="91"/>
      <c r="M36" s="91"/>
      <c r="N36" s="91"/>
      <c r="O36" s="91"/>
      <c r="P36" s="91"/>
      <c r="Q36" s="91"/>
      <c r="R36" s="91"/>
      <c r="S36" s="91"/>
      <c r="T36" s="91"/>
      <c r="U36" s="91"/>
      <c r="V36" s="91"/>
      <c r="W36" s="91"/>
      <c r="X36" s="91"/>
      <c r="Y36" s="91"/>
      <c r="Z36" s="91"/>
    </row>
    <row r="37" spans="1:26" ht="15.75" customHeight="1" x14ac:dyDescent="0.25">
      <c r="A37" s="9" t="s">
        <v>2422</v>
      </c>
      <c r="B37" s="189" t="s">
        <v>2423</v>
      </c>
      <c r="C37" s="91" t="s">
        <v>2424</v>
      </c>
      <c r="D37" s="91"/>
      <c r="E37" s="91"/>
      <c r="F37" s="91"/>
      <c r="G37" s="91"/>
      <c r="H37" s="91"/>
      <c r="I37" s="91"/>
      <c r="J37" s="91"/>
      <c r="K37" s="91"/>
      <c r="L37" s="91"/>
      <c r="M37" s="91"/>
      <c r="N37" s="91"/>
      <c r="O37" s="91"/>
      <c r="P37" s="91"/>
      <c r="Q37" s="91"/>
      <c r="R37" s="91"/>
      <c r="S37" s="91"/>
      <c r="T37" s="91"/>
      <c r="U37" s="91"/>
      <c r="V37" s="91"/>
      <c r="W37" s="91"/>
      <c r="X37" s="91"/>
      <c r="Y37" s="91"/>
      <c r="Z37" s="91"/>
    </row>
    <row r="38" spans="1:26" ht="15.75" customHeight="1" x14ac:dyDescent="0.25">
      <c r="A38" s="9" t="s">
        <v>2425</v>
      </c>
      <c r="B38" s="189" t="s">
        <v>2426</v>
      </c>
      <c r="C38" s="91" t="s">
        <v>2427</v>
      </c>
      <c r="D38" s="91"/>
      <c r="E38" s="91"/>
      <c r="F38" s="91"/>
      <c r="G38" s="91"/>
      <c r="H38" s="91"/>
      <c r="I38" s="91"/>
      <c r="J38" s="91"/>
      <c r="K38" s="91"/>
      <c r="L38" s="91"/>
      <c r="M38" s="91"/>
      <c r="N38" s="91"/>
      <c r="O38" s="91"/>
      <c r="P38" s="91"/>
      <c r="Q38" s="91"/>
      <c r="R38" s="91"/>
      <c r="S38" s="91"/>
      <c r="T38" s="91"/>
      <c r="U38" s="91"/>
      <c r="V38" s="91"/>
      <c r="W38" s="91"/>
      <c r="X38" s="91"/>
      <c r="Y38" s="91"/>
      <c r="Z38" s="91"/>
    </row>
    <row r="39" spans="1:26" ht="15.75" customHeight="1" x14ac:dyDescent="0.25">
      <c r="A39" s="9" t="s">
        <v>2428</v>
      </c>
      <c r="B39" s="189" t="s">
        <v>2429</v>
      </c>
      <c r="C39" s="91"/>
      <c r="D39" s="91"/>
      <c r="E39" s="91"/>
      <c r="F39" s="91"/>
      <c r="G39" s="91"/>
      <c r="H39" s="91"/>
      <c r="I39" s="91"/>
      <c r="J39" s="91"/>
      <c r="K39" s="91"/>
      <c r="L39" s="91"/>
      <c r="M39" s="91"/>
      <c r="N39" s="91"/>
      <c r="O39" s="91"/>
      <c r="P39" s="91"/>
      <c r="Q39" s="91"/>
      <c r="R39" s="91"/>
      <c r="S39" s="91"/>
      <c r="T39" s="91"/>
      <c r="U39" s="91"/>
      <c r="V39" s="91"/>
      <c r="W39" s="91"/>
      <c r="X39" s="91"/>
      <c r="Y39" s="91"/>
      <c r="Z39" s="91"/>
    </row>
    <row r="40" spans="1:26" ht="15.75" customHeight="1" x14ac:dyDescent="0.25">
      <c r="A40" s="9" t="s">
        <v>2430</v>
      </c>
      <c r="B40" s="189" t="s">
        <v>2431</v>
      </c>
      <c r="C40" s="91" t="s">
        <v>2432</v>
      </c>
      <c r="D40" s="91"/>
      <c r="E40" s="91"/>
      <c r="F40" s="91"/>
      <c r="G40" s="91"/>
      <c r="H40" s="91"/>
      <c r="I40" s="91"/>
      <c r="J40" s="91"/>
      <c r="K40" s="91"/>
      <c r="L40" s="91"/>
      <c r="M40" s="91"/>
      <c r="N40" s="91"/>
      <c r="O40" s="91"/>
      <c r="P40" s="91"/>
      <c r="Q40" s="91"/>
      <c r="R40" s="91"/>
      <c r="S40" s="91"/>
      <c r="T40" s="91"/>
      <c r="U40" s="91"/>
      <c r="V40" s="91"/>
      <c r="W40" s="91"/>
      <c r="X40" s="91"/>
      <c r="Y40" s="91"/>
      <c r="Z40" s="91"/>
    </row>
    <row r="41" spans="1:26" ht="15.75" customHeight="1" x14ac:dyDescent="0.25">
      <c r="A41" s="9" t="s">
        <v>2433</v>
      </c>
      <c r="B41" s="189" t="s">
        <v>2434</v>
      </c>
      <c r="C41" s="91"/>
      <c r="D41" s="91"/>
      <c r="E41" s="91"/>
      <c r="F41" s="91"/>
      <c r="G41" s="91"/>
      <c r="H41" s="91"/>
      <c r="I41" s="91"/>
      <c r="J41" s="91"/>
      <c r="K41" s="91"/>
      <c r="L41" s="91"/>
      <c r="M41" s="91"/>
      <c r="N41" s="91"/>
      <c r="O41" s="91"/>
      <c r="P41" s="91"/>
      <c r="Q41" s="91"/>
      <c r="R41" s="91"/>
      <c r="S41" s="91"/>
      <c r="T41" s="91"/>
      <c r="U41" s="91"/>
      <c r="V41" s="91"/>
      <c r="W41" s="91"/>
      <c r="X41" s="91"/>
      <c r="Y41" s="91"/>
      <c r="Z41" s="91"/>
    </row>
    <row r="42" spans="1:26" ht="15.75" customHeight="1" x14ac:dyDescent="0.25">
      <c r="A42" s="9" t="s">
        <v>2435</v>
      </c>
      <c r="B42" s="189" t="s">
        <v>2436</v>
      </c>
      <c r="C42" s="91"/>
      <c r="D42" s="91"/>
      <c r="E42" s="91"/>
      <c r="F42" s="91"/>
      <c r="G42" s="91"/>
      <c r="H42" s="91"/>
      <c r="I42" s="91"/>
      <c r="J42" s="91"/>
      <c r="K42" s="91"/>
      <c r="L42" s="91"/>
      <c r="M42" s="91"/>
      <c r="N42" s="91"/>
      <c r="O42" s="91"/>
      <c r="P42" s="91"/>
      <c r="Q42" s="91"/>
      <c r="R42" s="91"/>
      <c r="S42" s="91"/>
      <c r="T42" s="91"/>
      <c r="U42" s="91"/>
      <c r="V42" s="91"/>
      <c r="W42" s="91"/>
      <c r="X42" s="91"/>
      <c r="Y42" s="91"/>
      <c r="Z42" s="91"/>
    </row>
    <row r="43" spans="1:26" ht="15.75" customHeight="1" x14ac:dyDescent="0.25">
      <c r="A43" s="9" t="s">
        <v>2437</v>
      </c>
      <c r="B43" s="189" t="s">
        <v>2438</v>
      </c>
      <c r="C43" s="91" t="s">
        <v>2439</v>
      </c>
      <c r="D43" s="91"/>
      <c r="E43" s="91"/>
      <c r="F43" s="91"/>
      <c r="G43" s="91"/>
      <c r="H43" s="91"/>
      <c r="I43" s="91"/>
      <c r="J43" s="91"/>
      <c r="K43" s="91"/>
      <c r="L43" s="91"/>
      <c r="M43" s="91"/>
      <c r="N43" s="91"/>
      <c r="O43" s="91"/>
      <c r="P43" s="91"/>
      <c r="Q43" s="91"/>
      <c r="R43" s="91"/>
      <c r="S43" s="91"/>
      <c r="T43" s="91"/>
      <c r="U43" s="91"/>
      <c r="V43" s="91"/>
      <c r="W43" s="91"/>
      <c r="X43" s="91"/>
      <c r="Y43" s="91"/>
      <c r="Z43" s="91"/>
    </row>
    <row r="44" spans="1:26" ht="15.75" customHeight="1" x14ac:dyDescent="0.25">
      <c r="A44" s="9" t="s">
        <v>2440</v>
      </c>
      <c r="B44" s="189" t="s">
        <v>2441</v>
      </c>
      <c r="C44" s="91" t="s">
        <v>2442</v>
      </c>
      <c r="D44" s="91"/>
      <c r="E44" s="91"/>
      <c r="F44" s="91"/>
      <c r="G44" s="91"/>
      <c r="H44" s="91"/>
      <c r="I44" s="91"/>
      <c r="J44" s="91"/>
      <c r="K44" s="91"/>
      <c r="L44" s="91"/>
      <c r="M44" s="91"/>
      <c r="N44" s="91"/>
      <c r="O44" s="91"/>
      <c r="P44" s="91"/>
      <c r="Q44" s="91"/>
      <c r="R44" s="91"/>
      <c r="S44" s="91"/>
      <c r="T44" s="91"/>
      <c r="U44" s="91"/>
      <c r="V44" s="91"/>
      <c r="W44" s="91"/>
      <c r="X44" s="91"/>
      <c r="Y44" s="91"/>
      <c r="Z44" s="91"/>
    </row>
    <row r="45" spans="1:26" ht="15.75" customHeight="1" x14ac:dyDescent="0.25">
      <c r="A45" s="9" t="s">
        <v>2443</v>
      </c>
      <c r="B45" s="189" t="s">
        <v>2444</v>
      </c>
      <c r="C45" s="91" t="s">
        <v>2445</v>
      </c>
      <c r="D45" s="91"/>
      <c r="E45" s="91"/>
      <c r="F45" s="91"/>
      <c r="G45" s="91"/>
      <c r="H45" s="91"/>
      <c r="I45" s="91"/>
      <c r="J45" s="91"/>
      <c r="K45" s="91"/>
      <c r="L45" s="91"/>
      <c r="M45" s="91"/>
      <c r="N45" s="91"/>
      <c r="O45" s="91"/>
      <c r="P45" s="91"/>
      <c r="Q45" s="91"/>
      <c r="R45" s="91"/>
      <c r="S45" s="91"/>
      <c r="T45" s="91"/>
      <c r="U45" s="91"/>
      <c r="V45" s="91"/>
      <c r="W45" s="91"/>
      <c r="X45" s="91"/>
      <c r="Y45" s="91"/>
      <c r="Z45" s="91"/>
    </row>
    <row r="46" spans="1:26" ht="15.75" customHeight="1" x14ac:dyDescent="0.25">
      <c r="A46" s="9" t="s">
        <v>2446</v>
      </c>
      <c r="B46" s="189" t="s">
        <v>2447</v>
      </c>
      <c r="C46" s="91" t="s">
        <v>2448</v>
      </c>
      <c r="D46" s="91"/>
      <c r="E46" s="91"/>
      <c r="F46" s="91"/>
      <c r="G46" s="91"/>
      <c r="H46" s="91"/>
      <c r="I46" s="91"/>
      <c r="J46" s="91"/>
      <c r="K46" s="91"/>
      <c r="L46" s="91"/>
      <c r="M46" s="91"/>
      <c r="N46" s="91"/>
      <c r="O46" s="91"/>
      <c r="P46" s="91"/>
      <c r="Q46" s="91"/>
      <c r="R46" s="91"/>
      <c r="S46" s="91"/>
      <c r="T46" s="91"/>
      <c r="U46" s="91"/>
      <c r="V46" s="91"/>
      <c r="W46" s="91"/>
      <c r="X46" s="91"/>
      <c r="Y46" s="91"/>
      <c r="Z46" s="91"/>
    </row>
    <row r="47" spans="1:26" ht="15.75" customHeight="1" x14ac:dyDescent="0.25">
      <c r="A47" s="9" t="s">
        <v>2449</v>
      </c>
      <c r="B47" s="189" t="s">
        <v>2450</v>
      </c>
      <c r="C47" s="91" t="s">
        <v>2451</v>
      </c>
      <c r="D47" s="91"/>
      <c r="E47" s="91"/>
      <c r="F47" s="91"/>
      <c r="G47" s="91"/>
      <c r="H47" s="91"/>
      <c r="I47" s="91"/>
      <c r="J47" s="91"/>
      <c r="K47" s="91"/>
      <c r="L47" s="91"/>
      <c r="M47" s="91"/>
      <c r="N47" s="91"/>
      <c r="O47" s="91"/>
      <c r="P47" s="91"/>
      <c r="Q47" s="91"/>
      <c r="R47" s="91"/>
      <c r="S47" s="91"/>
      <c r="T47" s="91"/>
      <c r="U47" s="91"/>
      <c r="V47" s="91"/>
      <c r="W47" s="91"/>
      <c r="X47" s="91"/>
      <c r="Y47" s="91"/>
      <c r="Z47" s="91"/>
    </row>
    <row r="48" spans="1:26" ht="15.75" customHeight="1" x14ac:dyDescent="0.25">
      <c r="A48" s="9" t="s">
        <v>2452</v>
      </c>
      <c r="B48" s="189" t="s">
        <v>2453</v>
      </c>
      <c r="C48" s="91" t="s">
        <v>2454</v>
      </c>
      <c r="D48" s="91"/>
      <c r="E48" s="91"/>
      <c r="F48" s="91"/>
      <c r="G48" s="91"/>
      <c r="H48" s="91"/>
      <c r="I48" s="91"/>
      <c r="J48" s="91"/>
      <c r="K48" s="91"/>
      <c r="L48" s="91"/>
      <c r="M48" s="91"/>
      <c r="N48" s="91"/>
      <c r="O48" s="91"/>
      <c r="P48" s="91"/>
      <c r="Q48" s="91"/>
      <c r="R48" s="91"/>
      <c r="S48" s="91"/>
      <c r="T48" s="91"/>
      <c r="U48" s="91"/>
      <c r="V48" s="91"/>
      <c r="W48" s="91"/>
      <c r="X48" s="91"/>
      <c r="Y48" s="91"/>
      <c r="Z48" s="91"/>
    </row>
    <row r="49" spans="1:26" ht="15.75" customHeight="1" x14ac:dyDescent="0.25">
      <c r="A49" s="9" t="s">
        <v>2455</v>
      </c>
      <c r="B49" s="189" t="s">
        <v>2456</v>
      </c>
      <c r="C49" s="91" t="s">
        <v>2457</v>
      </c>
      <c r="D49" s="91"/>
      <c r="E49" s="91"/>
      <c r="F49" s="91"/>
      <c r="G49" s="91"/>
      <c r="H49" s="91"/>
      <c r="I49" s="91"/>
      <c r="J49" s="91"/>
      <c r="K49" s="91"/>
      <c r="L49" s="91"/>
      <c r="M49" s="91"/>
      <c r="N49" s="91"/>
      <c r="O49" s="91"/>
      <c r="P49" s="91"/>
      <c r="Q49" s="91"/>
      <c r="R49" s="91"/>
      <c r="S49" s="91"/>
      <c r="T49" s="91"/>
      <c r="U49" s="91"/>
      <c r="V49" s="91"/>
      <c r="W49" s="91"/>
      <c r="X49" s="91"/>
      <c r="Y49" s="91"/>
      <c r="Z49" s="91"/>
    </row>
    <row r="50" spans="1:26" ht="15.75" customHeight="1" x14ac:dyDescent="0.25">
      <c r="A50" s="9" t="s">
        <v>2458</v>
      </c>
      <c r="B50" s="189" t="s">
        <v>2459</v>
      </c>
      <c r="C50" s="91" t="s">
        <v>2460</v>
      </c>
      <c r="D50" s="91"/>
      <c r="E50" s="91"/>
      <c r="F50" s="91"/>
      <c r="G50" s="91"/>
      <c r="H50" s="91"/>
      <c r="I50" s="91"/>
      <c r="J50" s="91"/>
      <c r="K50" s="91"/>
      <c r="L50" s="91"/>
      <c r="M50" s="91"/>
      <c r="N50" s="91"/>
      <c r="O50" s="91"/>
      <c r="P50" s="91"/>
      <c r="Q50" s="91"/>
      <c r="R50" s="91"/>
      <c r="S50" s="91"/>
      <c r="T50" s="91"/>
      <c r="U50" s="91"/>
      <c r="V50" s="91"/>
      <c r="W50" s="91"/>
      <c r="X50" s="91"/>
      <c r="Y50" s="91"/>
      <c r="Z50" s="91"/>
    </row>
    <row r="51" spans="1:26" ht="15.75" customHeight="1" x14ac:dyDescent="0.25">
      <c r="A51" s="9" t="s">
        <v>2461</v>
      </c>
      <c r="B51" s="189" t="s">
        <v>2462</v>
      </c>
      <c r="C51" s="91" t="s">
        <v>2463</v>
      </c>
      <c r="D51" s="91"/>
      <c r="E51" s="91"/>
      <c r="F51" s="91"/>
      <c r="G51" s="91"/>
      <c r="H51" s="91"/>
      <c r="I51" s="91"/>
      <c r="J51" s="91"/>
      <c r="K51" s="91"/>
      <c r="L51" s="91"/>
      <c r="M51" s="91"/>
      <c r="N51" s="91"/>
      <c r="O51" s="91"/>
      <c r="P51" s="91"/>
      <c r="Q51" s="91"/>
      <c r="R51" s="91"/>
      <c r="S51" s="91"/>
      <c r="T51" s="91"/>
      <c r="U51" s="91"/>
      <c r="V51" s="91"/>
      <c r="W51" s="91"/>
      <c r="X51" s="91"/>
      <c r="Y51" s="91"/>
      <c r="Z51" s="91"/>
    </row>
    <row r="52" spans="1:26" ht="15.75" customHeight="1" x14ac:dyDescent="0.25">
      <c r="A52" s="9" t="s">
        <v>2464</v>
      </c>
      <c r="B52" s="189" t="s">
        <v>2465</v>
      </c>
      <c r="C52" s="91" t="s">
        <v>2466</v>
      </c>
      <c r="D52" s="91"/>
      <c r="E52" s="91"/>
      <c r="F52" s="91"/>
      <c r="G52" s="91"/>
      <c r="H52" s="91"/>
      <c r="I52" s="91"/>
      <c r="J52" s="91"/>
      <c r="K52" s="91"/>
      <c r="L52" s="91"/>
      <c r="M52" s="91"/>
      <c r="N52" s="91"/>
      <c r="O52" s="91"/>
      <c r="P52" s="91"/>
      <c r="Q52" s="91"/>
      <c r="R52" s="91"/>
      <c r="S52" s="91"/>
      <c r="T52" s="91"/>
      <c r="U52" s="91"/>
      <c r="V52" s="91"/>
      <c r="W52" s="91"/>
      <c r="X52" s="91"/>
      <c r="Y52" s="91"/>
      <c r="Z52" s="91"/>
    </row>
    <row r="53" spans="1:26" ht="15.75" customHeight="1" x14ac:dyDescent="0.25">
      <c r="A53" s="9" t="s">
        <v>2467</v>
      </c>
      <c r="B53" s="189" t="s">
        <v>2468</v>
      </c>
      <c r="C53" s="91" t="s">
        <v>2469</v>
      </c>
      <c r="D53" s="91"/>
      <c r="E53" s="91"/>
      <c r="F53" s="91"/>
      <c r="G53" s="91"/>
      <c r="H53" s="91"/>
      <c r="I53" s="91"/>
      <c r="J53" s="91"/>
      <c r="K53" s="91"/>
      <c r="L53" s="91"/>
      <c r="M53" s="91"/>
      <c r="N53" s="91"/>
      <c r="O53" s="91"/>
      <c r="P53" s="91"/>
      <c r="Q53" s="91"/>
      <c r="R53" s="91"/>
      <c r="S53" s="91"/>
      <c r="T53" s="91"/>
      <c r="U53" s="91"/>
      <c r="V53" s="91"/>
      <c r="W53" s="91"/>
      <c r="X53" s="91"/>
      <c r="Y53" s="91"/>
      <c r="Z53" s="91"/>
    </row>
    <row r="54" spans="1:26" ht="15.75" customHeight="1" x14ac:dyDescent="0.25">
      <c r="A54" s="9" t="s">
        <v>2470</v>
      </c>
      <c r="B54" s="189" t="s">
        <v>2471</v>
      </c>
      <c r="C54" s="91" t="s">
        <v>2472</v>
      </c>
      <c r="D54" s="91"/>
      <c r="E54" s="91"/>
      <c r="F54" s="91"/>
      <c r="G54" s="91"/>
      <c r="H54" s="91"/>
      <c r="I54" s="91"/>
      <c r="J54" s="91"/>
      <c r="K54" s="91"/>
      <c r="L54" s="91"/>
      <c r="M54" s="91"/>
      <c r="N54" s="91"/>
      <c r="O54" s="91"/>
      <c r="P54" s="91"/>
      <c r="Q54" s="91"/>
      <c r="R54" s="91"/>
      <c r="S54" s="91"/>
      <c r="T54" s="91"/>
      <c r="U54" s="91"/>
      <c r="V54" s="91"/>
      <c r="W54" s="91"/>
      <c r="X54" s="91"/>
      <c r="Y54" s="91"/>
      <c r="Z54" s="91"/>
    </row>
    <row r="55" spans="1:26" ht="15.75" customHeight="1" x14ac:dyDescent="0.25">
      <c r="A55" s="9" t="s">
        <v>2473</v>
      </c>
      <c r="B55" s="189" t="s">
        <v>2474</v>
      </c>
      <c r="C55" s="91" t="s">
        <v>2475</v>
      </c>
      <c r="D55" s="91"/>
      <c r="E55" s="91"/>
      <c r="F55" s="91"/>
      <c r="G55" s="91"/>
      <c r="H55" s="91"/>
      <c r="I55" s="91"/>
      <c r="J55" s="91"/>
      <c r="K55" s="91"/>
      <c r="L55" s="91"/>
      <c r="M55" s="91"/>
      <c r="N55" s="91"/>
      <c r="O55" s="91"/>
      <c r="P55" s="91"/>
      <c r="Q55" s="91"/>
      <c r="R55" s="91"/>
      <c r="S55" s="91"/>
      <c r="T55" s="91"/>
      <c r="U55" s="91"/>
      <c r="V55" s="91"/>
      <c r="W55" s="91"/>
      <c r="X55" s="91"/>
      <c r="Y55" s="91"/>
      <c r="Z55" s="91"/>
    </row>
    <row r="56" spans="1:26" ht="15.75" customHeight="1" x14ac:dyDescent="0.25">
      <c r="A56" s="9" t="s">
        <v>2476</v>
      </c>
      <c r="B56" s="189" t="s">
        <v>2477</v>
      </c>
      <c r="C56" s="91"/>
      <c r="D56" s="91"/>
      <c r="E56" s="91"/>
      <c r="F56" s="91"/>
      <c r="G56" s="91"/>
      <c r="H56" s="91"/>
      <c r="I56" s="91"/>
      <c r="J56" s="91"/>
      <c r="K56" s="91"/>
      <c r="L56" s="91"/>
      <c r="M56" s="91"/>
      <c r="N56" s="91"/>
      <c r="O56" s="91"/>
      <c r="P56" s="91"/>
      <c r="Q56" s="91"/>
      <c r="R56" s="91"/>
      <c r="S56" s="91"/>
      <c r="T56" s="91"/>
      <c r="U56" s="91"/>
      <c r="V56" s="91"/>
      <c r="W56" s="91"/>
      <c r="X56" s="91"/>
      <c r="Y56" s="91"/>
      <c r="Z56" s="91"/>
    </row>
    <row r="57" spans="1:26" ht="15.75" customHeight="1" x14ac:dyDescent="0.25">
      <c r="A57" s="9" t="s">
        <v>2478</v>
      </c>
      <c r="B57" s="189" t="s">
        <v>2479</v>
      </c>
      <c r="C57" s="91" t="s">
        <v>2480</v>
      </c>
      <c r="D57" s="91"/>
      <c r="E57" s="91"/>
      <c r="F57" s="91"/>
      <c r="G57" s="91"/>
      <c r="H57" s="91"/>
      <c r="I57" s="91"/>
      <c r="J57" s="91"/>
      <c r="K57" s="91"/>
      <c r="L57" s="91"/>
      <c r="M57" s="91"/>
      <c r="N57" s="91"/>
      <c r="O57" s="91"/>
      <c r="P57" s="91"/>
      <c r="Q57" s="91"/>
      <c r="R57" s="91"/>
      <c r="S57" s="91"/>
      <c r="T57" s="91"/>
      <c r="U57" s="91"/>
      <c r="V57" s="91"/>
      <c r="W57" s="91"/>
      <c r="X57" s="91"/>
      <c r="Y57" s="91"/>
      <c r="Z57" s="91"/>
    </row>
    <row r="58" spans="1:26" ht="15.75" customHeight="1" x14ac:dyDescent="0.25">
      <c r="A58" s="9" t="s">
        <v>2481</v>
      </c>
      <c r="B58" s="189" t="s">
        <v>2482</v>
      </c>
      <c r="C58" s="91" t="s">
        <v>2483</v>
      </c>
      <c r="D58" s="91"/>
      <c r="E58" s="91"/>
      <c r="F58" s="91"/>
      <c r="G58" s="91"/>
      <c r="H58" s="91"/>
      <c r="I58" s="91"/>
      <c r="J58" s="91"/>
      <c r="K58" s="91"/>
      <c r="L58" s="91"/>
      <c r="M58" s="91"/>
      <c r="N58" s="91"/>
      <c r="O58" s="91"/>
      <c r="P58" s="91"/>
      <c r="Q58" s="91"/>
      <c r="R58" s="91"/>
      <c r="S58" s="91"/>
      <c r="T58" s="91"/>
      <c r="U58" s="91"/>
      <c r="V58" s="91"/>
      <c r="W58" s="91"/>
      <c r="X58" s="91"/>
      <c r="Y58" s="91"/>
      <c r="Z58" s="91"/>
    </row>
    <row r="59" spans="1:26" ht="15.75" customHeight="1" x14ac:dyDescent="0.25">
      <c r="A59" s="9" t="s">
        <v>2484</v>
      </c>
      <c r="B59" s="189" t="s">
        <v>2485</v>
      </c>
      <c r="C59" s="91" t="s">
        <v>2486</v>
      </c>
      <c r="D59" s="91"/>
      <c r="E59" s="91"/>
      <c r="F59" s="91"/>
      <c r="G59" s="91"/>
      <c r="H59" s="91"/>
      <c r="I59" s="91"/>
      <c r="J59" s="91"/>
      <c r="K59" s="91"/>
      <c r="L59" s="91"/>
      <c r="M59" s="91"/>
      <c r="N59" s="91"/>
      <c r="O59" s="91"/>
      <c r="P59" s="91"/>
      <c r="Q59" s="91"/>
      <c r="R59" s="91"/>
      <c r="S59" s="91"/>
      <c r="T59" s="91"/>
      <c r="U59" s="91"/>
      <c r="V59" s="91"/>
      <c r="W59" s="91"/>
      <c r="X59" s="91"/>
      <c r="Y59" s="91"/>
      <c r="Z59" s="91"/>
    </row>
    <row r="60" spans="1:26" ht="15.75" customHeight="1" x14ac:dyDescent="0.25">
      <c r="A60" s="9" t="s">
        <v>2487</v>
      </c>
      <c r="B60" s="189" t="s">
        <v>2488</v>
      </c>
      <c r="C60" s="91" t="s">
        <v>2489</v>
      </c>
      <c r="D60" s="91"/>
      <c r="E60" s="91"/>
      <c r="F60" s="91"/>
      <c r="G60" s="91"/>
      <c r="H60" s="91"/>
      <c r="I60" s="91"/>
      <c r="J60" s="91"/>
      <c r="K60" s="91"/>
      <c r="L60" s="91"/>
      <c r="M60" s="91"/>
      <c r="N60" s="91"/>
      <c r="O60" s="91"/>
      <c r="P60" s="91"/>
      <c r="Q60" s="91"/>
      <c r="R60" s="91"/>
      <c r="S60" s="91"/>
      <c r="T60" s="91"/>
      <c r="U60" s="91"/>
      <c r="V60" s="91"/>
      <c r="W60" s="91"/>
      <c r="X60" s="91"/>
      <c r="Y60" s="91"/>
      <c r="Z60" s="91"/>
    </row>
    <row r="61" spans="1:26" ht="15.75" customHeight="1" x14ac:dyDescent="0.25">
      <c r="A61" s="9" t="s">
        <v>2490</v>
      </c>
      <c r="B61" s="189" t="s">
        <v>2491</v>
      </c>
      <c r="C61" s="91"/>
      <c r="D61" s="91"/>
      <c r="E61" s="91"/>
      <c r="F61" s="91"/>
      <c r="G61" s="91"/>
      <c r="H61" s="91"/>
      <c r="I61" s="91"/>
      <c r="J61" s="91"/>
      <c r="K61" s="91"/>
      <c r="L61" s="91"/>
      <c r="M61" s="91"/>
      <c r="N61" s="91"/>
      <c r="O61" s="91"/>
      <c r="P61" s="91"/>
      <c r="Q61" s="91"/>
      <c r="R61" s="91"/>
      <c r="S61" s="91"/>
      <c r="T61" s="91"/>
      <c r="U61" s="91"/>
      <c r="V61" s="91"/>
      <c r="W61" s="91"/>
      <c r="X61" s="91"/>
      <c r="Y61" s="91"/>
      <c r="Z61" s="91"/>
    </row>
    <row r="62" spans="1:26" ht="15.75" customHeight="1" x14ac:dyDescent="0.25">
      <c r="A62" s="9" t="s">
        <v>2492</v>
      </c>
      <c r="B62" s="189" t="s">
        <v>2493</v>
      </c>
      <c r="C62" s="91" t="s">
        <v>2494</v>
      </c>
      <c r="D62" s="91"/>
      <c r="E62" s="91"/>
      <c r="F62" s="91"/>
      <c r="G62" s="91"/>
      <c r="H62" s="91"/>
      <c r="I62" s="91"/>
      <c r="J62" s="91"/>
      <c r="K62" s="91"/>
      <c r="L62" s="91"/>
      <c r="M62" s="91"/>
      <c r="N62" s="91"/>
      <c r="O62" s="91"/>
      <c r="P62" s="91"/>
      <c r="Q62" s="91"/>
      <c r="R62" s="91"/>
      <c r="S62" s="91"/>
      <c r="T62" s="91"/>
      <c r="U62" s="91"/>
      <c r="V62" s="91"/>
      <c r="W62" s="91"/>
      <c r="X62" s="91"/>
      <c r="Y62" s="91"/>
      <c r="Z62" s="91"/>
    </row>
    <row r="63" spans="1:26" ht="15.75" customHeight="1" x14ac:dyDescent="0.25">
      <c r="A63" s="9" t="s">
        <v>2495</v>
      </c>
      <c r="B63" s="189" t="s">
        <v>2496</v>
      </c>
      <c r="C63" s="91" t="s">
        <v>2497</v>
      </c>
      <c r="D63" s="91"/>
      <c r="E63" s="91"/>
      <c r="F63" s="91"/>
      <c r="G63" s="91"/>
      <c r="H63" s="91"/>
      <c r="I63" s="91"/>
      <c r="J63" s="91"/>
      <c r="K63" s="91"/>
      <c r="L63" s="91"/>
      <c r="M63" s="91"/>
      <c r="N63" s="91"/>
      <c r="O63" s="91"/>
      <c r="P63" s="91"/>
      <c r="Q63" s="91"/>
      <c r="R63" s="91"/>
      <c r="S63" s="91"/>
      <c r="T63" s="91"/>
      <c r="U63" s="91"/>
      <c r="V63" s="91"/>
      <c r="W63" s="91"/>
      <c r="X63" s="91"/>
      <c r="Y63" s="91"/>
      <c r="Z63" s="91"/>
    </row>
    <row r="64" spans="1:26" ht="15.75" customHeight="1" x14ac:dyDescent="0.25">
      <c r="A64" s="9" t="s">
        <v>2498</v>
      </c>
      <c r="B64" s="189" t="s">
        <v>2499</v>
      </c>
      <c r="C64" s="91"/>
      <c r="D64" s="91"/>
      <c r="E64" s="91"/>
      <c r="F64" s="91"/>
      <c r="G64" s="91"/>
      <c r="H64" s="91"/>
      <c r="I64" s="91"/>
      <c r="J64" s="91"/>
      <c r="K64" s="91"/>
      <c r="L64" s="91"/>
      <c r="M64" s="91"/>
      <c r="N64" s="91"/>
      <c r="O64" s="91"/>
      <c r="P64" s="91"/>
      <c r="Q64" s="91"/>
      <c r="R64" s="91"/>
      <c r="S64" s="91"/>
      <c r="T64" s="91"/>
      <c r="U64" s="91"/>
      <c r="V64" s="91"/>
      <c r="W64" s="91"/>
      <c r="X64" s="91"/>
      <c r="Y64" s="91"/>
      <c r="Z64" s="91"/>
    </row>
    <row r="65" spans="1:26" ht="15.75" customHeight="1" x14ac:dyDescent="0.25">
      <c r="A65" s="9" t="s">
        <v>2500</v>
      </c>
      <c r="B65" s="189" t="s">
        <v>2501</v>
      </c>
      <c r="C65" s="91"/>
      <c r="D65" s="91"/>
      <c r="E65" s="91"/>
      <c r="F65" s="91"/>
      <c r="G65" s="91"/>
      <c r="H65" s="91"/>
      <c r="I65" s="91"/>
      <c r="J65" s="91"/>
      <c r="K65" s="91"/>
      <c r="L65" s="91"/>
      <c r="M65" s="91"/>
      <c r="N65" s="91"/>
      <c r="O65" s="91"/>
      <c r="P65" s="91"/>
      <c r="Q65" s="91"/>
      <c r="R65" s="91"/>
      <c r="S65" s="91"/>
      <c r="T65" s="91"/>
      <c r="U65" s="91"/>
      <c r="V65" s="91"/>
      <c r="W65" s="91"/>
      <c r="X65" s="91"/>
      <c r="Y65" s="91"/>
      <c r="Z65" s="91"/>
    </row>
    <row r="66" spans="1:26" ht="15.75" customHeight="1" x14ac:dyDescent="0.25">
      <c r="A66" s="9" t="s">
        <v>2502</v>
      </c>
      <c r="B66" s="189" t="s">
        <v>2503</v>
      </c>
      <c r="C66" s="91" t="s">
        <v>2504</v>
      </c>
      <c r="D66" s="91"/>
      <c r="E66" s="91"/>
      <c r="F66" s="91"/>
      <c r="G66" s="91"/>
      <c r="H66" s="91"/>
      <c r="I66" s="91"/>
      <c r="J66" s="91"/>
      <c r="K66" s="91"/>
      <c r="L66" s="91"/>
      <c r="M66" s="91"/>
      <c r="N66" s="91"/>
      <c r="O66" s="91"/>
      <c r="P66" s="91"/>
      <c r="Q66" s="91"/>
      <c r="R66" s="91"/>
      <c r="S66" s="91"/>
      <c r="T66" s="91"/>
      <c r="U66" s="91"/>
      <c r="V66" s="91"/>
      <c r="W66" s="91"/>
      <c r="X66" s="91"/>
      <c r="Y66" s="91"/>
      <c r="Z66" s="91"/>
    </row>
    <row r="67" spans="1:26" ht="15.75" customHeight="1" x14ac:dyDescent="0.25">
      <c r="A67" s="9" t="s">
        <v>2505</v>
      </c>
      <c r="B67" s="189" t="s">
        <v>2506</v>
      </c>
      <c r="C67" s="91" t="s">
        <v>2507</v>
      </c>
      <c r="D67" s="91"/>
      <c r="E67" s="91"/>
      <c r="F67" s="91"/>
      <c r="G67" s="91"/>
      <c r="H67" s="91"/>
      <c r="I67" s="91"/>
      <c r="J67" s="91"/>
      <c r="K67" s="91"/>
      <c r="L67" s="91"/>
      <c r="M67" s="91"/>
      <c r="N67" s="91"/>
      <c r="O67" s="91"/>
      <c r="P67" s="91"/>
      <c r="Q67" s="91"/>
      <c r="R67" s="91"/>
      <c r="S67" s="91"/>
      <c r="T67" s="91"/>
      <c r="U67" s="91"/>
      <c r="V67" s="91"/>
      <c r="W67" s="91"/>
      <c r="X67" s="91"/>
      <c r="Y67" s="91"/>
      <c r="Z67" s="91"/>
    </row>
    <row r="68" spans="1:26" ht="15.75" customHeight="1" x14ac:dyDescent="0.25">
      <c r="A68" s="9" t="s">
        <v>2508</v>
      </c>
      <c r="B68" s="189" t="s">
        <v>2509</v>
      </c>
      <c r="C68" s="91" t="s">
        <v>2510</v>
      </c>
      <c r="D68" s="91"/>
      <c r="E68" s="91"/>
      <c r="F68" s="91"/>
      <c r="G68" s="91"/>
      <c r="H68" s="91"/>
      <c r="I68" s="91"/>
      <c r="J68" s="91"/>
      <c r="K68" s="91"/>
      <c r="L68" s="91"/>
      <c r="M68" s="91"/>
      <c r="N68" s="91"/>
      <c r="O68" s="91"/>
      <c r="P68" s="91"/>
      <c r="Q68" s="91"/>
      <c r="R68" s="91"/>
      <c r="S68" s="91"/>
      <c r="T68" s="91"/>
      <c r="U68" s="91"/>
      <c r="V68" s="91"/>
      <c r="W68" s="91"/>
      <c r="X68" s="91"/>
      <c r="Y68" s="91"/>
      <c r="Z68" s="91"/>
    </row>
    <row r="69" spans="1:26" ht="15.75" customHeight="1" x14ac:dyDescent="0.25">
      <c r="A69" s="9" t="s">
        <v>2511</v>
      </c>
      <c r="B69" s="189" t="s">
        <v>2512</v>
      </c>
      <c r="C69" s="91" t="s">
        <v>2513</v>
      </c>
      <c r="D69" s="91"/>
      <c r="E69" s="91"/>
      <c r="F69" s="91"/>
      <c r="G69" s="91"/>
      <c r="H69" s="91"/>
      <c r="I69" s="91"/>
      <c r="J69" s="91"/>
      <c r="K69" s="91"/>
      <c r="L69" s="91"/>
      <c r="M69" s="91"/>
      <c r="N69" s="91"/>
      <c r="O69" s="91"/>
      <c r="P69" s="91"/>
      <c r="Q69" s="91"/>
      <c r="R69" s="91"/>
      <c r="S69" s="91"/>
      <c r="T69" s="91"/>
      <c r="U69" s="91"/>
      <c r="V69" s="91"/>
      <c r="W69" s="91"/>
      <c r="X69" s="91"/>
      <c r="Y69" s="91"/>
      <c r="Z69" s="91"/>
    </row>
    <row r="70" spans="1:26" ht="15.75" customHeight="1" x14ac:dyDescent="0.25">
      <c r="A70" s="9" t="s">
        <v>2514</v>
      </c>
      <c r="B70" s="189" t="s">
        <v>2515</v>
      </c>
      <c r="C70" s="91" t="s">
        <v>2516</v>
      </c>
      <c r="D70" s="91"/>
      <c r="E70" s="91"/>
      <c r="F70" s="91"/>
      <c r="G70" s="91"/>
      <c r="H70" s="91"/>
      <c r="I70" s="91"/>
      <c r="J70" s="91"/>
      <c r="K70" s="91"/>
      <c r="L70" s="91"/>
      <c r="M70" s="91"/>
      <c r="N70" s="91"/>
      <c r="O70" s="91"/>
      <c r="P70" s="91"/>
      <c r="Q70" s="91"/>
      <c r="R70" s="91"/>
      <c r="S70" s="91"/>
      <c r="T70" s="91"/>
      <c r="U70" s="91"/>
      <c r="V70" s="91"/>
      <c r="W70" s="91"/>
      <c r="X70" s="91"/>
      <c r="Y70" s="91"/>
      <c r="Z70" s="91"/>
    </row>
    <row r="71" spans="1:26" ht="15.75" customHeight="1" x14ac:dyDescent="0.25">
      <c r="A71" s="9" t="s">
        <v>2517</v>
      </c>
      <c r="B71" s="189" t="s">
        <v>2518</v>
      </c>
      <c r="C71" s="91" t="s">
        <v>2519</v>
      </c>
      <c r="D71" s="91"/>
      <c r="E71" s="91"/>
      <c r="F71" s="91"/>
      <c r="G71" s="91"/>
      <c r="H71" s="91"/>
      <c r="I71" s="91"/>
      <c r="J71" s="91"/>
      <c r="K71" s="91"/>
      <c r="L71" s="91"/>
      <c r="M71" s="91"/>
      <c r="N71" s="91"/>
      <c r="O71" s="91"/>
      <c r="P71" s="91"/>
      <c r="Q71" s="91"/>
      <c r="R71" s="91"/>
      <c r="S71" s="91"/>
      <c r="T71" s="91"/>
      <c r="U71" s="91"/>
      <c r="V71" s="91"/>
      <c r="W71" s="91"/>
      <c r="X71" s="91"/>
      <c r="Y71" s="91"/>
      <c r="Z71" s="91"/>
    </row>
    <row r="72" spans="1:26" ht="15.75" customHeight="1" x14ac:dyDescent="0.25">
      <c r="A72" s="9" t="s">
        <v>2520</v>
      </c>
      <c r="B72" s="189" t="s">
        <v>2521</v>
      </c>
      <c r="C72" s="91" t="s">
        <v>2522</v>
      </c>
      <c r="D72" s="91"/>
      <c r="E72" s="91"/>
      <c r="F72" s="91"/>
      <c r="G72" s="91"/>
      <c r="H72" s="91"/>
      <c r="I72" s="91"/>
      <c r="J72" s="91"/>
      <c r="K72" s="91"/>
      <c r="L72" s="91"/>
      <c r="M72" s="91"/>
      <c r="N72" s="91"/>
      <c r="O72" s="91"/>
      <c r="P72" s="91"/>
      <c r="Q72" s="91"/>
      <c r="R72" s="91"/>
      <c r="S72" s="91"/>
      <c r="T72" s="91"/>
      <c r="U72" s="91"/>
      <c r="V72" s="91"/>
      <c r="W72" s="91"/>
      <c r="X72" s="91"/>
      <c r="Y72" s="91"/>
      <c r="Z72" s="91"/>
    </row>
    <row r="73" spans="1:26" ht="15.75" customHeight="1" x14ac:dyDescent="0.25">
      <c r="A73" s="9" t="s">
        <v>2523</v>
      </c>
      <c r="B73" s="189" t="s">
        <v>2524</v>
      </c>
      <c r="C73" s="91" t="s">
        <v>2525</v>
      </c>
      <c r="D73" s="91"/>
      <c r="E73" s="91"/>
      <c r="F73" s="91"/>
      <c r="G73" s="91"/>
      <c r="H73" s="91"/>
      <c r="I73" s="91"/>
      <c r="J73" s="91"/>
      <c r="K73" s="91"/>
      <c r="L73" s="91"/>
      <c r="M73" s="91"/>
      <c r="N73" s="91"/>
      <c r="O73" s="91"/>
      <c r="P73" s="91"/>
      <c r="Q73" s="91"/>
      <c r="R73" s="91"/>
      <c r="S73" s="91"/>
      <c r="T73" s="91"/>
      <c r="U73" s="91"/>
      <c r="V73" s="91"/>
      <c r="W73" s="91"/>
      <c r="X73" s="91"/>
      <c r="Y73" s="91"/>
      <c r="Z73" s="91"/>
    </row>
    <row r="74" spans="1:26" ht="15.75" customHeight="1" x14ac:dyDescent="0.25">
      <c r="A74" s="9" t="s">
        <v>2526</v>
      </c>
      <c r="B74" s="189" t="s">
        <v>2527</v>
      </c>
      <c r="C74" s="91" t="s">
        <v>2528</v>
      </c>
      <c r="D74" s="91"/>
      <c r="E74" s="91"/>
      <c r="F74" s="91"/>
      <c r="G74" s="91"/>
      <c r="H74" s="91"/>
      <c r="I74" s="91"/>
      <c r="J74" s="91"/>
      <c r="K74" s="91"/>
      <c r="L74" s="91"/>
      <c r="M74" s="91"/>
      <c r="N74" s="91"/>
      <c r="O74" s="91"/>
      <c r="P74" s="91"/>
      <c r="Q74" s="91"/>
      <c r="R74" s="91"/>
      <c r="S74" s="91"/>
      <c r="T74" s="91"/>
      <c r="U74" s="91"/>
      <c r="V74" s="91"/>
      <c r="W74" s="91"/>
      <c r="X74" s="91"/>
      <c r="Y74" s="91"/>
      <c r="Z74" s="91"/>
    </row>
    <row r="75" spans="1:26" ht="15.75" customHeight="1" x14ac:dyDescent="0.25">
      <c r="A75" s="9" t="s">
        <v>2529</v>
      </c>
      <c r="B75" s="189" t="s">
        <v>2530</v>
      </c>
      <c r="C75" s="91" t="s">
        <v>2531</v>
      </c>
      <c r="D75" s="91"/>
      <c r="E75" s="91"/>
      <c r="F75" s="91"/>
      <c r="G75" s="91"/>
      <c r="H75" s="91"/>
      <c r="I75" s="91"/>
      <c r="J75" s="91"/>
      <c r="K75" s="91"/>
      <c r="L75" s="91"/>
      <c r="M75" s="91"/>
      <c r="N75" s="91"/>
      <c r="O75" s="91"/>
      <c r="P75" s="91"/>
      <c r="Q75" s="91"/>
      <c r="R75" s="91"/>
      <c r="S75" s="91"/>
      <c r="T75" s="91"/>
      <c r="U75" s="91"/>
      <c r="V75" s="91"/>
      <c r="W75" s="91"/>
      <c r="X75" s="91"/>
      <c r="Y75" s="91"/>
      <c r="Z75" s="91"/>
    </row>
    <row r="76" spans="1:26" ht="15.75" customHeight="1" x14ac:dyDescent="0.25">
      <c r="A76" s="9" t="s">
        <v>2532</v>
      </c>
      <c r="B76" s="189" t="s">
        <v>2346</v>
      </c>
      <c r="C76" s="91" t="s">
        <v>2533</v>
      </c>
      <c r="D76" s="91"/>
      <c r="E76" s="91"/>
      <c r="F76" s="91"/>
      <c r="G76" s="91"/>
      <c r="H76" s="91"/>
      <c r="I76" s="91"/>
      <c r="J76" s="91"/>
      <c r="K76" s="91"/>
      <c r="L76" s="91"/>
      <c r="M76" s="91"/>
      <c r="N76" s="91"/>
      <c r="O76" s="91"/>
      <c r="P76" s="91"/>
      <c r="Q76" s="91"/>
      <c r="R76" s="91"/>
      <c r="S76" s="91"/>
      <c r="T76" s="91"/>
      <c r="U76" s="91"/>
      <c r="V76" s="91"/>
      <c r="W76" s="91"/>
      <c r="X76" s="91"/>
      <c r="Y76" s="91"/>
      <c r="Z76" s="91"/>
    </row>
    <row r="77" spans="1:26" ht="15.75" customHeight="1" x14ac:dyDescent="0.25">
      <c r="A77" s="9" t="s">
        <v>2534</v>
      </c>
      <c r="B77" s="189" t="s">
        <v>2535</v>
      </c>
      <c r="C77" s="91" t="s">
        <v>2536</v>
      </c>
      <c r="D77" s="91"/>
      <c r="E77" s="91"/>
      <c r="F77" s="91"/>
      <c r="G77" s="91"/>
      <c r="H77" s="91"/>
      <c r="I77" s="91"/>
      <c r="J77" s="91"/>
      <c r="K77" s="91"/>
      <c r="L77" s="91"/>
      <c r="M77" s="91"/>
      <c r="N77" s="91"/>
      <c r="O77" s="91"/>
      <c r="P77" s="91"/>
      <c r="Q77" s="91"/>
      <c r="R77" s="91"/>
      <c r="S77" s="91"/>
      <c r="T77" s="91"/>
      <c r="U77" s="91"/>
      <c r="V77" s="91"/>
      <c r="W77" s="91"/>
      <c r="X77" s="91"/>
      <c r="Y77" s="91"/>
      <c r="Z77" s="91"/>
    </row>
    <row r="78" spans="1:26" ht="15.75" customHeight="1" x14ac:dyDescent="0.25">
      <c r="A78" s="9" t="s">
        <v>2537</v>
      </c>
      <c r="B78" s="189" t="s">
        <v>2538</v>
      </c>
      <c r="C78" s="91" t="s">
        <v>2539</v>
      </c>
      <c r="D78" s="91"/>
      <c r="E78" s="91"/>
      <c r="F78" s="91"/>
      <c r="G78" s="91"/>
      <c r="H78" s="91"/>
      <c r="I78" s="91"/>
      <c r="J78" s="91"/>
      <c r="K78" s="91"/>
      <c r="L78" s="91"/>
      <c r="M78" s="91"/>
      <c r="N78" s="91"/>
      <c r="O78" s="91"/>
      <c r="P78" s="91"/>
      <c r="Q78" s="91"/>
      <c r="R78" s="91"/>
      <c r="S78" s="91"/>
      <c r="T78" s="91"/>
      <c r="U78" s="91"/>
      <c r="V78" s="91"/>
      <c r="W78" s="91"/>
      <c r="X78" s="91"/>
      <c r="Y78" s="91"/>
      <c r="Z78" s="91"/>
    </row>
    <row r="79" spans="1:26" ht="15.75" customHeight="1" x14ac:dyDescent="0.25">
      <c r="A79" s="9" t="s">
        <v>2540</v>
      </c>
      <c r="B79" s="189" t="s">
        <v>2541</v>
      </c>
      <c r="C79" s="91" t="s">
        <v>2406</v>
      </c>
      <c r="D79" s="91"/>
      <c r="E79" s="91"/>
      <c r="F79" s="91"/>
      <c r="G79" s="91"/>
      <c r="H79" s="91"/>
      <c r="I79" s="91"/>
      <c r="J79" s="91"/>
      <c r="K79" s="91"/>
      <c r="L79" s="91"/>
      <c r="M79" s="91"/>
      <c r="N79" s="91"/>
      <c r="O79" s="91"/>
      <c r="P79" s="91"/>
      <c r="Q79" s="91"/>
      <c r="R79" s="91"/>
      <c r="S79" s="91"/>
      <c r="T79" s="91"/>
      <c r="U79" s="91"/>
      <c r="V79" s="91"/>
      <c r="W79" s="91"/>
      <c r="X79" s="91"/>
      <c r="Y79" s="91"/>
      <c r="Z79" s="91"/>
    </row>
    <row r="80" spans="1:26" ht="15.75" customHeight="1" x14ac:dyDescent="0.25">
      <c r="A80" s="9" t="s">
        <v>2542</v>
      </c>
      <c r="B80" s="189" t="s">
        <v>2543</v>
      </c>
      <c r="C80" s="91" t="s">
        <v>2544</v>
      </c>
      <c r="D80" s="91"/>
      <c r="E80" s="91"/>
      <c r="F80" s="91"/>
      <c r="G80" s="91"/>
      <c r="H80" s="91"/>
      <c r="I80" s="91"/>
      <c r="J80" s="91"/>
      <c r="K80" s="91"/>
      <c r="L80" s="91"/>
      <c r="M80" s="91"/>
      <c r="N80" s="91"/>
      <c r="O80" s="91"/>
      <c r="P80" s="91"/>
      <c r="Q80" s="91"/>
      <c r="R80" s="91"/>
      <c r="S80" s="91"/>
      <c r="T80" s="91"/>
      <c r="U80" s="91"/>
      <c r="V80" s="91"/>
      <c r="W80" s="91"/>
      <c r="X80" s="91"/>
      <c r="Y80" s="91"/>
      <c r="Z80" s="91"/>
    </row>
    <row r="81" spans="1:26" ht="15.75" customHeight="1" x14ac:dyDescent="0.25">
      <c r="A81" s="9" t="s">
        <v>2545</v>
      </c>
      <c r="B81" s="189" t="s">
        <v>2546</v>
      </c>
      <c r="C81" s="91" t="s">
        <v>2547</v>
      </c>
      <c r="D81" s="91"/>
      <c r="E81" s="91"/>
      <c r="F81" s="91"/>
      <c r="G81" s="91"/>
      <c r="H81" s="91"/>
      <c r="I81" s="91"/>
      <c r="J81" s="91"/>
      <c r="K81" s="91"/>
      <c r="L81" s="91"/>
      <c r="M81" s="91"/>
      <c r="N81" s="91"/>
      <c r="O81" s="91"/>
      <c r="P81" s="91"/>
      <c r="Q81" s="91"/>
      <c r="R81" s="91"/>
      <c r="S81" s="91"/>
      <c r="T81" s="91"/>
      <c r="U81" s="91"/>
      <c r="V81" s="91"/>
      <c r="W81" s="91"/>
      <c r="X81" s="91"/>
      <c r="Y81" s="91"/>
      <c r="Z81" s="91"/>
    </row>
    <row r="82" spans="1:26" ht="15.75" customHeight="1" x14ac:dyDescent="0.25">
      <c r="A82" s="9" t="s">
        <v>2548</v>
      </c>
      <c r="B82" s="189" t="s">
        <v>2549</v>
      </c>
      <c r="C82" s="91" t="s">
        <v>2550</v>
      </c>
      <c r="D82" s="91"/>
      <c r="E82" s="91"/>
      <c r="F82" s="91"/>
      <c r="G82" s="91"/>
      <c r="H82" s="91"/>
      <c r="I82" s="91"/>
      <c r="J82" s="91"/>
      <c r="K82" s="91"/>
      <c r="L82" s="91"/>
      <c r="M82" s="91"/>
      <c r="N82" s="91"/>
      <c r="O82" s="91"/>
      <c r="P82" s="91"/>
      <c r="Q82" s="91"/>
      <c r="R82" s="91"/>
      <c r="S82" s="91"/>
      <c r="T82" s="91"/>
      <c r="U82" s="91"/>
      <c r="V82" s="91"/>
      <c r="W82" s="91"/>
      <c r="X82" s="91"/>
      <c r="Y82" s="91"/>
      <c r="Z82" s="91"/>
    </row>
    <row r="83" spans="1:26" ht="15.75" customHeight="1" x14ac:dyDescent="0.25">
      <c r="A83" s="9" t="s">
        <v>2551</v>
      </c>
      <c r="B83" s="189" t="s">
        <v>2552</v>
      </c>
      <c r="C83" s="91" t="s">
        <v>2553</v>
      </c>
      <c r="D83" s="91"/>
      <c r="E83" s="91"/>
      <c r="F83" s="91"/>
      <c r="G83" s="91"/>
      <c r="H83" s="91"/>
      <c r="I83" s="91"/>
      <c r="J83" s="91"/>
      <c r="K83" s="91"/>
      <c r="L83" s="91"/>
      <c r="M83" s="91"/>
      <c r="N83" s="91"/>
      <c r="O83" s="91"/>
      <c r="P83" s="91"/>
      <c r="Q83" s="91"/>
      <c r="R83" s="91"/>
      <c r="S83" s="91"/>
      <c r="T83" s="91"/>
      <c r="U83" s="91"/>
      <c r="V83" s="91"/>
      <c r="W83" s="91"/>
      <c r="X83" s="91"/>
      <c r="Y83" s="91"/>
      <c r="Z83" s="91"/>
    </row>
    <row r="84" spans="1:26" ht="15.75" customHeight="1" x14ac:dyDescent="0.25">
      <c r="A84" s="9" t="s">
        <v>2554</v>
      </c>
      <c r="B84" s="189" t="s">
        <v>2555</v>
      </c>
      <c r="C84" s="91"/>
      <c r="D84" s="91"/>
      <c r="E84" s="91"/>
      <c r="F84" s="91"/>
      <c r="G84" s="91"/>
      <c r="H84" s="91"/>
      <c r="I84" s="91"/>
      <c r="J84" s="91"/>
      <c r="K84" s="91"/>
      <c r="L84" s="91"/>
      <c r="M84" s="91"/>
      <c r="N84" s="91"/>
      <c r="O84" s="91"/>
      <c r="P84" s="91"/>
      <c r="Q84" s="91"/>
      <c r="R84" s="91"/>
      <c r="S84" s="91"/>
      <c r="T84" s="91"/>
      <c r="U84" s="91"/>
      <c r="V84" s="91"/>
      <c r="W84" s="91"/>
      <c r="X84" s="91"/>
      <c r="Y84" s="91"/>
      <c r="Z84" s="91"/>
    </row>
    <row r="85" spans="1:26" ht="15.75" customHeight="1" x14ac:dyDescent="0.25">
      <c r="A85" s="9" t="s">
        <v>2556</v>
      </c>
      <c r="B85" s="189" t="s">
        <v>2557</v>
      </c>
      <c r="C85" s="91" t="s">
        <v>2558</v>
      </c>
      <c r="D85" s="91"/>
      <c r="E85" s="91"/>
      <c r="F85" s="91"/>
      <c r="G85" s="91"/>
      <c r="H85" s="91"/>
      <c r="I85" s="91"/>
      <c r="J85" s="91"/>
      <c r="K85" s="91"/>
      <c r="L85" s="91"/>
      <c r="M85" s="91"/>
      <c r="N85" s="91"/>
      <c r="O85" s="91"/>
      <c r="P85" s="91"/>
      <c r="Q85" s="91"/>
      <c r="R85" s="91"/>
      <c r="S85" s="91"/>
      <c r="T85" s="91"/>
      <c r="U85" s="91"/>
      <c r="V85" s="91"/>
      <c r="W85" s="91"/>
      <c r="X85" s="91"/>
      <c r="Y85" s="91"/>
      <c r="Z85" s="91"/>
    </row>
    <row r="86" spans="1:26" ht="15.75" customHeight="1" x14ac:dyDescent="0.25">
      <c r="A86" s="9" t="s">
        <v>2559</v>
      </c>
      <c r="B86" s="189" t="s">
        <v>2560</v>
      </c>
      <c r="C86" s="91" t="s">
        <v>2561</v>
      </c>
      <c r="D86" s="91"/>
      <c r="E86" s="91"/>
      <c r="F86" s="91"/>
      <c r="G86" s="91"/>
      <c r="H86" s="91"/>
      <c r="I86" s="91"/>
      <c r="J86" s="91"/>
      <c r="K86" s="91"/>
      <c r="L86" s="91"/>
      <c r="M86" s="91"/>
      <c r="N86" s="91"/>
      <c r="O86" s="91"/>
      <c r="P86" s="91"/>
      <c r="Q86" s="91"/>
      <c r="R86" s="91"/>
      <c r="S86" s="91"/>
      <c r="T86" s="91"/>
      <c r="U86" s="91"/>
      <c r="V86" s="91"/>
      <c r="W86" s="91"/>
      <c r="X86" s="91"/>
      <c r="Y86" s="91"/>
      <c r="Z86" s="91"/>
    </row>
    <row r="87" spans="1:26" ht="15.75" customHeight="1" x14ac:dyDescent="0.25">
      <c r="A87" s="9" t="s">
        <v>2562</v>
      </c>
      <c r="B87" s="189" t="s">
        <v>2563</v>
      </c>
      <c r="C87" s="91" t="s">
        <v>2564</v>
      </c>
      <c r="D87" s="91"/>
      <c r="E87" s="91"/>
      <c r="F87" s="91"/>
      <c r="G87" s="91"/>
      <c r="H87" s="91"/>
      <c r="I87" s="91"/>
      <c r="J87" s="91"/>
      <c r="K87" s="91"/>
      <c r="L87" s="91"/>
      <c r="M87" s="91"/>
      <c r="N87" s="91"/>
      <c r="O87" s="91"/>
      <c r="P87" s="91"/>
      <c r="Q87" s="91"/>
      <c r="R87" s="91"/>
      <c r="S87" s="91"/>
      <c r="T87" s="91"/>
      <c r="U87" s="91"/>
      <c r="V87" s="91"/>
      <c r="W87" s="91"/>
      <c r="X87" s="91"/>
      <c r="Y87" s="91"/>
      <c r="Z87" s="91"/>
    </row>
    <row r="88" spans="1:26" ht="15.75" customHeight="1" x14ac:dyDescent="0.25">
      <c r="A88" s="9" t="s">
        <v>2565</v>
      </c>
      <c r="B88" s="189" t="s">
        <v>2566</v>
      </c>
      <c r="C88" s="91" t="s">
        <v>2567</v>
      </c>
      <c r="D88" s="91"/>
      <c r="E88" s="91"/>
      <c r="F88" s="91"/>
      <c r="G88" s="91"/>
      <c r="H88" s="91"/>
      <c r="I88" s="91"/>
      <c r="J88" s="91"/>
      <c r="K88" s="91"/>
      <c r="L88" s="91"/>
      <c r="M88" s="91"/>
      <c r="N88" s="91"/>
      <c r="O88" s="91"/>
      <c r="P88" s="91"/>
      <c r="Q88" s="91"/>
      <c r="R88" s="91"/>
      <c r="S88" s="91"/>
      <c r="T88" s="91"/>
      <c r="U88" s="91"/>
      <c r="V88" s="91"/>
      <c r="W88" s="91"/>
      <c r="X88" s="91"/>
      <c r="Y88" s="91"/>
      <c r="Z88" s="91"/>
    </row>
    <row r="89" spans="1:26" ht="15.75" customHeight="1" x14ac:dyDescent="0.25">
      <c r="A89" s="9" t="s">
        <v>2568</v>
      </c>
      <c r="B89" s="189" t="s">
        <v>2569</v>
      </c>
      <c r="C89" s="91"/>
      <c r="D89" s="91"/>
      <c r="E89" s="91"/>
      <c r="F89" s="91"/>
      <c r="G89" s="91"/>
      <c r="H89" s="91"/>
      <c r="I89" s="91"/>
      <c r="J89" s="91"/>
      <c r="K89" s="91"/>
      <c r="L89" s="91"/>
      <c r="M89" s="91"/>
      <c r="N89" s="91"/>
      <c r="O89" s="91"/>
      <c r="P89" s="91"/>
      <c r="Q89" s="91"/>
      <c r="R89" s="91"/>
      <c r="S89" s="91"/>
      <c r="T89" s="91"/>
      <c r="U89" s="91"/>
      <c r="V89" s="91"/>
      <c r="W89" s="91"/>
      <c r="X89" s="91"/>
      <c r="Y89" s="91"/>
      <c r="Z89" s="91"/>
    </row>
    <row r="90" spans="1:26" ht="15.75" customHeight="1" x14ac:dyDescent="0.25">
      <c r="A90" s="9" t="s">
        <v>2570</v>
      </c>
      <c r="B90" s="189" t="s">
        <v>2571</v>
      </c>
      <c r="C90" s="91"/>
      <c r="D90" s="91"/>
      <c r="E90" s="91"/>
      <c r="F90" s="91"/>
      <c r="G90" s="91"/>
      <c r="H90" s="91"/>
      <c r="I90" s="91"/>
      <c r="J90" s="91"/>
      <c r="K90" s="91"/>
      <c r="L90" s="91"/>
      <c r="M90" s="91"/>
      <c r="N90" s="91"/>
      <c r="O90" s="91"/>
      <c r="P90" s="91"/>
      <c r="Q90" s="91"/>
      <c r="R90" s="91"/>
      <c r="S90" s="91"/>
      <c r="T90" s="91"/>
      <c r="U90" s="91"/>
      <c r="V90" s="91"/>
      <c r="W90" s="91"/>
      <c r="X90" s="91"/>
      <c r="Y90" s="91"/>
      <c r="Z90" s="91"/>
    </row>
    <row r="91" spans="1:26" ht="15.75" customHeight="1" x14ac:dyDescent="0.25">
      <c r="A91" s="9" t="s">
        <v>2572</v>
      </c>
      <c r="B91" s="189" t="s">
        <v>2573</v>
      </c>
      <c r="C91" s="91" t="s">
        <v>2574</v>
      </c>
      <c r="D91" s="91"/>
      <c r="E91" s="91"/>
      <c r="F91" s="91"/>
      <c r="G91" s="91"/>
      <c r="H91" s="91"/>
      <c r="I91" s="91"/>
      <c r="J91" s="91"/>
      <c r="K91" s="91"/>
      <c r="L91" s="91"/>
      <c r="M91" s="91"/>
      <c r="N91" s="91"/>
      <c r="O91" s="91"/>
      <c r="P91" s="91"/>
      <c r="Q91" s="91"/>
      <c r="R91" s="91"/>
      <c r="S91" s="91"/>
      <c r="T91" s="91"/>
      <c r="U91" s="91"/>
      <c r="V91" s="91"/>
      <c r="W91" s="91"/>
      <c r="X91" s="91"/>
      <c r="Y91" s="91"/>
      <c r="Z91" s="91"/>
    </row>
    <row r="92" spans="1:26" ht="15.75" customHeight="1" x14ac:dyDescent="0.25">
      <c r="A92" s="9" t="s">
        <v>2575</v>
      </c>
      <c r="B92" s="189" t="s">
        <v>2576</v>
      </c>
      <c r="C92" s="91" t="s">
        <v>2577</v>
      </c>
      <c r="D92" s="91"/>
      <c r="E92" s="91"/>
      <c r="F92" s="91"/>
      <c r="G92" s="91"/>
      <c r="H92" s="91"/>
      <c r="I92" s="91"/>
      <c r="J92" s="91"/>
      <c r="K92" s="91"/>
      <c r="L92" s="91"/>
      <c r="M92" s="91"/>
      <c r="N92" s="91"/>
      <c r="O92" s="91"/>
      <c r="P92" s="91"/>
      <c r="Q92" s="91"/>
      <c r="R92" s="91"/>
      <c r="S92" s="91"/>
      <c r="T92" s="91"/>
      <c r="U92" s="91"/>
      <c r="V92" s="91"/>
      <c r="W92" s="91"/>
      <c r="X92" s="91"/>
      <c r="Y92" s="91"/>
      <c r="Z92" s="91"/>
    </row>
    <row r="93" spans="1:26" ht="15.75" customHeight="1" x14ac:dyDescent="0.25">
      <c r="A93" s="9" t="s">
        <v>2578</v>
      </c>
      <c r="B93" s="189" t="s">
        <v>2579</v>
      </c>
      <c r="C93" s="91"/>
      <c r="D93" s="91"/>
      <c r="E93" s="91"/>
      <c r="F93" s="91"/>
      <c r="G93" s="91"/>
      <c r="H93" s="91"/>
      <c r="I93" s="91"/>
      <c r="J93" s="91"/>
      <c r="K93" s="91"/>
      <c r="L93" s="91"/>
      <c r="M93" s="91"/>
      <c r="N93" s="91"/>
      <c r="O93" s="91"/>
      <c r="P93" s="91"/>
      <c r="Q93" s="91"/>
      <c r="R93" s="91"/>
      <c r="S93" s="91"/>
      <c r="T93" s="91"/>
      <c r="U93" s="91"/>
      <c r="V93" s="91"/>
      <c r="W93" s="91"/>
      <c r="X93" s="91"/>
      <c r="Y93" s="91"/>
      <c r="Z93" s="91"/>
    </row>
    <row r="94" spans="1:26" ht="15.75" customHeight="1" x14ac:dyDescent="0.25">
      <c r="A94" s="9" t="s">
        <v>2580</v>
      </c>
      <c r="B94" s="189" t="s">
        <v>2581</v>
      </c>
      <c r="C94" s="91" t="s">
        <v>2582</v>
      </c>
      <c r="D94" s="91"/>
      <c r="E94" s="91"/>
      <c r="F94" s="91"/>
      <c r="G94" s="91"/>
      <c r="H94" s="91"/>
      <c r="I94" s="91"/>
      <c r="J94" s="91"/>
      <c r="K94" s="91"/>
      <c r="L94" s="91"/>
      <c r="M94" s="91"/>
      <c r="N94" s="91"/>
      <c r="O94" s="91"/>
      <c r="P94" s="91"/>
      <c r="Q94" s="91"/>
      <c r="R94" s="91"/>
      <c r="S94" s="91"/>
      <c r="T94" s="91"/>
      <c r="U94" s="91"/>
      <c r="V94" s="91"/>
      <c r="W94" s="91"/>
      <c r="X94" s="91"/>
      <c r="Y94" s="91"/>
      <c r="Z94" s="91"/>
    </row>
    <row r="95" spans="1:26" ht="15.75" customHeight="1" x14ac:dyDescent="0.25">
      <c r="A95" s="9" t="s">
        <v>2583</v>
      </c>
      <c r="B95" s="189" t="s">
        <v>2584</v>
      </c>
      <c r="C95" s="91" t="s">
        <v>2585</v>
      </c>
      <c r="D95" s="91"/>
      <c r="E95" s="91"/>
      <c r="F95" s="91"/>
      <c r="G95" s="91"/>
      <c r="H95" s="91"/>
      <c r="I95" s="91"/>
      <c r="J95" s="91"/>
      <c r="K95" s="91"/>
      <c r="L95" s="91"/>
      <c r="M95" s="91"/>
      <c r="N95" s="91"/>
      <c r="O95" s="91"/>
      <c r="P95" s="91"/>
      <c r="Q95" s="91"/>
      <c r="R95" s="91"/>
      <c r="S95" s="91"/>
      <c r="T95" s="91"/>
      <c r="U95" s="91"/>
      <c r="V95" s="91"/>
      <c r="W95" s="91"/>
      <c r="X95" s="91"/>
      <c r="Y95" s="91"/>
      <c r="Z95" s="91"/>
    </row>
    <row r="96" spans="1:26" ht="15.75" customHeight="1" x14ac:dyDescent="0.25">
      <c r="A96" s="9" t="s">
        <v>2586</v>
      </c>
      <c r="B96" s="189" t="s">
        <v>2587</v>
      </c>
      <c r="C96" s="91" t="s">
        <v>2588</v>
      </c>
      <c r="D96" s="91"/>
      <c r="E96" s="91"/>
      <c r="F96" s="91"/>
      <c r="G96" s="91"/>
      <c r="H96" s="91"/>
      <c r="I96" s="91"/>
      <c r="J96" s="91"/>
      <c r="K96" s="91"/>
      <c r="L96" s="91"/>
      <c r="M96" s="91"/>
      <c r="N96" s="91"/>
      <c r="O96" s="91"/>
      <c r="P96" s="91"/>
      <c r="Q96" s="91"/>
      <c r="R96" s="91"/>
      <c r="S96" s="91"/>
      <c r="T96" s="91"/>
      <c r="U96" s="91"/>
      <c r="V96" s="91"/>
      <c r="W96" s="91"/>
      <c r="X96" s="91"/>
      <c r="Y96" s="91"/>
      <c r="Z96" s="91"/>
    </row>
    <row r="97" spans="1:26" ht="15.75" customHeight="1" x14ac:dyDescent="0.25">
      <c r="A97" s="9" t="s">
        <v>2589</v>
      </c>
      <c r="B97" s="189" t="s">
        <v>2590</v>
      </c>
      <c r="C97" s="91" t="s">
        <v>2591</v>
      </c>
      <c r="D97" s="91"/>
      <c r="E97" s="91"/>
      <c r="F97" s="91"/>
      <c r="G97" s="91"/>
      <c r="H97" s="91"/>
      <c r="I97" s="91"/>
      <c r="J97" s="91"/>
      <c r="K97" s="91"/>
      <c r="L97" s="91"/>
      <c r="M97" s="91"/>
      <c r="N97" s="91"/>
      <c r="O97" s="91"/>
      <c r="P97" s="91"/>
      <c r="Q97" s="91"/>
      <c r="R97" s="91"/>
      <c r="S97" s="91"/>
      <c r="T97" s="91"/>
      <c r="U97" s="91"/>
      <c r="V97" s="91"/>
      <c r="W97" s="91"/>
      <c r="X97" s="91"/>
      <c r="Y97" s="91"/>
      <c r="Z97" s="91"/>
    </row>
    <row r="98" spans="1:26" ht="15.75" customHeight="1" x14ac:dyDescent="0.25">
      <c r="A98" s="9" t="s">
        <v>2592</v>
      </c>
      <c r="B98" s="189" t="s">
        <v>2593</v>
      </c>
      <c r="C98" s="91"/>
      <c r="D98" s="91"/>
      <c r="E98" s="91"/>
      <c r="F98" s="91"/>
      <c r="G98" s="91"/>
      <c r="H98" s="91"/>
      <c r="I98" s="91"/>
      <c r="J98" s="91"/>
      <c r="K98" s="91"/>
      <c r="L98" s="91"/>
      <c r="M98" s="91"/>
      <c r="N98" s="91"/>
      <c r="O98" s="91"/>
      <c r="P98" s="91"/>
      <c r="Q98" s="91"/>
      <c r="R98" s="91"/>
      <c r="S98" s="91"/>
      <c r="T98" s="91"/>
      <c r="U98" s="91"/>
      <c r="V98" s="91"/>
      <c r="W98" s="91"/>
      <c r="X98" s="91"/>
      <c r="Y98" s="91"/>
      <c r="Z98" s="91"/>
    </row>
    <row r="99" spans="1:26" ht="15.75" customHeight="1" x14ac:dyDescent="0.25">
      <c r="A99" s="9" t="s">
        <v>2594</v>
      </c>
      <c r="B99" s="189" t="s">
        <v>2595</v>
      </c>
      <c r="C99" s="91" t="s">
        <v>2596</v>
      </c>
      <c r="D99" s="91"/>
      <c r="E99" s="91"/>
      <c r="F99" s="91"/>
      <c r="G99" s="91"/>
      <c r="H99" s="91"/>
      <c r="I99" s="91"/>
      <c r="J99" s="91"/>
      <c r="K99" s="91"/>
      <c r="L99" s="91"/>
      <c r="M99" s="91"/>
      <c r="N99" s="91"/>
      <c r="O99" s="91"/>
      <c r="P99" s="91"/>
      <c r="Q99" s="91"/>
      <c r="R99" s="91"/>
      <c r="S99" s="91"/>
      <c r="T99" s="91"/>
      <c r="U99" s="91"/>
      <c r="V99" s="91"/>
      <c r="W99" s="91"/>
      <c r="X99" s="91"/>
      <c r="Y99" s="91"/>
      <c r="Z99" s="91"/>
    </row>
    <row r="100" spans="1:26" ht="15.75" customHeight="1" x14ac:dyDescent="0.25">
      <c r="A100" s="9" t="s">
        <v>2597</v>
      </c>
      <c r="B100" s="189" t="s">
        <v>2598</v>
      </c>
      <c r="C100" s="91" t="s">
        <v>2599</v>
      </c>
      <c r="D100" s="91"/>
      <c r="E100" s="91"/>
      <c r="F100" s="91"/>
      <c r="G100" s="91"/>
      <c r="H100" s="91"/>
      <c r="I100" s="91"/>
      <c r="J100" s="91"/>
      <c r="K100" s="91"/>
      <c r="L100" s="91"/>
      <c r="M100" s="91"/>
      <c r="N100" s="91"/>
      <c r="O100" s="91"/>
      <c r="P100" s="91"/>
      <c r="Q100" s="91"/>
      <c r="R100" s="91"/>
      <c r="S100" s="91"/>
      <c r="T100" s="91"/>
      <c r="U100" s="91"/>
      <c r="V100" s="91"/>
      <c r="W100" s="91"/>
      <c r="X100" s="91"/>
      <c r="Y100" s="91"/>
      <c r="Z100" s="91"/>
    </row>
    <row r="101" spans="1:26" ht="15.75" customHeight="1" x14ac:dyDescent="0.25">
      <c r="A101" s="9" t="s">
        <v>2600</v>
      </c>
      <c r="B101" s="189" t="s">
        <v>2601</v>
      </c>
      <c r="C101" s="91" t="s">
        <v>2602</v>
      </c>
      <c r="D101" s="91"/>
      <c r="E101" s="91"/>
      <c r="F101" s="91"/>
      <c r="G101" s="91"/>
      <c r="H101" s="91"/>
      <c r="I101" s="91"/>
      <c r="J101" s="91"/>
      <c r="K101" s="91"/>
      <c r="L101" s="91"/>
      <c r="M101" s="91"/>
      <c r="N101" s="91"/>
      <c r="O101" s="91"/>
      <c r="P101" s="91"/>
      <c r="Q101" s="91"/>
      <c r="R101" s="91"/>
      <c r="S101" s="91"/>
      <c r="T101" s="91"/>
      <c r="U101" s="91"/>
      <c r="V101" s="91"/>
      <c r="W101" s="91"/>
      <c r="X101" s="91"/>
      <c r="Y101" s="91"/>
      <c r="Z101" s="91"/>
    </row>
    <row r="102" spans="1:26" ht="15.75" customHeight="1" x14ac:dyDescent="0.25">
      <c r="A102" s="9" t="s">
        <v>2603</v>
      </c>
      <c r="B102" s="189" t="s">
        <v>2604</v>
      </c>
      <c r="C102" s="91" t="s">
        <v>2605</v>
      </c>
      <c r="D102" s="91"/>
      <c r="E102" s="91"/>
      <c r="F102" s="91"/>
      <c r="G102" s="91"/>
      <c r="H102" s="91"/>
      <c r="I102" s="91"/>
      <c r="J102" s="91"/>
      <c r="K102" s="91"/>
      <c r="L102" s="91"/>
      <c r="M102" s="91"/>
      <c r="N102" s="91"/>
      <c r="O102" s="91"/>
      <c r="P102" s="91"/>
      <c r="Q102" s="91"/>
      <c r="R102" s="91"/>
      <c r="S102" s="91"/>
      <c r="T102" s="91"/>
      <c r="U102" s="91"/>
      <c r="V102" s="91"/>
      <c r="W102" s="91"/>
      <c r="X102" s="91"/>
      <c r="Y102" s="91"/>
      <c r="Z102" s="91"/>
    </row>
    <row r="103" spans="1:26" ht="15.75" customHeight="1" x14ac:dyDescent="0.25">
      <c r="A103" s="9" t="s">
        <v>2606</v>
      </c>
      <c r="B103" s="189" t="s">
        <v>2607</v>
      </c>
      <c r="C103" s="91" t="s">
        <v>2608</v>
      </c>
      <c r="D103" s="91"/>
      <c r="E103" s="91"/>
      <c r="F103" s="91"/>
      <c r="G103" s="91"/>
      <c r="H103" s="91"/>
      <c r="I103" s="91"/>
      <c r="J103" s="91"/>
      <c r="K103" s="91"/>
      <c r="L103" s="91"/>
      <c r="M103" s="91"/>
      <c r="N103" s="91"/>
      <c r="O103" s="91"/>
      <c r="P103" s="91"/>
      <c r="Q103" s="91"/>
      <c r="R103" s="91"/>
      <c r="S103" s="91"/>
      <c r="T103" s="91"/>
      <c r="U103" s="91"/>
      <c r="V103" s="91"/>
      <c r="W103" s="91"/>
      <c r="X103" s="91"/>
      <c r="Y103" s="91"/>
      <c r="Z103" s="91"/>
    </row>
    <row r="104" spans="1:26" ht="15.75" customHeight="1" x14ac:dyDescent="0.25">
      <c r="A104" s="9" t="s">
        <v>2609</v>
      </c>
      <c r="B104" s="189" t="s">
        <v>2610</v>
      </c>
      <c r="C104" s="91" t="s">
        <v>2611</v>
      </c>
      <c r="D104" s="91"/>
      <c r="E104" s="91"/>
      <c r="F104" s="91"/>
      <c r="G104" s="91"/>
      <c r="H104" s="91"/>
      <c r="I104" s="91"/>
      <c r="J104" s="91"/>
      <c r="K104" s="91"/>
      <c r="L104" s="91"/>
      <c r="M104" s="91"/>
      <c r="N104" s="91"/>
      <c r="O104" s="91"/>
      <c r="P104" s="91"/>
      <c r="Q104" s="91"/>
      <c r="R104" s="91"/>
      <c r="S104" s="91"/>
      <c r="T104" s="91"/>
      <c r="U104" s="91"/>
      <c r="V104" s="91"/>
      <c r="W104" s="91"/>
      <c r="X104" s="91"/>
      <c r="Y104" s="91"/>
      <c r="Z104" s="91"/>
    </row>
    <row r="105" spans="1:26" ht="15.75" customHeight="1" x14ac:dyDescent="0.25">
      <c r="A105" s="9" t="s">
        <v>2612</v>
      </c>
      <c r="B105" s="189" t="s">
        <v>2613</v>
      </c>
      <c r="C105" s="91" t="s">
        <v>2614</v>
      </c>
      <c r="D105" s="91"/>
      <c r="E105" s="91"/>
      <c r="F105" s="91"/>
      <c r="G105" s="91"/>
      <c r="H105" s="91"/>
      <c r="I105" s="91"/>
      <c r="J105" s="91"/>
      <c r="K105" s="91"/>
      <c r="L105" s="91"/>
      <c r="M105" s="91"/>
      <c r="N105" s="91"/>
      <c r="O105" s="91"/>
      <c r="P105" s="91"/>
      <c r="Q105" s="91"/>
      <c r="R105" s="91"/>
      <c r="S105" s="91"/>
      <c r="T105" s="91"/>
      <c r="U105" s="91"/>
      <c r="V105" s="91"/>
      <c r="W105" s="91"/>
      <c r="X105" s="91"/>
      <c r="Y105" s="91"/>
      <c r="Z105" s="91"/>
    </row>
    <row r="106" spans="1:26" ht="15.75" customHeight="1" x14ac:dyDescent="0.25">
      <c r="A106" s="9" t="s">
        <v>2615</v>
      </c>
      <c r="B106" s="189" t="s">
        <v>2616</v>
      </c>
      <c r="C106" s="91" t="s">
        <v>2617</v>
      </c>
      <c r="D106" s="91"/>
      <c r="E106" s="91"/>
      <c r="F106" s="91"/>
      <c r="G106" s="91"/>
      <c r="H106" s="91"/>
      <c r="I106" s="91"/>
      <c r="J106" s="91"/>
      <c r="K106" s="91"/>
      <c r="L106" s="91"/>
      <c r="M106" s="91"/>
      <c r="N106" s="91"/>
      <c r="O106" s="91"/>
      <c r="P106" s="91"/>
      <c r="Q106" s="91"/>
      <c r="R106" s="91"/>
      <c r="S106" s="91"/>
      <c r="T106" s="91"/>
      <c r="U106" s="91"/>
      <c r="V106" s="91"/>
      <c r="W106" s="91"/>
      <c r="X106" s="91"/>
      <c r="Y106" s="91"/>
      <c r="Z106" s="91"/>
    </row>
    <row r="107" spans="1:26" ht="15.75" customHeight="1" x14ac:dyDescent="0.25">
      <c r="A107" s="9" t="s">
        <v>2618</v>
      </c>
      <c r="B107" s="189" t="s">
        <v>2619</v>
      </c>
      <c r="C107" s="91" t="s">
        <v>2620</v>
      </c>
      <c r="D107" s="91"/>
      <c r="E107" s="91"/>
      <c r="F107" s="91"/>
      <c r="G107" s="91"/>
      <c r="H107" s="91"/>
      <c r="I107" s="91"/>
      <c r="J107" s="91"/>
      <c r="K107" s="91"/>
      <c r="L107" s="91"/>
      <c r="M107" s="91"/>
      <c r="N107" s="91"/>
      <c r="O107" s="91"/>
      <c r="P107" s="91"/>
      <c r="Q107" s="91"/>
      <c r="R107" s="91"/>
      <c r="S107" s="91"/>
      <c r="T107" s="91"/>
      <c r="U107" s="91"/>
      <c r="V107" s="91"/>
      <c r="W107" s="91"/>
      <c r="X107" s="91"/>
      <c r="Y107" s="91"/>
      <c r="Z107" s="91"/>
    </row>
    <row r="108" spans="1:26" ht="15.75" customHeight="1" x14ac:dyDescent="0.25">
      <c r="A108" s="9" t="s">
        <v>2621</v>
      </c>
      <c r="B108" s="189" t="s">
        <v>2622</v>
      </c>
      <c r="C108" s="91" t="s">
        <v>2623</v>
      </c>
      <c r="D108" s="91"/>
      <c r="E108" s="91"/>
      <c r="F108" s="91"/>
      <c r="G108" s="91"/>
      <c r="H108" s="91"/>
      <c r="I108" s="91"/>
      <c r="J108" s="91"/>
      <c r="K108" s="91"/>
      <c r="L108" s="91"/>
      <c r="M108" s="91"/>
      <c r="N108" s="91"/>
      <c r="O108" s="91"/>
      <c r="P108" s="91"/>
      <c r="Q108" s="91"/>
      <c r="R108" s="91"/>
      <c r="S108" s="91"/>
      <c r="T108" s="91"/>
      <c r="U108" s="91"/>
      <c r="V108" s="91"/>
      <c r="W108" s="91"/>
      <c r="X108" s="91"/>
      <c r="Y108" s="91"/>
      <c r="Z108" s="91"/>
    </row>
    <row r="109" spans="1:26" ht="15.75" customHeight="1" x14ac:dyDescent="0.25">
      <c r="A109" s="9" t="s">
        <v>2624</v>
      </c>
      <c r="B109" s="189" t="s">
        <v>2625</v>
      </c>
      <c r="C109" s="91" t="s">
        <v>2626</v>
      </c>
      <c r="D109" s="91"/>
      <c r="E109" s="91"/>
      <c r="F109" s="91"/>
      <c r="G109" s="91"/>
      <c r="H109" s="91"/>
      <c r="I109" s="91"/>
      <c r="J109" s="91"/>
      <c r="K109" s="91"/>
      <c r="L109" s="91"/>
      <c r="M109" s="91"/>
      <c r="N109" s="91"/>
      <c r="O109" s="91"/>
      <c r="P109" s="91"/>
      <c r="Q109" s="91"/>
      <c r="R109" s="91"/>
      <c r="S109" s="91"/>
      <c r="T109" s="91"/>
      <c r="U109" s="91"/>
      <c r="V109" s="91"/>
      <c r="W109" s="91"/>
      <c r="X109" s="91"/>
      <c r="Y109" s="91"/>
      <c r="Z109" s="91"/>
    </row>
    <row r="110" spans="1:26" ht="15.75" customHeight="1" x14ac:dyDescent="0.25">
      <c r="A110" s="9" t="s">
        <v>2627</v>
      </c>
      <c r="B110" s="189" t="s">
        <v>2628</v>
      </c>
      <c r="C110" s="91" t="s">
        <v>2629</v>
      </c>
      <c r="D110" s="91"/>
      <c r="E110" s="91"/>
      <c r="F110" s="91"/>
      <c r="G110" s="91"/>
      <c r="H110" s="91"/>
      <c r="I110" s="91"/>
      <c r="J110" s="91"/>
      <c r="K110" s="91"/>
      <c r="L110" s="91"/>
      <c r="M110" s="91"/>
      <c r="N110" s="91"/>
      <c r="O110" s="91"/>
      <c r="P110" s="91"/>
      <c r="Q110" s="91"/>
      <c r="R110" s="91"/>
      <c r="S110" s="91"/>
      <c r="T110" s="91"/>
      <c r="U110" s="91"/>
      <c r="V110" s="91"/>
      <c r="W110" s="91"/>
      <c r="X110" s="91"/>
      <c r="Y110" s="91"/>
      <c r="Z110" s="91"/>
    </row>
    <row r="111" spans="1:26" ht="15.75" customHeight="1" x14ac:dyDescent="0.25">
      <c r="A111" s="9" t="s">
        <v>2630</v>
      </c>
      <c r="B111" s="189" t="s">
        <v>2631</v>
      </c>
      <c r="C111" s="91" t="s">
        <v>2632</v>
      </c>
      <c r="D111" s="91"/>
      <c r="E111" s="91"/>
      <c r="F111" s="91"/>
      <c r="G111" s="91"/>
      <c r="H111" s="91"/>
      <c r="I111" s="91"/>
      <c r="J111" s="91"/>
      <c r="K111" s="91"/>
      <c r="L111" s="91"/>
      <c r="M111" s="91"/>
      <c r="N111" s="91"/>
      <c r="O111" s="91"/>
      <c r="P111" s="91"/>
      <c r="Q111" s="91"/>
      <c r="R111" s="91"/>
      <c r="S111" s="91"/>
      <c r="T111" s="91"/>
      <c r="U111" s="91"/>
      <c r="V111" s="91"/>
      <c r="W111" s="91"/>
      <c r="X111" s="91"/>
      <c r="Y111" s="91"/>
      <c r="Z111" s="91"/>
    </row>
    <row r="112" spans="1:26" ht="15.75" customHeight="1" x14ac:dyDescent="0.25">
      <c r="A112" s="9" t="s">
        <v>2633</v>
      </c>
      <c r="B112" s="189" t="s">
        <v>2634</v>
      </c>
      <c r="C112" s="91" t="s">
        <v>2635</v>
      </c>
      <c r="D112" s="91"/>
      <c r="E112" s="91"/>
      <c r="F112" s="91"/>
      <c r="G112" s="91"/>
      <c r="H112" s="91"/>
      <c r="I112" s="91"/>
      <c r="J112" s="91"/>
      <c r="K112" s="91"/>
      <c r="L112" s="91"/>
      <c r="M112" s="91"/>
      <c r="N112" s="91"/>
      <c r="O112" s="91"/>
      <c r="P112" s="91"/>
      <c r="Q112" s="91"/>
      <c r="R112" s="91"/>
      <c r="S112" s="91"/>
      <c r="T112" s="91"/>
      <c r="U112" s="91"/>
      <c r="V112" s="91"/>
      <c r="W112" s="91"/>
      <c r="X112" s="91"/>
      <c r="Y112" s="91"/>
      <c r="Z112" s="91"/>
    </row>
    <row r="113" spans="1:26" ht="15.75" customHeight="1" x14ac:dyDescent="0.25">
      <c r="A113" s="9" t="s">
        <v>2636</v>
      </c>
      <c r="B113" s="189" t="s">
        <v>2637</v>
      </c>
      <c r="C113" s="91" t="s">
        <v>2638</v>
      </c>
      <c r="D113" s="91"/>
      <c r="E113" s="91"/>
      <c r="F113" s="91"/>
      <c r="G113" s="91"/>
      <c r="H113" s="91"/>
      <c r="I113" s="91"/>
      <c r="J113" s="91"/>
      <c r="K113" s="91"/>
      <c r="L113" s="91"/>
      <c r="M113" s="91"/>
      <c r="N113" s="91"/>
      <c r="O113" s="91"/>
      <c r="P113" s="91"/>
      <c r="Q113" s="91"/>
      <c r="R113" s="91"/>
      <c r="S113" s="91"/>
      <c r="T113" s="91"/>
      <c r="U113" s="91"/>
      <c r="V113" s="91"/>
      <c r="W113" s="91"/>
      <c r="X113" s="91"/>
      <c r="Y113" s="91"/>
      <c r="Z113" s="91"/>
    </row>
    <row r="114" spans="1:26" ht="15.75" customHeight="1" x14ac:dyDescent="0.25">
      <c r="A114" s="9" t="s">
        <v>2639</v>
      </c>
      <c r="B114" s="189" t="s">
        <v>2640</v>
      </c>
      <c r="C114" s="91" t="s">
        <v>2641</v>
      </c>
      <c r="D114" s="91"/>
      <c r="E114" s="91"/>
      <c r="F114" s="91"/>
      <c r="G114" s="91"/>
      <c r="H114" s="91"/>
      <c r="I114" s="91"/>
      <c r="J114" s="91"/>
      <c r="K114" s="91"/>
      <c r="L114" s="91"/>
      <c r="M114" s="91"/>
      <c r="N114" s="91"/>
      <c r="O114" s="91"/>
      <c r="P114" s="91"/>
      <c r="Q114" s="91"/>
      <c r="R114" s="91"/>
      <c r="S114" s="91"/>
      <c r="T114" s="91"/>
      <c r="U114" s="91"/>
      <c r="V114" s="91"/>
      <c r="W114" s="91"/>
      <c r="X114" s="91"/>
      <c r="Y114" s="91"/>
      <c r="Z114" s="91"/>
    </row>
    <row r="115" spans="1:26" ht="15.75" customHeight="1" x14ac:dyDescent="0.25">
      <c r="A115" s="9" t="s">
        <v>2642</v>
      </c>
      <c r="B115" s="189" t="s">
        <v>2643</v>
      </c>
      <c r="C115" s="91" t="s">
        <v>2644</v>
      </c>
      <c r="D115" s="91"/>
      <c r="E115" s="91"/>
      <c r="F115" s="91"/>
      <c r="G115" s="91"/>
      <c r="H115" s="91"/>
      <c r="I115" s="91"/>
      <c r="J115" s="91"/>
      <c r="K115" s="91"/>
      <c r="L115" s="91"/>
      <c r="M115" s="91"/>
      <c r="N115" s="91"/>
      <c r="O115" s="91"/>
      <c r="P115" s="91"/>
      <c r="Q115" s="91"/>
      <c r="R115" s="91"/>
      <c r="S115" s="91"/>
      <c r="T115" s="91"/>
      <c r="U115" s="91"/>
      <c r="V115" s="91"/>
      <c r="W115" s="91"/>
      <c r="X115" s="91"/>
      <c r="Y115" s="91"/>
      <c r="Z115" s="91"/>
    </row>
    <row r="116" spans="1:26" ht="15.75" customHeight="1" x14ac:dyDescent="0.25">
      <c r="A116" s="9" t="s">
        <v>2645</v>
      </c>
      <c r="B116" s="189" t="s">
        <v>2646</v>
      </c>
      <c r="C116" s="91" t="s">
        <v>2647</v>
      </c>
      <c r="D116" s="91"/>
      <c r="E116" s="91"/>
      <c r="F116" s="91"/>
      <c r="G116" s="91"/>
      <c r="H116" s="91"/>
      <c r="I116" s="91"/>
      <c r="J116" s="91"/>
      <c r="K116" s="91"/>
      <c r="L116" s="91"/>
      <c r="M116" s="91"/>
      <c r="N116" s="91"/>
      <c r="O116" s="91"/>
      <c r="P116" s="91"/>
      <c r="Q116" s="91"/>
      <c r="R116" s="91"/>
      <c r="S116" s="91"/>
      <c r="T116" s="91"/>
      <c r="U116" s="91"/>
      <c r="V116" s="91"/>
      <c r="W116" s="91"/>
      <c r="X116" s="91"/>
      <c r="Y116" s="91"/>
      <c r="Z116" s="91"/>
    </row>
    <row r="117" spans="1:26" ht="15.75" customHeight="1" x14ac:dyDescent="0.25">
      <c r="A117" s="9" t="s">
        <v>2648</v>
      </c>
      <c r="B117" s="189" t="s">
        <v>2649</v>
      </c>
      <c r="C117" s="91" t="s">
        <v>2650</v>
      </c>
      <c r="D117" s="91"/>
      <c r="E117" s="91"/>
      <c r="F117" s="91"/>
      <c r="G117" s="91"/>
      <c r="H117" s="91"/>
      <c r="I117" s="91"/>
      <c r="J117" s="91"/>
      <c r="K117" s="91"/>
      <c r="L117" s="91"/>
      <c r="M117" s="91"/>
      <c r="N117" s="91"/>
      <c r="O117" s="91"/>
      <c r="P117" s="91"/>
      <c r="Q117" s="91"/>
      <c r="R117" s="91"/>
      <c r="S117" s="91"/>
      <c r="T117" s="91"/>
      <c r="U117" s="91"/>
      <c r="V117" s="91"/>
      <c r="W117" s="91"/>
      <c r="X117" s="91"/>
      <c r="Y117" s="91"/>
      <c r="Z117" s="91"/>
    </row>
    <row r="118" spans="1:26" ht="15.75" customHeight="1" x14ac:dyDescent="0.25">
      <c r="A118" s="9" t="s">
        <v>2651</v>
      </c>
      <c r="B118" s="189" t="s">
        <v>2652</v>
      </c>
      <c r="C118" s="91" t="s">
        <v>2653</v>
      </c>
      <c r="D118" s="91"/>
      <c r="E118" s="91"/>
      <c r="F118" s="91"/>
      <c r="G118" s="91"/>
      <c r="H118" s="91"/>
      <c r="I118" s="91"/>
      <c r="J118" s="91"/>
      <c r="K118" s="91"/>
      <c r="L118" s="91"/>
      <c r="M118" s="91"/>
      <c r="N118" s="91"/>
      <c r="O118" s="91"/>
      <c r="P118" s="91"/>
      <c r="Q118" s="91"/>
      <c r="R118" s="91"/>
      <c r="S118" s="91"/>
      <c r="T118" s="91"/>
      <c r="U118" s="91"/>
      <c r="V118" s="91"/>
      <c r="W118" s="91"/>
      <c r="X118" s="91"/>
      <c r="Y118" s="91"/>
      <c r="Z118" s="91"/>
    </row>
    <row r="119" spans="1:26" ht="15.75" customHeight="1" x14ac:dyDescent="0.25">
      <c r="A119" s="9" t="s">
        <v>2654</v>
      </c>
      <c r="B119" s="189" t="s">
        <v>2655</v>
      </c>
      <c r="C119" s="91" t="s">
        <v>2656</v>
      </c>
      <c r="D119" s="91"/>
      <c r="E119" s="91"/>
      <c r="F119" s="91"/>
      <c r="G119" s="91"/>
      <c r="H119" s="91"/>
      <c r="I119" s="91"/>
      <c r="J119" s="91"/>
      <c r="K119" s="91"/>
      <c r="L119" s="91"/>
      <c r="M119" s="91"/>
      <c r="N119" s="91"/>
      <c r="O119" s="91"/>
      <c r="P119" s="91"/>
      <c r="Q119" s="91"/>
      <c r="R119" s="91"/>
      <c r="S119" s="91"/>
      <c r="T119" s="91"/>
      <c r="U119" s="91"/>
      <c r="V119" s="91"/>
      <c r="W119" s="91"/>
      <c r="X119" s="91"/>
      <c r="Y119" s="91"/>
      <c r="Z119" s="91"/>
    </row>
    <row r="120" spans="1:26" ht="15.75" customHeight="1" x14ac:dyDescent="0.25">
      <c r="A120" s="9" t="s">
        <v>2657</v>
      </c>
      <c r="B120" s="189" t="s">
        <v>2619</v>
      </c>
      <c r="C120" s="91" t="s">
        <v>2658</v>
      </c>
      <c r="D120" s="91"/>
      <c r="E120" s="91"/>
      <c r="F120" s="91"/>
      <c r="G120" s="91"/>
      <c r="H120" s="91"/>
      <c r="I120" s="91"/>
      <c r="J120" s="91"/>
      <c r="K120" s="91"/>
      <c r="L120" s="91"/>
      <c r="M120" s="91"/>
      <c r="N120" s="91"/>
      <c r="O120" s="91"/>
      <c r="P120" s="91"/>
      <c r="Q120" s="91"/>
      <c r="R120" s="91"/>
      <c r="S120" s="91"/>
      <c r="T120" s="91"/>
      <c r="U120" s="91"/>
      <c r="V120" s="91"/>
      <c r="W120" s="91"/>
      <c r="X120" s="91"/>
      <c r="Y120" s="91"/>
      <c r="Z120" s="91"/>
    </row>
    <row r="121" spans="1:26" ht="15.75" customHeight="1" x14ac:dyDescent="0.25">
      <c r="A121" s="9" t="s">
        <v>2659</v>
      </c>
      <c r="B121" s="189" t="s">
        <v>2660</v>
      </c>
      <c r="C121" s="91" t="s">
        <v>2661</v>
      </c>
      <c r="D121" s="91"/>
      <c r="E121" s="91"/>
      <c r="F121" s="91"/>
      <c r="G121" s="91"/>
      <c r="H121" s="91"/>
      <c r="I121" s="91"/>
      <c r="J121" s="91"/>
      <c r="K121" s="91"/>
      <c r="L121" s="91"/>
      <c r="M121" s="91"/>
      <c r="N121" s="91"/>
      <c r="O121" s="91"/>
      <c r="P121" s="91"/>
      <c r="Q121" s="91"/>
      <c r="R121" s="91"/>
      <c r="S121" s="91"/>
      <c r="T121" s="91"/>
      <c r="U121" s="91"/>
      <c r="V121" s="91"/>
      <c r="W121" s="91"/>
      <c r="X121" s="91"/>
      <c r="Y121" s="91"/>
      <c r="Z121" s="91"/>
    </row>
    <row r="122" spans="1:26" ht="15.75" customHeight="1" x14ac:dyDescent="0.25">
      <c r="A122" s="9" t="s">
        <v>2662</v>
      </c>
      <c r="B122" s="189" t="s">
        <v>2663</v>
      </c>
      <c r="C122" s="91" t="s">
        <v>2664</v>
      </c>
      <c r="D122" s="91"/>
      <c r="E122" s="91"/>
      <c r="F122" s="91"/>
      <c r="G122" s="91"/>
      <c r="H122" s="91"/>
      <c r="I122" s="91"/>
      <c r="J122" s="91"/>
      <c r="K122" s="91"/>
      <c r="L122" s="91"/>
      <c r="M122" s="91"/>
      <c r="N122" s="91"/>
      <c r="O122" s="91"/>
      <c r="P122" s="91"/>
      <c r="Q122" s="91"/>
      <c r="R122" s="91"/>
      <c r="S122" s="91"/>
      <c r="T122" s="91"/>
      <c r="U122" s="91"/>
      <c r="V122" s="91"/>
      <c r="W122" s="91"/>
      <c r="X122" s="91"/>
      <c r="Y122" s="91"/>
      <c r="Z122" s="91"/>
    </row>
    <row r="123" spans="1:26" ht="15.75" customHeight="1" x14ac:dyDescent="0.25">
      <c r="A123" s="9" t="s">
        <v>2665</v>
      </c>
      <c r="B123" s="189" t="s">
        <v>2666</v>
      </c>
      <c r="C123" s="91" t="s">
        <v>2667</v>
      </c>
      <c r="D123" s="91"/>
      <c r="E123" s="91"/>
      <c r="F123" s="91"/>
      <c r="G123" s="91"/>
      <c r="H123" s="91"/>
      <c r="I123" s="91"/>
      <c r="J123" s="91"/>
      <c r="K123" s="91"/>
      <c r="L123" s="91"/>
      <c r="M123" s="91"/>
      <c r="N123" s="91"/>
      <c r="O123" s="91"/>
      <c r="P123" s="91"/>
      <c r="Q123" s="91"/>
      <c r="R123" s="91"/>
      <c r="S123" s="91"/>
      <c r="T123" s="91"/>
      <c r="U123" s="91"/>
      <c r="V123" s="91"/>
      <c r="W123" s="91"/>
      <c r="X123" s="91"/>
      <c r="Y123" s="91"/>
      <c r="Z123" s="91"/>
    </row>
    <row r="124" spans="1:26" ht="15.75" customHeight="1" x14ac:dyDescent="0.25">
      <c r="A124" s="9" t="s">
        <v>2668</v>
      </c>
      <c r="B124" s="189" t="s">
        <v>2669</v>
      </c>
      <c r="C124" s="91" t="s">
        <v>2670</v>
      </c>
      <c r="D124" s="91"/>
      <c r="E124" s="91"/>
      <c r="F124" s="91"/>
      <c r="G124" s="91"/>
      <c r="H124" s="91"/>
      <c r="I124" s="91"/>
      <c r="J124" s="91"/>
      <c r="K124" s="91"/>
      <c r="L124" s="91"/>
      <c r="M124" s="91"/>
      <c r="N124" s="91"/>
      <c r="O124" s="91"/>
      <c r="P124" s="91"/>
      <c r="Q124" s="91"/>
      <c r="R124" s="91"/>
      <c r="S124" s="91"/>
      <c r="T124" s="91"/>
      <c r="U124" s="91"/>
      <c r="V124" s="91"/>
      <c r="W124" s="91"/>
      <c r="X124" s="91"/>
      <c r="Y124" s="91"/>
      <c r="Z124" s="91"/>
    </row>
    <row r="125" spans="1:26" ht="15.75" customHeight="1" x14ac:dyDescent="0.25">
      <c r="A125" s="9" t="s">
        <v>2671</v>
      </c>
      <c r="B125" s="189" t="s">
        <v>2672</v>
      </c>
      <c r="C125" s="91" t="s">
        <v>2673</v>
      </c>
      <c r="D125" s="91"/>
      <c r="E125" s="91"/>
      <c r="F125" s="91"/>
      <c r="G125" s="91"/>
      <c r="H125" s="91"/>
      <c r="I125" s="91"/>
      <c r="J125" s="91"/>
      <c r="K125" s="91"/>
      <c r="L125" s="91"/>
      <c r="M125" s="91"/>
      <c r="N125" s="91"/>
      <c r="O125" s="91"/>
      <c r="P125" s="91"/>
      <c r="Q125" s="91"/>
      <c r="R125" s="91"/>
      <c r="S125" s="91"/>
      <c r="T125" s="91"/>
      <c r="U125" s="91"/>
      <c r="V125" s="91"/>
      <c r="W125" s="91"/>
      <c r="X125" s="91"/>
      <c r="Y125" s="91"/>
      <c r="Z125" s="91"/>
    </row>
    <row r="126" spans="1:26" ht="15.75" customHeight="1" x14ac:dyDescent="0.25">
      <c r="A126" s="9" t="s">
        <v>2674</v>
      </c>
      <c r="B126" s="189" t="s">
        <v>2675</v>
      </c>
      <c r="C126" s="91" t="s">
        <v>2676</v>
      </c>
      <c r="D126" s="91"/>
      <c r="E126" s="91"/>
      <c r="F126" s="91"/>
      <c r="G126" s="91"/>
      <c r="H126" s="91"/>
      <c r="I126" s="91"/>
      <c r="J126" s="91"/>
      <c r="K126" s="91"/>
      <c r="L126" s="91"/>
      <c r="M126" s="91"/>
      <c r="N126" s="91"/>
      <c r="O126" s="91"/>
      <c r="P126" s="91"/>
      <c r="Q126" s="91"/>
      <c r="R126" s="91"/>
      <c r="S126" s="91"/>
      <c r="T126" s="91"/>
      <c r="U126" s="91"/>
      <c r="V126" s="91"/>
      <c r="W126" s="91"/>
      <c r="X126" s="91"/>
      <c r="Y126" s="91"/>
      <c r="Z126" s="91"/>
    </row>
    <row r="127" spans="1:26" ht="15.75" customHeight="1" x14ac:dyDescent="0.25">
      <c r="A127" s="9" t="s">
        <v>2677</v>
      </c>
      <c r="B127" s="189" t="s">
        <v>2678</v>
      </c>
      <c r="C127" s="91"/>
      <c r="D127" s="91"/>
      <c r="E127" s="91"/>
      <c r="F127" s="91"/>
      <c r="G127" s="91"/>
      <c r="H127" s="91"/>
      <c r="I127" s="91"/>
      <c r="J127" s="91"/>
      <c r="K127" s="91"/>
      <c r="L127" s="91"/>
      <c r="M127" s="91"/>
      <c r="N127" s="91"/>
      <c r="O127" s="91"/>
      <c r="P127" s="91"/>
      <c r="Q127" s="91"/>
      <c r="R127" s="91"/>
      <c r="S127" s="91"/>
      <c r="T127" s="91"/>
      <c r="U127" s="91"/>
      <c r="V127" s="91"/>
      <c r="W127" s="91"/>
      <c r="X127" s="91"/>
      <c r="Y127" s="91"/>
      <c r="Z127" s="91"/>
    </row>
    <row r="128" spans="1:26" ht="15.75" customHeight="1" x14ac:dyDescent="0.25">
      <c r="A128" s="9" t="s">
        <v>2679</v>
      </c>
      <c r="B128" s="189" t="s">
        <v>2680</v>
      </c>
      <c r="C128" s="91" t="s">
        <v>2681</v>
      </c>
      <c r="D128" s="91"/>
      <c r="E128" s="91"/>
      <c r="F128" s="91"/>
      <c r="G128" s="91"/>
      <c r="H128" s="91"/>
      <c r="I128" s="91"/>
      <c r="J128" s="91"/>
      <c r="K128" s="91"/>
      <c r="L128" s="91"/>
      <c r="M128" s="91"/>
      <c r="N128" s="91"/>
      <c r="O128" s="91"/>
      <c r="P128" s="91"/>
      <c r="Q128" s="91"/>
      <c r="R128" s="91"/>
      <c r="S128" s="91"/>
      <c r="T128" s="91"/>
      <c r="U128" s="91"/>
      <c r="V128" s="91"/>
      <c r="W128" s="91"/>
      <c r="X128" s="91"/>
      <c r="Y128" s="91"/>
      <c r="Z128" s="91"/>
    </row>
    <row r="129" spans="1:26" ht="15.75" customHeight="1" x14ac:dyDescent="0.25">
      <c r="A129" s="9" t="s">
        <v>2682</v>
      </c>
      <c r="B129" s="189" t="s">
        <v>2683</v>
      </c>
      <c r="C129" s="91" t="s">
        <v>2684</v>
      </c>
      <c r="D129" s="91"/>
      <c r="E129" s="91"/>
      <c r="F129" s="91"/>
      <c r="G129" s="91"/>
      <c r="H129" s="91"/>
      <c r="I129" s="91"/>
      <c r="J129" s="91"/>
      <c r="K129" s="91"/>
      <c r="L129" s="91"/>
      <c r="M129" s="91"/>
      <c r="N129" s="91"/>
      <c r="O129" s="91"/>
      <c r="P129" s="91"/>
      <c r="Q129" s="91"/>
      <c r="R129" s="91"/>
      <c r="S129" s="91"/>
      <c r="T129" s="91"/>
      <c r="U129" s="91"/>
      <c r="V129" s="91"/>
      <c r="W129" s="91"/>
      <c r="X129" s="91"/>
      <c r="Y129" s="91"/>
      <c r="Z129" s="91"/>
    </row>
    <row r="130" spans="1:26" ht="15.75" customHeight="1" x14ac:dyDescent="0.25">
      <c r="A130" s="9" t="s">
        <v>2685</v>
      </c>
      <c r="B130" s="189" t="s">
        <v>2686</v>
      </c>
      <c r="C130" s="91" t="s">
        <v>2687</v>
      </c>
      <c r="D130" s="91"/>
      <c r="E130" s="91"/>
      <c r="F130" s="91"/>
      <c r="G130" s="91"/>
      <c r="H130" s="91"/>
      <c r="I130" s="91"/>
      <c r="J130" s="91"/>
      <c r="K130" s="91"/>
      <c r="L130" s="91"/>
      <c r="M130" s="91"/>
      <c r="N130" s="91"/>
      <c r="O130" s="91"/>
      <c r="P130" s="91"/>
      <c r="Q130" s="91"/>
      <c r="R130" s="91"/>
      <c r="S130" s="91"/>
      <c r="T130" s="91"/>
      <c r="U130" s="91"/>
      <c r="V130" s="91"/>
      <c r="W130" s="91"/>
      <c r="X130" s="91"/>
      <c r="Y130" s="91"/>
      <c r="Z130" s="91"/>
    </row>
    <row r="131" spans="1:26" ht="15.75" customHeight="1" x14ac:dyDescent="0.25">
      <c r="A131" s="9" t="s">
        <v>2688</v>
      </c>
      <c r="B131" s="189" t="s">
        <v>2689</v>
      </c>
      <c r="C131" s="91" t="s">
        <v>2690</v>
      </c>
      <c r="D131" s="91"/>
      <c r="E131" s="91"/>
      <c r="F131" s="91"/>
      <c r="G131" s="91"/>
      <c r="H131" s="91"/>
      <c r="I131" s="91"/>
      <c r="J131" s="91"/>
      <c r="K131" s="91"/>
      <c r="L131" s="91"/>
      <c r="M131" s="91"/>
      <c r="N131" s="91"/>
      <c r="O131" s="91"/>
      <c r="P131" s="91"/>
      <c r="Q131" s="91"/>
      <c r="R131" s="91"/>
      <c r="S131" s="91"/>
      <c r="T131" s="91"/>
      <c r="U131" s="91"/>
      <c r="V131" s="91"/>
      <c r="W131" s="91"/>
      <c r="X131" s="91"/>
      <c r="Y131" s="91"/>
      <c r="Z131" s="91"/>
    </row>
    <row r="132" spans="1:26" ht="15.75" customHeight="1" x14ac:dyDescent="0.25">
      <c r="A132" s="9" t="s">
        <v>2691</v>
      </c>
      <c r="B132" s="189" t="s">
        <v>2692</v>
      </c>
      <c r="C132" s="91" t="s">
        <v>2693</v>
      </c>
      <c r="D132" s="91"/>
      <c r="E132" s="91"/>
      <c r="F132" s="91"/>
      <c r="G132" s="91"/>
      <c r="H132" s="91"/>
      <c r="I132" s="91"/>
      <c r="J132" s="91"/>
      <c r="K132" s="91"/>
      <c r="L132" s="91"/>
      <c r="M132" s="91"/>
      <c r="N132" s="91"/>
      <c r="O132" s="91"/>
      <c r="P132" s="91"/>
      <c r="Q132" s="91"/>
      <c r="R132" s="91"/>
      <c r="S132" s="91"/>
      <c r="T132" s="91"/>
      <c r="U132" s="91"/>
      <c r="V132" s="91"/>
      <c r="W132" s="91"/>
      <c r="X132" s="91"/>
      <c r="Y132" s="91"/>
      <c r="Z132" s="91"/>
    </row>
    <row r="133" spans="1:26" ht="15.75" customHeight="1" x14ac:dyDescent="0.25">
      <c r="A133" s="9" t="s">
        <v>2694</v>
      </c>
      <c r="B133" s="189" t="s">
        <v>2695</v>
      </c>
      <c r="C133" s="91" t="s">
        <v>2696</v>
      </c>
      <c r="D133" s="91"/>
      <c r="E133" s="91"/>
      <c r="F133" s="91"/>
      <c r="G133" s="91"/>
      <c r="H133" s="91"/>
      <c r="I133" s="91"/>
      <c r="J133" s="91"/>
      <c r="K133" s="91"/>
      <c r="L133" s="91"/>
      <c r="M133" s="91"/>
      <c r="N133" s="91"/>
      <c r="O133" s="91"/>
      <c r="P133" s="91"/>
      <c r="Q133" s="91"/>
      <c r="R133" s="91"/>
      <c r="S133" s="91"/>
      <c r="T133" s="91"/>
      <c r="U133" s="91"/>
      <c r="V133" s="91"/>
      <c r="W133" s="91"/>
      <c r="X133" s="91"/>
      <c r="Y133" s="91"/>
      <c r="Z133" s="91"/>
    </row>
    <row r="134" spans="1:26" ht="15.75" customHeight="1" x14ac:dyDescent="0.25">
      <c r="A134" s="9" t="s">
        <v>2697</v>
      </c>
      <c r="B134" s="189" t="s">
        <v>2698</v>
      </c>
      <c r="C134" s="91" t="s">
        <v>2699</v>
      </c>
      <c r="D134" s="91"/>
      <c r="E134" s="91"/>
      <c r="F134" s="91"/>
      <c r="G134" s="91"/>
      <c r="H134" s="91"/>
      <c r="I134" s="91"/>
      <c r="J134" s="91"/>
      <c r="K134" s="91"/>
      <c r="L134" s="91"/>
      <c r="M134" s="91"/>
      <c r="N134" s="91"/>
      <c r="O134" s="91"/>
      <c r="P134" s="91"/>
      <c r="Q134" s="91"/>
      <c r="R134" s="91"/>
      <c r="S134" s="91"/>
      <c r="T134" s="91"/>
      <c r="U134" s="91"/>
      <c r="V134" s="91"/>
      <c r="W134" s="91"/>
      <c r="X134" s="91"/>
      <c r="Y134" s="91"/>
      <c r="Z134" s="91"/>
    </row>
    <row r="135" spans="1:26" ht="15.75" customHeight="1" x14ac:dyDescent="0.25">
      <c r="A135" s="9" t="s">
        <v>2700</v>
      </c>
      <c r="B135" s="189" t="s">
        <v>2701</v>
      </c>
      <c r="C135" s="91" t="s">
        <v>2702</v>
      </c>
      <c r="D135" s="91"/>
      <c r="E135" s="91"/>
      <c r="F135" s="91"/>
      <c r="G135" s="91"/>
      <c r="H135" s="91"/>
      <c r="I135" s="91"/>
      <c r="J135" s="91"/>
      <c r="K135" s="91"/>
      <c r="L135" s="91"/>
      <c r="M135" s="91"/>
      <c r="N135" s="91"/>
      <c r="O135" s="91"/>
      <c r="P135" s="91"/>
      <c r="Q135" s="91"/>
      <c r="R135" s="91"/>
      <c r="S135" s="91"/>
      <c r="T135" s="91"/>
      <c r="U135" s="91"/>
      <c r="V135" s="91"/>
      <c r="W135" s="91"/>
      <c r="X135" s="91"/>
      <c r="Y135" s="91"/>
      <c r="Z135" s="91"/>
    </row>
    <row r="136" spans="1:26" ht="15.75" customHeight="1" x14ac:dyDescent="0.25">
      <c r="A136" s="9" t="s">
        <v>2703</v>
      </c>
      <c r="B136" s="189" t="s">
        <v>2704</v>
      </c>
      <c r="C136" s="91" t="s">
        <v>2705</v>
      </c>
      <c r="D136" s="91"/>
      <c r="E136" s="91"/>
      <c r="F136" s="91"/>
      <c r="G136" s="91"/>
      <c r="H136" s="91"/>
      <c r="I136" s="91"/>
      <c r="J136" s="91"/>
      <c r="K136" s="91"/>
      <c r="L136" s="91"/>
      <c r="M136" s="91"/>
      <c r="N136" s="91"/>
      <c r="O136" s="91"/>
      <c r="P136" s="91"/>
      <c r="Q136" s="91"/>
      <c r="R136" s="91"/>
      <c r="S136" s="91"/>
      <c r="T136" s="91"/>
      <c r="U136" s="91"/>
      <c r="V136" s="91"/>
      <c r="W136" s="91"/>
      <c r="X136" s="91"/>
      <c r="Y136" s="91"/>
      <c r="Z136" s="91"/>
    </row>
    <row r="137" spans="1:26" ht="15.75" customHeight="1" x14ac:dyDescent="0.25">
      <c r="A137" s="9" t="s">
        <v>2706</v>
      </c>
      <c r="B137" s="189" t="s">
        <v>2707</v>
      </c>
      <c r="C137" s="91" t="s">
        <v>2708</v>
      </c>
      <c r="D137" s="91"/>
      <c r="E137" s="91"/>
      <c r="F137" s="91"/>
      <c r="G137" s="91"/>
      <c r="H137" s="91"/>
      <c r="I137" s="91"/>
      <c r="J137" s="91"/>
      <c r="K137" s="91"/>
      <c r="L137" s="91"/>
      <c r="M137" s="91"/>
      <c r="N137" s="91"/>
      <c r="O137" s="91"/>
      <c r="P137" s="91"/>
      <c r="Q137" s="91"/>
      <c r="R137" s="91"/>
      <c r="S137" s="91"/>
      <c r="T137" s="91"/>
      <c r="U137" s="91"/>
      <c r="V137" s="91"/>
      <c r="W137" s="91"/>
      <c r="X137" s="91"/>
      <c r="Y137" s="91"/>
      <c r="Z137" s="91"/>
    </row>
    <row r="138" spans="1:26" ht="15.75" customHeight="1" x14ac:dyDescent="0.25">
      <c r="A138" s="9" t="s">
        <v>2709</v>
      </c>
      <c r="B138" s="189" t="s">
        <v>2710</v>
      </c>
      <c r="C138" s="91" t="s">
        <v>2711</v>
      </c>
      <c r="D138" s="91"/>
      <c r="E138" s="91"/>
      <c r="F138" s="91"/>
      <c r="G138" s="91"/>
      <c r="H138" s="91"/>
      <c r="I138" s="91"/>
      <c r="J138" s="91"/>
      <c r="K138" s="91"/>
      <c r="L138" s="91"/>
      <c r="M138" s="91"/>
      <c r="N138" s="91"/>
      <c r="O138" s="91"/>
      <c r="P138" s="91"/>
      <c r="Q138" s="91"/>
      <c r="R138" s="91"/>
      <c r="S138" s="91"/>
      <c r="T138" s="91"/>
      <c r="U138" s="91"/>
      <c r="V138" s="91"/>
      <c r="W138" s="91"/>
      <c r="X138" s="91"/>
      <c r="Y138" s="91"/>
      <c r="Z138" s="91"/>
    </row>
    <row r="139" spans="1:26" ht="15.75" customHeight="1" x14ac:dyDescent="0.25">
      <c r="A139" s="9" t="s">
        <v>2712</v>
      </c>
      <c r="B139" s="189" t="s">
        <v>2713</v>
      </c>
      <c r="C139" s="91" t="s">
        <v>2714</v>
      </c>
      <c r="D139" s="91"/>
      <c r="E139" s="91"/>
      <c r="F139" s="91"/>
      <c r="G139" s="91"/>
      <c r="H139" s="91"/>
      <c r="I139" s="91"/>
      <c r="J139" s="91"/>
      <c r="K139" s="91"/>
      <c r="L139" s="91"/>
      <c r="M139" s="91"/>
      <c r="N139" s="91"/>
      <c r="O139" s="91"/>
      <c r="P139" s="91"/>
      <c r="Q139" s="91"/>
      <c r="R139" s="91"/>
      <c r="S139" s="91"/>
      <c r="T139" s="91"/>
      <c r="U139" s="91"/>
      <c r="V139" s="91"/>
      <c r="W139" s="91"/>
      <c r="X139" s="91"/>
      <c r="Y139" s="91"/>
      <c r="Z139" s="91"/>
    </row>
    <row r="140" spans="1:26" ht="15.75" customHeight="1" x14ac:dyDescent="0.25">
      <c r="A140" s="9" t="s">
        <v>2715</v>
      </c>
      <c r="B140" s="189" t="s">
        <v>2716</v>
      </c>
      <c r="C140" s="91"/>
      <c r="D140" s="91"/>
      <c r="E140" s="91"/>
      <c r="F140" s="91"/>
      <c r="G140" s="91"/>
      <c r="H140" s="91"/>
      <c r="I140" s="91"/>
      <c r="J140" s="91"/>
      <c r="K140" s="91"/>
      <c r="L140" s="91"/>
      <c r="M140" s="91"/>
      <c r="N140" s="91"/>
      <c r="O140" s="91"/>
      <c r="P140" s="91"/>
      <c r="Q140" s="91"/>
      <c r="R140" s="91"/>
      <c r="S140" s="91"/>
      <c r="T140" s="91"/>
      <c r="U140" s="91"/>
      <c r="V140" s="91"/>
      <c r="W140" s="91"/>
      <c r="X140" s="91"/>
      <c r="Y140" s="91"/>
      <c r="Z140" s="91"/>
    </row>
    <row r="141" spans="1:26" ht="15.75" customHeight="1" x14ac:dyDescent="0.25">
      <c r="A141" s="9" t="s">
        <v>2717</v>
      </c>
      <c r="B141" s="189" t="s">
        <v>2718</v>
      </c>
      <c r="C141" s="91" t="s">
        <v>2719</v>
      </c>
      <c r="D141" s="91"/>
      <c r="E141" s="91"/>
      <c r="F141" s="91"/>
      <c r="G141" s="91"/>
      <c r="H141" s="91"/>
      <c r="I141" s="91"/>
      <c r="J141" s="91"/>
      <c r="K141" s="91"/>
      <c r="L141" s="91"/>
      <c r="M141" s="91"/>
      <c r="N141" s="91"/>
      <c r="O141" s="91"/>
      <c r="P141" s="91"/>
      <c r="Q141" s="91"/>
      <c r="R141" s="91"/>
      <c r="S141" s="91"/>
      <c r="T141" s="91"/>
      <c r="U141" s="91"/>
      <c r="V141" s="91"/>
      <c r="W141" s="91"/>
      <c r="X141" s="91"/>
      <c r="Y141" s="91"/>
      <c r="Z141" s="91"/>
    </row>
    <row r="142" spans="1:26" ht="15.75" customHeight="1" x14ac:dyDescent="0.25">
      <c r="A142" s="9" t="s">
        <v>2720</v>
      </c>
      <c r="B142" s="189" t="s">
        <v>2721</v>
      </c>
      <c r="C142" s="91" t="s">
        <v>2722</v>
      </c>
      <c r="D142" s="91"/>
      <c r="E142" s="91"/>
      <c r="F142" s="91"/>
      <c r="G142" s="91"/>
      <c r="H142" s="91"/>
      <c r="I142" s="91"/>
      <c r="J142" s="91"/>
      <c r="K142" s="91"/>
      <c r="L142" s="91"/>
      <c r="M142" s="91"/>
      <c r="N142" s="91"/>
      <c r="O142" s="91"/>
      <c r="P142" s="91"/>
      <c r="Q142" s="91"/>
      <c r="R142" s="91"/>
      <c r="S142" s="91"/>
      <c r="T142" s="91"/>
      <c r="U142" s="91"/>
      <c r="V142" s="91"/>
      <c r="W142" s="91"/>
      <c r="X142" s="91"/>
      <c r="Y142" s="91"/>
      <c r="Z142" s="91"/>
    </row>
    <row r="143" spans="1:26" ht="15.75" customHeight="1" x14ac:dyDescent="0.25">
      <c r="A143" s="9" t="s">
        <v>2723</v>
      </c>
      <c r="B143" s="189" t="s">
        <v>2724</v>
      </c>
      <c r="C143" s="91" t="s">
        <v>2725</v>
      </c>
      <c r="D143" s="91"/>
      <c r="E143" s="91"/>
      <c r="F143" s="91"/>
      <c r="G143" s="91"/>
      <c r="H143" s="91"/>
      <c r="I143" s="91"/>
      <c r="J143" s="91"/>
      <c r="K143" s="91"/>
      <c r="L143" s="91"/>
      <c r="M143" s="91"/>
      <c r="N143" s="91"/>
      <c r="O143" s="91"/>
      <c r="P143" s="91"/>
      <c r="Q143" s="91"/>
      <c r="R143" s="91"/>
      <c r="S143" s="91"/>
      <c r="T143" s="91"/>
      <c r="U143" s="91"/>
      <c r="V143" s="91"/>
      <c r="W143" s="91"/>
      <c r="X143" s="91"/>
      <c r="Y143" s="91"/>
      <c r="Z143" s="91"/>
    </row>
    <row r="144" spans="1:26" ht="15.75" customHeight="1" x14ac:dyDescent="0.25">
      <c r="A144" s="9" t="s">
        <v>2726</v>
      </c>
      <c r="B144" s="189" t="s">
        <v>2727</v>
      </c>
      <c r="C144" s="91" t="s">
        <v>2728</v>
      </c>
      <c r="D144" s="91"/>
      <c r="E144" s="91"/>
      <c r="F144" s="91"/>
      <c r="G144" s="91"/>
      <c r="H144" s="91"/>
      <c r="I144" s="91"/>
      <c r="J144" s="91"/>
      <c r="K144" s="91"/>
      <c r="L144" s="91"/>
      <c r="M144" s="91"/>
      <c r="N144" s="91"/>
      <c r="O144" s="91"/>
      <c r="P144" s="91"/>
      <c r="Q144" s="91"/>
      <c r="R144" s="91"/>
      <c r="S144" s="91"/>
      <c r="T144" s="91"/>
      <c r="U144" s="91"/>
      <c r="V144" s="91"/>
      <c r="W144" s="91"/>
      <c r="X144" s="91"/>
      <c r="Y144" s="91"/>
      <c r="Z144" s="91"/>
    </row>
    <row r="145" spans="1:26" ht="15.75" customHeight="1" x14ac:dyDescent="0.25">
      <c r="A145" s="9" t="s">
        <v>2729</v>
      </c>
      <c r="B145" s="189" t="s">
        <v>2730</v>
      </c>
      <c r="C145" s="91" t="s">
        <v>2731</v>
      </c>
      <c r="D145" s="91"/>
      <c r="E145" s="91"/>
      <c r="F145" s="91"/>
      <c r="G145" s="91"/>
      <c r="H145" s="91"/>
      <c r="I145" s="91"/>
      <c r="J145" s="91"/>
      <c r="K145" s="91"/>
      <c r="L145" s="91"/>
      <c r="M145" s="91"/>
      <c r="N145" s="91"/>
      <c r="O145" s="91"/>
      <c r="P145" s="91"/>
      <c r="Q145" s="91"/>
      <c r="R145" s="91"/>
      <c r="S145" s="91"/>
      <c r="T145" s="91"/>
      <c r="U145" s="91"/>
      <c r="V145" s="91"/>
      <c r="W145" s="91"/>
      <c r="X145" s="91"/>
      <c r="Y145" s="91"/>
      <c r="Z145" s="91"/>
    </row>
    <row r="146" spans="1:26" ht="15.75" customHeight="1" x14ac:dyDescent="0.25">
      <c r="A146" s="9" t="s">
        <v>2732</v>
      </c>
      <c r="B146" s="189" t="s">
        <v>2733</v>
      </c>
      <c r="C146" s="91" t="s">
        <v>2734</v>
      </c>
      <c r="D146" s="91"/>
      <c r="E146" s="91"/>
      <c r="F146" s="91"/>
      <c r="G146" s="91"/>
      <c r="H146" s="91"/>
      <c r="I146" s="91"/>
      <c r="J146" s="91"/>
      <c r="K146" s="91"/>
      <c r="L146" s="91"/>
      <c r="M146" s="91"/>
      <c r="N146" s="91"/>
      <c r="O146" s="91"/>
      <c r="P146" s="91"/>
      <c r="Q146" s="91"/>
      <c r="R146" s="91"/>
      <c r="S146" s="91"/>
      <c r="T146" s="91"/>
      <c r="U146" s="91"/>
      <c r="V146" s="91"/>
      <c r="W146" s="91"/>
      <c r="X146" s="91"/>
      <c r="Y146" s="91"/>
      <c r="Z146" s="91"/>
    </row>
    <row r="147" spans="1:26" ht="15.75" customHeight="1" x14ac:dyDescent="0.25">
      <c r="A147" s="9" t="s">
        <v>2735</v>
      </c>
      <c r="B147" s="189" t="s">
        <v>2736</v>
      </c>
      <c r="C147" s="91" t="s">
        <v>2737</v>
      </c>
      <c r="D147" s="91"/>
      <c r="E147" s="91"/>
      <c r="F147" s="91"/>
      <c r="G147" s="91"/>
      <c r="H147" s="91"/>
      <c r="I147" s="91"/>
      <c r="J147" s="91"/>
      <c r="K147" s="91"/>
      <c r="L147" s="91"/>
      <c r="M147" s="91"/>
      <c r="N147" s="91"/>
      <c r="O147" s="91"/>
      <c r="P147" s="91"/>
      <c r="Q147" s="91"/>
      <c r="R147" s="91"/>
      <c r="S147" s="91"/>
      <c r="T147" s="91"/>
      <c r="U147" s="91"/>
      <c r="V147" s="91"/>
      <c r="W147" s="91"/>
      <c r="X147" s="91"/>
      <c r="Y147" s="91"/>
      <c r="Z147" s="91"/>
    </row>
    <row r="148" spans="1:26" ht="15.75" customHeight="1" x14ac:dyDescent="0.25">
      <c r="A148" s="9" t="s">
        <v>2738</v>
      </c>
      <c r="B148" s="189" t="s">
        <v>2739</v>
      </c>
      <c r="C148" s="91" t="s">
        <v>2740</v>
      </c>
      <c r="D148" s="91"/>
      <c r="E148" s="91"/>
      <c r="F148" s="91"/>
      <c r="G148" s="91"/>
      <c r="H148" s="91"/>
      <c r="I148" s="91"/>
      <c r="J148" s="91"/>
      <c r="K148" s="91"/>
      <c r="L148" s="91"/>
      <c r="M148" s="91"/>
      <c r="N148" s="91"/>
      <c r="O148" s="91"/>
      <c r="P148" s="91"/>
      <c r="Q148" s="91"/>
      <c r="R148" s="91"/>
      <c r="S148" s="91"/>
      <c r="T148" s="91"/>
      <c r="U148" s="91"/>
      <c r="V148" s="91"/>
      <c r="W148" s="91"/>
      <c r="X148" s="91"/>
      <c r="Y148" s="91"/>
      <c r="Z148" s="91"/>
    </row>
    <row r="149" spans="1:26" ht="15.75" customHeight="1" x14ac:dyDescent="0.25">
      <c r="A149" s="9" t="s">
        <v>2741</v>
      </c>
      <c r="B149" s="189" t="s">
        <v>2742</v>
      </c>
      <c r="C149" s="91" t="s">
        <v>2743</v>
      </c>
      <c r="D149" s="91"/>
      <c r="E149" s="91"/>
      <c r="F149" s="91"/>
      <c r="G149" s="91"/>
      <c r="H149" s="91"/>
      <c r="I149" s="91"/>
      <c r="J149" s="91"/>
      <c r="K149" s="91"/>
      <c r="L149" s="91"/>
      <c r="M149" s="91"/>
      <c r="N149" s="91"/>
      <c r="O149" s="91"/>
      <c r="P149" s="91"/>
      <c r="Q149" s="91"/>
      <c r="R149" s="91"/>
      <c r="S149" s="91"/>
      <c r="T149" s="91"/>
      <c r="U149" s="91"/>
      <c r="V149" s="91"/>
      <c r="W149" s="91"/>
      <c r="X149" s="91"/>
      <c r="Y149" s="91"/>
      <c r="Z149" s="91"/>
    </row>
    <row r="150" spans="1:26" ht="15.75" customHeight="1" x14ac:dyDescent="0.25">
      <c r="A150" s="9" t="s">
        <v>2744</v>
      </c>
      <c r="B150" s="189" t="s">
        <v>2745</v>
      </c>
      <c r="C150" s="91" t="s">
        <v>2746</v>
      </c>
      <c r="D150" s="91"/>
      <c r="E150" s="91"/>
      <c r="F150" s="91"/>
      <c r="G150" s="91"/>
      <c r="H150" s="91"/>
      <c r="I150" s="91"/>
      <c r="J150" s="91"/>
      <c r="K150" s="91"/>
      <c r="L150" s="91"/>
      <c r="M150" s="91"/>
      <c r="N150" s="91"/>
      <c r="O150" s="91"/>
      <c r="P150" s="91"/>
      <c r="Q150" s="91"/>
      <c r="R150" s="91"/>
      <c r="S150" s="91"/>
      <c r="T150" s="91"/>
      <c r="U150" s="91"/>
      <c r="V150" s="91"/>
      <c r="W150" s="91"/>
      <c r="X150" s="91"/>
      <c r="Y150" s="91"/>
      <c r="Z150" s="91"/>
    </row>
    <row r="151" spans="1:26" ht="15.75" customHeight="1" x14ac:dyDescent="0.25">
      <c r="A151" s="9" t="s">
        <v>2747</v>
      </c>
      <c r="B151" s="189" t="s">
        <v>2748</v>
      </c>
      <c r="C151" s="91"/>
      <c r="D151" s="91"/>
      <c r="E151" s="91"/>
      <c r="F151" s="91"/>
      <c r="G151" s="91"/>
      <c r="H151" s="91"/>
      <c r="I151" s="91"/>
      <c r="J151" s="91"/>
      <c r="K151" s="91"/>
      <c r="L151" s="91"/>
      <c r="M151" s="91"/>
      <c r="N151" s="91"/>
      <c r="O151" s="91"/>
      <c r="P151" s="91"/>
      <c r="Q151" s="91"/>
      <c r="R151" s="91"/>
      <c r="S151" s="91"/>
      <c r="T151" s="91"/>
      <c r="U151" s="91"/>
      <c r="V151" s="91"/>
      <c r="W151" s="91"/>
      <c r="X151" s="91"/>
      <c r="Y151" s="91"/>
      <c r="Z151" s="91"/>
    </row>
    <row r="152" spans="1:26" ht="15.75" customHeight="1" x14ac:dyDescent="0.25">
      <c r="A152" s="9" t="s">
        <v>2749</v>
      </c>
      <c r="B152" s="189" t="s">
        <v>2750</v>
      </c>
      <c r="C152" s="91" t="s">
        <v>2751</v>
      </c>
      <c r="D152" s="91"/>
      <c r="E152" s="91"/>
      <c r="F152" s="91"/>
      <c r="G152" s="91"/>
      <c r="H152" s="91"/>
      <c r="I152" s="91"/>
      <c r="J152" s="91"/>
      <c r="K152" s="91"/>
      <c r="L152" s="91"/>
      <c r="M152" s="91"/>
      <c r="N152" s="91"/>
      <c r="O152" s="91"/>
      <c r="P152" s="91"/>
      <c r="Q152" s="91"/>
      <c r="R152" s="91"/>
      <c r="S152" s="91"/>
      <c r="T152" s="91"/>
      <c r="U152" s="91"/>
      <c r="V152" s="91"/>
      <c r="W152" s="91"/>
      <c r="X152" s="91"/>
      <c r="Y152" s="91"/>
      <c r="Z152" s="91"/>
    </row>
    <row r="153" spans="1:26" ht="15.75" customHeight="1" x14ac:dyDescent="0.25">
      <c r="A153" s="9" t="s">
        <v>2752</v>
      </c>
      <c r="B153" s="189" t="s">
        <v>2753</v>
      </c>
      <c r="C153" s="91" t="s">
        <v>2754</v>
      </c>
      <c r="D153" s="91"/>
      <c r="E153" s="91"/>
      <c r="F153" s="91"/>
      <c r="G153" s="91"/>
      <c r="H153" s="91"/>
      <c r="I153" s="91"/>
      <c r="J153" s="91"/>
      <c r="K153" s="91"/>
      <c r="L153" s="91"/>
      <c r="M153" s="91"/>
      <c r="N153" s="91"/>
      <c r="O153" s="91"/>
      <c r="P153" s="91"/>
      <c r="Q153" s="91"/>
      <c r="R153" s="91"/>
      <c r="S153" s="91"/>
      <c r="T153" s="91"/>
      <c r="U153" s="91"/>
      <c r="V153" s="91"/>
      <c r="W153" s="91"/>
      <c r="X153" s="91"/>
      <c r="Y153" s="91"/>
      <c r="Z153" s="91"/>
    </row>
    <row r="154" spans="1:26" ht="15.75" customHeight="1" x14ac:dyDescent="0.25">
      <c r="A154" s="9" t="s">
        <v>2755</v>
      </c>
      <c r="B154" s="189" t="s">
        <v>2756</v>
      </c>
      <c r="C154" s="91" t="s">
        <v>2757</v>
      </c>
      <c r="D154" s="91"/>
      <c r="E154" s="91"/>
      <c r="F154" s="91"/>
      <c r="G154" s="91"/>
      <c r="H154" s="91"/>
      <c r="I154" s="91"/>
      <c r="J154" s="91"/>
      <c r="K154" s="91"/>
      <c r="L154" s="91"/>
      <c r="M154" s="91"/>
      <c r="N154" s="91"/>
      <c r="O154" s="91"/>
      <c r="P154" s="91"/>
      <c r="Q154" s="91"/>
      <c r="R154" s="91"/>
      <c r="S154" s="91"/>
      <c r="T154" s="91"/>
      <c r="U154" s="91"/>
      <c r="V154" s="91"/>
      <c r="W154" s="91"/>
      <c r="X154" s="91"/>
      <c r="Y154" s="91"/>
      <c r="Z154" s="91"/>
    </row>
    <row r="155" spans="1:26" ht="15.75" customHeight="1" x14ac:dyDescent="0.25">
      <c r="A155" s="9" t="s">
        <v>2758</v>
      </c>
      <c r="B155" s="189" t="s">
        <v>2759</v>
      </c>
      <c r="C155" s="91" t="s">
        <v>2760</v>
      </c>
      <c r="D155" s="91"/>
      <c r="E155" s="91"/>
      <c r="F155" s="91"/>
      <c r="G155" s="91"/>
      <c r="H155" s="91"/>
      <c r="I155" s="91"/>
      <c r="J155" s="91"/>
      <c r="K155" s="91"/>
      <c r="L155" s="91"/>
      <c r="M155" s="91"/>
      <c r="N155" s="91"/>
      <c r="O155" s="91"/>
      <c r="P155" s="91"/>
      <c r="Q155" s="91"/>
      <c r="R155" s="91"/>
      <c r="S155" s="91"/>
      <c r="T155" s="91"/>
      <c r="U155" s="91"/>
      <c r="V155" s="91"/>
      <c r="W155" s="91"/>
      <c r="X155" s="91"/>
      <c r="Y155" s="91"/>
      <c r="Z155" s="91"/>
    </row>
    <row r="156" spans="1:26" ht="15.75" customHeight="1" x14ac:dyDescent="0.25">
      <c r="A156" s="9" t="s">
        <v>2761</v>
      </c>
      <c r="B156" s="189" t="s">
        <v>2762</v>
      </c>
      <c r="C156" s="91" t="s">
        <v>2763</v>
      </c>
      <c r="D156" s="91"/>
      <c r="E156" s="91"/>
      <c r="F156" s="91"/>
      <c r="G156" s="91"/>
      <c r="H156" s="91"/>
      <c r="I156" s="91"/>
      <c r="J156" s="91"/>
      <c r="K156" s="91"/>
      <c r="L156" s="91"/>
      <c r="M156" s="91"/>
      <c r="N156" s="91"/>
      <c r="O156" s="91"/>
      <c r="P156" s="91"/>
      <c r="Q156" s="91"/>
      <c r="R156" s="91"/>
      <c r="S156" s="91"/>
      <c r="T156" s="91"/>
      <c r="U156" s="91"/>
      <c r="V156" s="91"/>
      <c r="W156" s="91"/>
      <c r="X156" s="91"/>
      <c r="Y156" s="91"/>
      <c r="Z156" s="91"/>
    </row>
    <row r="157" spans="1:26" ht="15.75" customHeight="1" x14ac:dyDescent="0.25">
      <c r="A157" s="9" t="s">
        <v>2764</v>
      </c>
      <c r="B157" s="189" t="s">
        <v>2765</v>
      </c>
      <c r="C157" s="91" t="s">
        <v>2766</v>
      </c>
      <c r="D157" s="91"/>
      <c r="E157" s="91"/>
      <c r="F157" s="91"/>
      <c r="G157" s="91"/>
      <c r="H157" s="91"/>
      <c r="I157" s="91"/>
      <c r="J157" s="91"/>
      <c r="K157" s="91"/>
      <c r="L157" s="91"/>
      <c r="M157" s="91"/>
      <c r="N157" s="91"/>
      <c r="O157" s="91"/>
      <c r="P157" s="91"/>
      <c r="Q157" s="91"/>
      <c r="R157" s="91"/>
      <c r="S157" s="91"/>
      <c r="T157" s="91"/>
      <c r="U157" s="91"/>
      <c r="V157" s="91"/>
      <c r="W157" s="91"/>
      <c r="X157" s="91"/>
      <c r="Y157" s="91"/>
      <c r="Z157" s="91"/>
    </row>
    <row r="158" spans="1:26" ht="15.75" customHeight="1" x14ac:dyDescent="0.25">
      <c r="A158" s="9" t="s">
        <v>2767</v>
      </c>
      <c r="B158" s="189" t="s">
        <v>2768</v>
      </c>
      <c r="C158" s="91"/>
      <c r="D158" s="91"/>
      <c r="E158" s="91"/>
      <c r="F158" s="91"/>
      <c r="G158" s="91"/>
      <c r="H158" s="91"/>
      <c r="I158" s="91"/>
      <c r="J158" s="91"/>
      <c r="K158" s="91"/>
      <c r="L158" s="91"/>
      <c r="M158" s="91"/>
      <c r="N158" s="91"/>
      <c r="O158" s="91"/>
      <c r="P158" s="91"/>
      <c r="Q158" s="91"/>
      <c r="R158" s="91"/>
      <c r="S158" s="91"/>
      <c r="T158" s="91"/>
      <c r="U158" s="91"/>
      <c r="V158" s="91"/>
      <c r="W158" s="91"/>
      <c r="X158" s="91"/>
      <c r="Y158" s="91"/>
      <c r="Z158" s="91"/>
    </row>
    <row r="159" spans="1:26" ht="15.75" customHeight="1" x14ac:dyDescent="0.25">
      <c r="A159" s="9" t="s">
        <v>2769</v>
      </c>
      <c r="B159" s="189" t="s">
        <v>2770</v>
      </c>
      <c r="C159" s="91"/>
      <c r="D159" s="91"/>
      <c r="E159" s="91"/>
      <c r="F159" s="91"/>
      <c r="G159" s="91"/>
      <c r="H159" s="91"/>
      <c r="I159" s="91"/>
      <c r="J159" s="91"/>
      <c r="K159" s="91"/>
      <c r="L159" s="91"/>
      <c r="M159" s="91"/>
      <c r="N159" s="91"/>
      <c r="O159" s="91"/>
      <c r="P159" s="91"/>
      <c r="Q159" s="91"/>
      <c r="R159" s="91"/>
      <c r="S159" s="91"/>
      <c r="T159" s="91"/>
      <c r="U159" s="91"/>
      <c r="V159" s="91"/>
      <c r="W159" s="91"/>
      <c r="X159" s="91"/>
      <c r="Y159" s="91"/>
      <c r="Z159" s="91"/>
    </row>
    <row r="160" spans="1:26" ht="15.75" customHeight="1" x14ac:dyDescent="0.25">
      <c r="A160" s="9" t="s">
        <v>2771</v>
      </c>
      <c r="B160" s="189" t="s">
        <v>2772</v>
      </c>
      <c r="C160" s="91" t="s">
        <v>2773</v>
      </c>
      <c r="D160" s="91"/>
      <c r="E160" s="91"/>
      <c r="F160" s="91"/>
      <c r="G160" s="91"/>
      <c r="H160" s="91"/>
      <c r="I160" s="91"/>
      <c r="J160" s="91"/>
      <c r="K160" s="91"/>
      <c r="L160" s="91"/>
      <c r="M160" s="91"/>
      <c r="N160" s="91"/>
      <c r="O160" s="91"/>
      <c r="P160" s="91"/>
      <c r="Q160" s="91"/>
      <c r="R160" s="91"/>
      <c r="S160" s="91"/>
      <c r="T160" s="91"/>
      <c r="U160" s="91"/>
      <c r="V160" s="91"/>
      <c r="W160" s="91"/>
      <c r="X160" s="91"/>
      <c r="Y160" s="91"/>
      <c r="Z160" s="91"/>
    </row>
    <row r="161" spans="1:26" ht="15.75" customHeight="1" x14ac:dyDescent="0.25">
      <c r="A161" s="9" t="s">
        <v>2774</v>
      </c>
      <c r="B161" s="189" t="s">
        <v>2775</v>
      </c>
      <c r="C161" s="91" t="s">
        <v>2776</v>
      </c>
      <c r="D161" s="91"/>
      <c r="E161" s="91"/>
      <c r="F161" s="91"/>
      <c r="G161" s="91"/>
      <c r="H161" s="91"/>
      <c r="I161" s="91"/>
      <c r="J161" s="91"/>
      <c r="K161" s="91"/>
      <c r="L161" s="91"/>
      <c r="M161" s="91"/>
      <c r="N161" s="91"/>
      <c r="O161" s="91"/>
      <c r="P161" s="91"/>
      <c r="Q161" s="91"/>
      <c r="R161" s="91"/>
      <c r="S161" s="91"/>
      <c r="T161" s="91"/>
      <c r="U161" s="91"/>
      <c r="V161" s="91"/>
      <c r="W161" s="91"/>
      <c r="X161" s="91"/>
      <c r="Y161" s="91"/>
      <c r="Z161" s="91"/>
    </row>
    <row r="162" spans="1:26" ht="15.75" customHeight="1" x14ac:dyDescent="0.25">
      <c r="A162" s="9" t="s">
        <v>2777</v>
      </c>
      <c r="B162" s="189" t="s">
        <v>2778</v>
      </c>
      <c r="C162" s="91" t="s">
        <v>2779</v>
      </c>
      <c r="D162" s="91"/>
      <c r="E162" s="91"/>
      <c r="F162" s="91"/>
      <c r="G162" s="91"/>
      <c r="H162" s="91"/>
      <c r="I162" s="91"/>
      <c r="J162" s="91"/>
      <c r="K162" s="91"/>
      <c r="L162" s="91"/>
      <c r="M162" s="91"/>
      <c r="N162" s="91"/>
      <c r="O162" s="91"/>
      <c r="P162" s="91"/>
      <c r="Q162" s="91"/>
      <c r="R162" s="91"/>
      <c r="S162" s="91"/>
      <c r="T162" s="91"/>
      <c r="U162" s="91"/>
      <c r="V162" s="91"/>
      <c r="W162" s="91"/>
      <c r="X162" s="91"/>
      <c r="Y162" s="91"/>
      <c r="Z162" s="91"/>
    </row>
    <row r="163" spans="1:26" ht="15.75" customHeight="1" x14ac:dyDescent="0.25">
      <c r="A163" s="9" t="s">
        <v>2780</v>
      </c>
      <c r="B163" s="189" t="s">
        <v>2781</v>
      </c>
      <c r="C163" s="91" t="s">
        <v>2782</v>
      </c>
      <c r="D163" s="91"/>
      <c r="E163" s="91"/>
      <c r="F163" s="91"/>
      <c r="G163" s="91"/>
      <c r="H163" s="91"/>
      <c r="I163" s="91"/>
      <c r="J163" s="91"/>
      <c r="K163" s="91"/>
      <c r="L163" s="91"/>
      <c r="M163" s="91"/>
      <c r="N163" s="91"/>
      <c r="O163" s="91"/>
      <c r="P163" s="91"/>
      <c r="Q163" s="91"/>
      <c r="R163" s="91"/>
      <c r="S163" s="91"/>
      <c r="T163" s="91"/>
      <c r="U163" s="91"/>
      <c r="V163" s="91"/>
      <c r="W163" s="91"/>
      <c r="X163" s="91"/>
      <c r="Y163" s="91"/>
      <c r="Z163" s="91"/>
    </row>
    <row r="164" spans="1:26" ht="15.75" customHeight="1" x14ac:dyDescent="0.25">
      <c r="A164" s="9" t="s">
        <v>2783</v>
      </c>
      <c r="B164" s="189" t="s">
        <v>2784</v>
      </c>
      <c r="C164" s="91" t="s">
        <v>2785</v>
      </c>
      <c r="D164" s="91"/>
      <c r="E164" s="91"/>
      <c r="F164" s="91"/>
      <c r="G164" s="91"/>
      <c r="H164" s="91"/>
      <c r="I164" s="91"/>
      <c r="J164" s="91"/>
      <c r="K164" s="91"/>
      <c r="L164" s="91"/>
      <c r="M164" s="91"/>
      <c r="N164" s="91"/>
      <c r="O164" s="91"/>
      <c r="P164" s="91"/>
      <c r="Q164" s="91"/>
      <c r="R164" s="91"/>
      <c r="S164" s="91"/>
      <c r="T164" s="91"/>
      <c r="U164" s="91"/>
      <c r="V164" s="91"/>
      <c r="W164" s="91"/>
      <c r="X164" s="91"/>
      <c r="Y164" s="91"/>
      <c r="Z164" s="91"/>
    </row>
    <row r="165" spans="1:26" ht="15.75" customHeight="1" x14ac:dyDescent="0.25">
      <c r="A165" s="9" t="s">
        <v>2786</v>
      </c>
      <c r="B165" s="189" t="s">
        <v>2787</v>
      </c>
      <c r="C165" s="91" t="s">
        <v>2788</v>
      </c>
      <c r="D165" s="91"/>
      <c r="E165" s="91"/>
      <c r="F165" s="91"/>
      <c r="G165" s="91"/>
      <c r="H165" s="91"/>
      <c r="I165" s="91"/>
      <c r="J165" s="91"/>
      <c r="K165" s="91"/>
      <c r="L165" s="91"/>
      <c r="M165" s="91"/>
      <c r="N165" s="91"/>
      <c r="O165" s="91"/>
      <c r="P165" s="91"/>
      <c r="Q165" s="91"/>
      <c r="R165" s="91"/>
      <c r="S165" s="91"/>
      <c r="T165" s="91"/>
      <c r="U165" s="91"/>
      <c r="V165" s="91"/>
      <c r="W165" s="91"/>
      <c r="X165" s="91"/>
      <c r="Y165" s="91"/>
      <c r="Z165" s="91"/>
    </row>
    <row r="166" spans="1:26" ht="15.75" customHeight="1" x14ac:dyDescent="0.25">
      <c r="A166" s="9" t="s">
        <v>2789</v>
      </c>
      <c r="B166" s="189" t="s">
        <v>2790</v>
      </c>
      <c r="C166" s="91" t="s">
        <v>2791</v>
      </c>
      <c r="D166" s="91"/>
      <c r="E166" s="91"/>
      <c r="F166" s="91"/>
      <c r="G166" s="91"/>
      <c r="H166" s="91"/>
      <c r="I166" s="91"/>
      <c r="J166" s="91"/>
      <c r="K166" s="91"/>
      <c r="L166" s="91"/>
      <c r="M166" s="91"/>
      <c r="N166" s="91"/>
      <c r="O166" s="91"/>
      <c r="P166" s="91"/>
      <c r="Q166" s="91"/>
      <c r="R166" s="91"/>
      <c r="S166" s="91"/>
      <c r="T166" s="91"/>
      <c r="U166" s="91"/>
      <c r="V166" s="91"/>
      <c r="W166" s="91"/>
      <c r="X166" s="91"/>
      <c r="Y166" s="91"/>
      <c r="Z166" s="91"/>
    </row>
    <row r="167" spans="1:26" ht="15.75" customHeight="1" x14ac:dyDescent="0.25">
      <c r="A167" s="9" t="s">
        <v>2792</v>
      </c>
      <c r="B167" s="189" t="s">
        <v>2793</v>
      </c>
      <c r="C167" s="91" t="s">
        <v>2794</v>
      </c>
      <c r="D167" s="91"/>
      <c r="E167" s="91"/>
      <c r="F167" s="91"/>
      <c r="G167" s="91"/>
      <c r="H167" s="91"/>
      <c r="I167" s="91"/>
      <c r="J167" s="91"/>
      <c r="K167" s="91"/>
      <c r="L167" s="91"/>
      <c r="M167" s="91"/>
      <c r="N167" s="91"/>
      <c r="O167" s="91"/>
      <c r="P167" s="91"/>
      <c r="Q167" s="91"/>
      <c r="R167" s="91"/>
      <c r="S167" s="91"/>
      <c r="T167" s="91"/>
      <c r="U167" s="91"/>
      <c r="V167" s="91"/>
      <c r="W167" s="91"/>
      <c r="X167" s="91"/>
      <c r="Y167" s="91"/>
      <c r="Z167" s="91"/>
    </row>
    <row r="168" spans="1:26" ht="15.75" customHeight="1" x14ac:dyDescent="0.25">
      <c r="A168" s="9" t="s">
        <v>2795</v>
      </c>
      <c r="B168" s="189" t="s">
        <v>2796</v>
      </c>
      <c r="C168" s="91" t="s">
        <v>2797</v>
      </c>
      <c r="D168" s="91"/>
      <c r="E168" s="91"/>
      <c r="F168" s="91"/>
      <c r="G168" s="91"/>
      <c r="H168" s="91"/>
      <c r="I168" s="91"/>
      <c r="J168" s="91"/>
      <c r="K168" s="91"/>
      <c r="L168" s="91"/>
      <c r="M168" s="91"/>
      <c r="N168" s="91"/>
      <c r="O168" s="91"/>
      <c r="P168" s="91"/>
      <c r="Q168" s="91"/>
      <c r="R168" s="91"/>
      <c r="S168" s="91"/>
      <c r="T168" s="91"/>
      <c r="U168" s="91"/>
      <c r="V168" s="91"/>
      <c r="W168" s="91"/>
      <c r="X168" s="91"/>
      <c r="Y168" s="91"/>
      <c r="Z168" s="91"/>
    </row>
    <row r="169" spans="1:26" ht="15.75" customHeight="1" x14ac:dyDescent="0.25">
      <c r="A169" s="9" t="s">
        <v>2798</v>
      </c>
      <c r="B169" s="189" t="s">
        <v>2799</v>
      </c>
      <c r="C169" s="91" t="s">
        <v>2719</v>
      </c>
      <c r="D169" s="91"/>
      <c r="E169" s="91"/>
      <c r="F169" s="91"/>
      <c r="G169" s="91"/>
      <c r="H169" s="91"/>
      <c r="I169" s="91"/>
      <c r="J169" s="91"/>
      <c r="K169" s="91"/>
      <c r="L169" s="91"/>
      <c r="M169" s="91"/>
      <c r="N169" s="91"/>
      <c r="O169" s="91"/>
      <c r="P169" s="91"/>
      <c r="Q169" s="91"/>
      <c r="R169" s="91"/>
      <c r="S169" s="91"/>
      <c r="T169" s="91"/>
      <c r="U169" s="91"/>
      <c r="V169" s="91"/>
      <c r="W169" s="91"/>
      <c r="X169" s="91"/>
      <c r="Y169" s="91"/>
      <c r="Z169" s="91"/>
    </row>
    <row r="170" spans="1:26" ht="15.75" customHeight="1" x14ac:dyDescent="0.25">
      <c r="A170" s="9" t="s">
        <v>2800</v>
      </c>
      <c r="B170" s="189" t="s">
        <v>2801</v>
      </c>
      <c r="C170" s="91" t="s">
        <v>2802</v>
      </c>
      <c r="D170" s="91"/>
      <c r="E170" s="91"/>
      <c r="F170" s="91"/>
      <c r="G170" s="91"/>
      <c r="H170" s="91"/>
      <c r="I170" s="91"/>
      <c r="J170" s="91"/>
      <c r="K170" s="91"/>
      <c r="L170" s="91"/>
      <c r="M170" s="91"/>
      <c r="N170" s="91"/>
      <c r="O170" s="91"/>
      <c r="P170" s="91"/>
      <c r="Q170" s="91"/>
      <c r="R170" s="91"/>
      <c r="S170" s="91"/>
      <c r="T170" s="91"/>
      <c r="U170" s="91"/>
      <c r="V170" s="91"/>
      <c r="W170" s="91"/>
      <c r="X170" s="91"/>
      <c r="Y170" s="91"/>
      <c r="Z170" s="91"/>
    </row>
    <row r="171" spans="1:26" ht="15.75" customHeight="1" x14ac:dyDescent="0.25">
      <c r="A171" s="9" t="s">
        <v>2803</v>
      </c>
      <c r="B171" s="189" t="s">
        <v>2804</v>
      </c>
      <c r="C171" s="91" t="s">
        <v>2805</v>
      </c>
      <c r="D171" s="91"/>
      <c r="E171" s="91"/>
      <c r="F171" s="91"/>
      <c r="G171" s="91"/>
      <c r="H171" s="91"/>
      <c r="I171" s="91"/>
      <c r="J171" s="91"/>
      <c r="K171" s="91"/>
      <c r="L171" s="91"/>
      <c r="M171" s="91"/>
      <c r="N171" s="91"/>
      <c r="O171" s="91"/>
      <c r="P171" s="91"/>
      <c r="Q171" s="91"/>
      <c r="R171" s="91"/>
      <c r="S171" s="91"/>
      <c r="T171" s="91"/>
      <c r="U171" s="91"/>
      <c r="V171" s="91"/>
      <c r="W171" s="91"/>
      <c r="X171" s="91"/>
      <c r="Y171" s="91"/>
      <c r="Z171" s="91"/>
    </row>
    <row r="172" spans="1:26" ht="15.75" customHeight="1" x14ac:dyDescent="0.25">
      <c r="A172" s="9" t="s">
        <v>2806</v>
      </c>
      <c r="B172" s="189" t="s">
        <v>2807</v>
      </c>
      <c r="C172" s="91"/>
      <c r="D172" s="91"/>
      <c r="E172" s="91"/>
      <c r="F172" s="91"/>
      <c r="G172" s="91"/>
      <c r="H172" s="91"/>
      <c r="I172" s="91"/>
      <c r="J172" s="91"/>
      <c r="K172" s="91"/>
      <c r="L172" s="91"/>
      <c r="M172" s="91"/>
      <c r="N172" s="91"/>
      <c r="O172" s="91"/>
      <c r="P172" s="91"/>
      <c r="Q172" s="91"/>
      <c r="R172" s="91"/>
      <c r="S172" s="91"/>
      <c r="T172" s="91"/>
      <c r="U172" s="91"/>
      <c r="V172" s="91"/>
      <c r="W172" s="91"/>
      <c r="X172" s="91"/>
      <c r="Y172" s="91"/>
      <c r="Z172" s="91"/>
    </row>
    <row r="173" spans="1:26" ht="15.75" customHeight="1" x14ac:dyDescent="0.25">
      <c r="A173" s="9" t="s">
        <v>2808</v>
      </c>
      <c r="B173" s="189" t="s">
        <v>2809</v>
      </c>
      <c r="C173" s="91" t="s">
        <v>2810</v>
      </c>
      <c r="D173" s="91"/>
      <c r="E173" s="91"/>
      <c r="F173" s="91"/>
      <c r="G173" s="91"/>
      <c r="H173" s="91"/>
      <c r="I173" s="91"/>
      <c r="J173" s="91"/>
      <c r="K173" s="91"/>
      <c r="L173" s="91"/>
      <c r="M173" s="91"/>
      <c r="N173" s="91"/>
      <c r="O173" s="91"/>
      <c r="P173" s="91"/>
      <c r="Q173" s="91"/>
      <c r="R173" s="91"/>
      <c r="S173" s="91"/>
      <c r="T173" s="91"/>
      <c r="U173" s="91"/>
      <c r="V173" s="91"/>
      <c r="W173" s="91"/>
      <c r="X173" s="91"/>
      <c r="Y173" s="91"/>
      <c r="Z173" s="91"/>
    </row>
    <row r="174" spans="1:26" ht="15.75" customHeight="1" x14ac:dyDescent="0.25">
      <c r="A174" s="9" t="s">
        <v>2811</v>
      </c>
      <c r="B174" s="189" t="s">
        <v>2812</v>
      </c>
      <c r="C174" s="91" t="s">
        <v>2813</v>
      </c>
      <c r="D174" s="91"/>
      <c r="E174" s="91"/>
      <c r="F174" s="91"/>
      <c r="G174" s="91"/>
      <c r="H174" s="91"/>
      <c r="I174" s="91"/>
      <c r="J174" s="91"/>
      <c r="K174" s="91"/>
      <c r="L174" s="91"/>
      <c r="M174" s="91"/>
      <c r="N174" s="91"/>
      <c r="O174" s="91"/>
      <c r="P174" s="91"/>
      <c r="Q174" s="91"/>
      <c r="R174" s="91"/>
      <c r="S174" s="91"/>
      <c r="T174" s="91"/>
      <c r="U174" s="91"/>
      <c r="V174" s="91"/>
      <c r="W174" s="91"/>
      <c r="X174" s="91"/>
      <c r="Y174" s="91"/>
      <c r="Z174" s="91"/>
    </row>
    <row r="175" spans="1:26" ht="15.75" customHeight="1" x14ac:dyDescent="0.25">
      <c r="A175" s="9" t="s">
        <v>2814</v>
      </c>
      <c r="B175" s="189" t="s">
        <v>2815</v>
      </c>
      <c r="C175" s="91" t="s">
        <v>2816</v>
      </c>
      <c r="D175" s="91"/>
      <c r="E175" s="91"/>
      <c r="F175" s="91"/>
      <c r="G175" s="91"/>
      <c r="H175" s="91"/>
      <c r="I175" s="91"/>
      <c r="J175" s="91"/>
      <c r="K175" s="91"/>
      <c r="L175" s="91"/>
      <c r="M175" s="91"/>
      <c r="N175" s="91"/>
      <c r="O175" s="91"/>
      <c r="P175" s="91"/>
      <c r="Q175" s="91"/>
      <c r="R175" s="91"/>
      <c r="S175" s="91"/>
      <c r="T175" s="91"/>
      <c r="U175" s="91"/>
      <c r="V175" s="91"/>
      <c r="W175" s="91"/>
      <c r="X175" s="91"/>
      <c r="Y175" s="91"/>
      <c r="Z175" s="91"/>
    </row>
    <row r="176" spans="1:26" ht="15.75" customHeight="1" x14ac:dyDescent="0.25">
      <c r="A176" s="9" t="s">
        <v>2817</v>
      </c>
      <c r="B176" s="189" t="s">
        <v>2818</v>
      </c>
      <c r="C176" s="91" t="s">
        <v>2819</v>
      </c>
      <c r="D176" s="91"/>
      <c r="E176" s="91"/>
      <c r="F176" s="91"/>
      <c r="G176" s="91"/>
      <c r="H176" s="91"/>
      <c r="I176" s="91"/>
      <c r="J176" s="91"/>
      <c r="K176" s="91"/>
      <c r="L176" s="91"/>
      <c r="M176" s="91"/>
      <c r="N176" s="91"/>
      <c r="O176" s="91"/>
      <c r="P176" s="91"/>
      <c r="Q176" s="91"/>
      <c r="R176" s="91"/>
      <c r="S176" s="91"/>
      <c r="T176" s="91"/>
      <c r="U176" s="91"/>
      <c r="V176" s="91"/>
      <c r="W176" s="91"/>
      <c r="X176" s="91"/>
      <c r="Y176" s="91"/>
      <c r="Z176" s="91"/>
    </row>
    <row r="177" spans="1:26" ht="15.75" customHeight="1" x14ac:dyDescent="0.25">
      <c r="A177" s="9" t="s">
        <v>2820</v>
      </c>
      <c r="B177" s="189" t="s">
        <v>2821</v>
      </c>
      <c r="C177" s="91" t="s">
        <v>2822</v>
      </c>
      <c r="D177" s="91"/>
      <c r="E177" s="91"/>
      <c r="F177" s="91"/>
      <c r="G177" s="91"/>
      <c r="H177" s="91"/>
      <c r="I177" s="91"/>
      <c r="J177" s="91"/>
      <c r="K177" s="91"/>
      <c r="L177" s="91"/>
      <c r="M177" s="91"/>
      <c r="N177" s="91"/>
      <c r="O177" s="91"/>
      <c r="P177" s="91"/>
      <c r="Q177" s="91"/>
      <c r="R177" s="91"/>
      <c r="S177" s="91"/>
      <c r="T177" s="91"/>
      <c r="U177" s="91"/>
      <c r="V177" s="91"/>
      <c r="W177" s="91"/>
      <c r="X177" s="91"/>
      <c r="Y177" s="91"/>
      <c r="Z177" s="91"/>
    </row>
    <row r="178" spans="1:26" ht="15.75" customHeight="1" x14ac:dyDescent="0.25">
      <c r="A178" s="9" t="s">
        <v>2823</v>
      </c>
      <c r="B178" s="189" t="s">
        <v>2824</v>
      </c>
      <c r="C178" s="91" t="s">
        <v>2825</v>
      </c>
      <c r="D178" s="91"/>
      <c r="E178" s="91"/>
      <c r="F178" s="91"/>
      <c r="G178" s="91"/>
      <c r="H178" s="91"/>
      <c r="I178" s="91"/>
      <c r="J178" s="91"/>
      <c r="K178" s="91"/>
      <c r="L178" s="91"/>
      <c r="M178" s="91"/>
      <c r="N178" s="91"/>
      <c r="O178" s="91"/>
      <c r="P178" s="91"/>
      <c r="Q178" s="91"/>
      <c r="R178" s="91"/>
      <c r="S178" s="91"/>
      <c r="T178" s="91"/>
      <c r="U178" s="91"/>
      <c r="V178" s="91"/>
      <c r="W178" s="91"/>
      <c r="X178" s="91"/>
      <c r="Y178" s="91"/>
      <c r="Z178" s="91"/>
    </row>
    <row r="179" spans="1:26" ht="15.75" customHeight="1" x14ac:dyDescent="0.25">
      <c r="A179" s="9" t="s">
        <v>2826</v>
      </c>
      <c r="B179" s="189" t="s">
        <v>2827</v>
      </c>
      <c r="C179" s="91" t="s">
        <v>2828</v>
      </c>
      <c r="D179" s="91"/>
      <c r="E179" s="91"/>
      <c r="F179" s="91"/>
      <c r="G179" s="91"/>
      <c r="H179" s="91"/>
      <c r="I179" s="91"/>
      <c r="J179" s="91"/>
      <c r="K179" s="91"/>
      <c r="L179" s="91"/>
      <c r="M179" s="91"/>
      <c r="N179" s="91"/>
      <c r="O179" s="91"/>
      <c r="P179" s="91"/>
      <c r="Q179" s="91"/>
      <c r="R179" s="91"/>
      <c r="S179" s="91"/>
      <c r="T179" s="91"/>
      <c r="U179" s="91"/>
      <c r="V179" s="91"/>
      <c r="W179" s="91"/>
      <c r="X179" s="91"/>
      <c r="Y179" s="91"/>
      <c r="Z179" s="91"/>
    </row>
    <row r="180" spans="1:26" ht="15.75" customHeight="1" x14ac:dyDescent="0.25">
      <c r="A180" s="9" t="s">
        <v>2829</v>
      </c>
      <c r="B180" s="189" t="s">
        <v>2830</v>
      </c>
      <c r="C180" s="91" t="s">
        <v>2510</v>
      </c>
      <c r="D180" s="91"/>
      <c r="E180" s="91"/>
      <c r="F180" s="91"/>
      <c r="G180" s="91"/>
      <c r="H180" s="91"/>
      <c r="I180" s="91"/>
      <c r="J180" s="91"/>
      <c r="K180" s="91"/>
      <c r="L180" s="91"/>
      <c r="M180" s="91"/>
      <c r="N180" s="91"/>
      <c r="O180" s="91"/>
      <c r="P180" s="91"/>
      <c r="Q180" s="91"/>
      <c r="R180" s="91"/>
      <c r="S180" s="91"/>
      <c r="T180" s="91"/>
      <c r="U180" s="91"/>
      <c r="V180" s="91"/>
      <c r="W180" s="91"/>
      <c r="X180" s="91"/>
      <c r="Y180" s="91"/>
      <c r="Z180" s="91"/>
    </row>
    <row r="181" spans="1:26" ht="15.75" customHeight="1" x14ac:dyDescent="0.25">
      <c r="A181" s="9" t="s">
        <v>2831</v>
      </c>
      <c r="B181" s="189" t="s">
        <v>2832</v>
      </c>
      <c r="C181" s="91" t="s">
        <v>2833</v>
      </c>
      <c r="D181" s="91"/>
      <c r="E181" s="91"/>
      <c r="F181" s="91"/>
      <c r="G181" s="91"/>
      <c r="H181" s="91"/>
      <c r="I181" s="91"/>
      <c r="J181" s="91"/>
      <c r="K181" s="91"/>
      <c r="L181" s="91"/>
      <c r="M181" s="91"/>
      <c r="N181" s="91"/>
      <c r="O181" s="91"/>
      <c r="P181" s="91"/>
      <c r="Q181" s="91"/>
      <c r="R181" s="91"/>
      <c r="S181" s="91"/>
      <c r="T181" s="91"/>
      <c r="U181" s="91"/>
      <c r="V181" s="91"/>
      <c r="W181" s="91"/>
      <c r="X181" s="91"/>
      <c r="Y181" s="91"/>
      <c r="Z181" s="91"/>
    </row>
    <row r="182" spans="1:26" ht="15.75" customHeight="1" x14ac:dyDescent="0.25">
      <c r="A182" s="9" t="s">
        <v>2834</v>
      </c>
      <c r="B182" s="189" t="s">
        <v>2669</v>
      </c>
      <c r="C182" s="91" t="s">
        <v>2670</v>
      </c>
      <c r="D182" s="91"/>
      <c r="E182" s="91"/>
      <c r="F182" s="91"/>
      <c r="G182" s="91"/>
      <c r="H182" s="91"/>
      <c r="I182" s="91"/>
      <c r="J182" s="91"/>
      <c r="K182" s="91"/>
      <c r="L182" s="91"/>
      <c r="M182" s="91"/>
      <c r="N182" s="91"/>
      <c r="O182" s="91"/>
      <c r="P182" s="91"/>
      <c r="Q182" s="91"/>
      <c r="R182" s="91"/>
      <c r="S182" s="91"/>
      <c r="T182" s="91"/>
      <c r="U182" s="91"/>
      <c r="V182" s="91"/>
      <c r="W182" s="91"/>
      <c r="X182" s="91"/>
      <c r="Y182" s="91"/>
      <c r="Z182" s="91"/>
    </row>
    <row r="183" spans="1:26" ht="15.75" customHeight="1" x14ac:dyDescent="0.25">
      <c r="A183" s="9" t="s">
        <v>2835</v>
      </c>
      <c r="B183" s="189" t="s">
        <v>2836</v>
      </c>
      <c r="C183" s="91"/>
      <c r="D183" s="91"/>
      <c r="E183" s="91"/>
      <c r="F183" s="91"/>
      <c r="G183" s="91"/>
      <c r="H183" s="91"/>
      <c r="I183" s="91"/>
      <c r="J183" s="91"/>
      <c r="K183" s="91"/>
      <c r="L183" s="91"/>
      <c r="M183" s="91"/>
      <c r="N183" s="91"/>
      <c r="O183" s="91"/>
      <c r="P183" s="91"/>
      <c r="Q183" s="91"/>
      <c r="R183" s="91"/>
      <c r="S183" s="91"/>
      <c r="T183" s="91"/>
      <c r="U183" s="91"/>
      <c r="V183" s="91"/>
      <c r="W183" s="91"/>
      <c r="X183" s="91"/>
      <c r="Y183" s="91"/>
      <c r="Z183" s="91"/>
    </row>
    <row r="184" spans="1:26" ht="15.75" customHeight="1" x14ac:dyDescent="0.25">
      <c r="A184" s="9" t="s">
        <v>2837</v>
      </c>
      <c r="B184" s="189" t="s">
        <v>2838</v>
      </c>
      <c r="C184" s="91" t="s">
        <v>2839</v>
      </c>
      <c r="D184" s="91"/>
      <c r="E184" s="91"/>
      <c r="F184" s="91"/>
      <c r="G184" s="91"/>
      <c r="H184" s="91"/>
      <c r="I184" s="91"/>
      <c r="J184" s="91"/>
      <c r="K184" s="91"/>
      <c r="L184" s="91"/>
      <c r="M184" s="91"/>
      <c r="N184" s="91"/>
      <c r="O184" s="91"/>
      <c r="P184" s="91"/>
      <c r="Q184" s="91"/>
      <c r="R184" s="91"/>
      <c r="S184" s="91"/>
      <c r="T184" s="91"/>
      <c r="U184" s="91"/>
      <c r="V184" s="91"/>
      <c r="W184" s="91"/>
      <c r="X184" s="91"/>
      <c r="Y184" s="91"/>
      <c r="Z184" s="91"/>
    </row>
    <row r="185" spans="1:26" ht="15.75" customHeight="1" x14ac:dyDescent="0.25">
      <c r="A185" s="9" t="s">
        <v>2840</v>
      </c>
      <c r="B185" s="189" t="s">
        <v>2841</v>
      </c>
      <c r="C185" s="91" t="s">
        <v>2842</v>
      </c>
      <c r="D185" s="91"/>
      <c r="E185" s="91"/>
      <c r="F185" s="91"/>
      <c r="G185" s="91"/>
      <c r="H185" s="91"/>
      <c r="I185" s="91"/>
      <c r="J185" s="91"/>
      <c r="K185" s="91"/>
      <c r="L185" s="91"/>
      <c r="M185" s="91"/>
      <c r="N185" s="91"/>
      <c r="O185" s="91"/>
      <c r="P185" s="91"/>
      <c r="Q185" s="91"/>
      <c r="R185" s="91"/>
      <c r="S185" s="91"/>
      <c r="T185" s="91"/>
      <c r="U185" s="91"/>
      <c r="V185" s="91"/>
      <c r="W185" s="91"/>
      <c r="X185" s="91"/>
      <c r="Y185" s="91"/>
      <c r="Z185" s="91"/>
    </row>
    <row r="186" spans="1:26" ht="15.75" customHeight="1" x14ac:dyDescent="0.25">
      <c r="A186" s="9" t="s">
        <v>2843</v>
      </c>
      <c r="B186" s="189" t="s">
        <v>2595</v>
      </c>
      <c r="C186" s="91" t="s">
        <v>2844</v>
      </c>
      <c r="D186" s="91"/>
      <c r="E186" s="91"/>
      <c r="F186" s="91"/>
      <c r="G186" s="91"/>
      <c r="H186" s="91"/>
      <c r="I186" s="91"/>
      <c r="J186" s="91"/>
      <c r="K186" s="91"/>
      <c r="L186" s="91"/>
      <c r="M186" s="91"/>
      <c r="N186" s="91"/>
      <c r="O186" s="91"/>
      <c r="P186" s="91"/>
      <c r="Q186" s="91"/>
      <c r="R186" s="91"/>
      <c r="S186" s="91"/>
      <c r="T186" s="91"/>
      <c r="U186" s="91"/>
      <c r="V186" s="91"/>
      <c r="W186" s="91"/>
      <c r="X186" s="91"/>
      <c r="Y186" s="91"/>
      <c r="Z186" s="91"/>
    </row>
    <row r="187" spans="1:26" ht="15.75" customHeight="1" x14ac:dyDescent="0.25">
      <c r="A187" s="9" t="s">
        <v>2845</v>
      </c>
      <c r="B187" s="189" t="s">
        <v>2846</v>
      </c>
      <c r="C187" s="91"/>
      <c r="D187" s="91"/>
      <c r="E187" s="91"/>
      <c r="F187" s="91"/>
      <c r="G187" s="91"/>
      <c r="H187" s="91"/>
      <c r="I187" s="91"/>
      <c r="J187" s="91"/>
      <c r="K187" s="91"/>
      <c r="L187" s="91"/>
      <c r="M187" s="91"/>
      <c r="N187" s="91"/>
      <c r="O187" s="91"/>
      <c r="P187" s="91"/>
      <c r="Q187" s="91"/>
      <c r="R187" s="91"/>
      <c r="S187" s="91"/>
      <c r="T187" s="91"/>
      <c r="U187" s="91"/>
      <c r="V187" s="91"/>
      <c r="W187" s="91"/>
      <c r="X187" s="91"/>
      <c r="Y187" s="91"/>
      <c r="Z187" s="91"/>
    </row>
    <row r="188" spans="1:26" ht="15.75" customHeight="1" x14ac:dyDescent="0.25">
      <c r="A188" s="9" t="s">
        <v>2847</v>
      </c>
      <c r="B188" s="189" t="s">
        <v>2848</v>
      </c>
      <c r="C188" s="91"/>
      <c r="D188" s="91"/>
      <c r="E188" s="91"/>
      <c r="F188" s="91"/>
      <c r="G188" s="91"/>
      <c r="H188" s="91"/>
      <c r="I188" s="91"/>
      <c r="J188" s="91"/>
      <c r="K188" s="91"/>
      <c r="L188" s="91"/>
      <c r="M188" s="91"/>
      <c r="N188" s="91"/>
      <c r="O188" s="91"/>
      <c r="P188" s="91"/>
      <c r="Q188" s="91"/>
      <c r="R188" s="91"/>
      <c r="S188" s="91"/>
      <c r="T188" s="91"/>
      <c r="U188" s="91"/>
      <c r="V188" s="91"/>
      <c r="W188" s="91"/>
      <c r="X188" s="91"/>
      <c r="Y188" s="91"/>
      <c r="Z188" s="91"/>
    </row>
    <row r="189" spans="1:26" ht="15.75" customHeight="1" x14ac:dyDescent="0.25">
      <c r="A189" s="9" t="s">
        <v>2849</v>
      </c>
      <c r="B189" s="189" t="s">
        <v>2850</v>
      </c>
      <c r="C189" s="91" t="s">
        <v>2851</v>
      </c>
      <c r="D189" s="91"/>
      <c r="E189" s="91"/>
      <c r="F189" s="91"/>
      <c r="G189" s="91"/>
      <c r="H189" s="91"/>
      <c r="I189" s="91"/>
      <c r="J189" s="91"/>
      <c r="K189" s="91"/>
      <c r="L189" s="91"/>
      <c r="M189" s="91"/>
      <c r="N189" s="91"/>
      <c r="O189" s="91"/>
      <c r="P189" s="91"/>
      <c r="Q189" s="91"/>
      <c r="R189" s="91"/>
      <c r="S189" s="91"/>
      <c r="T189" s="91"/>
      <c r="U189" s="91"/>
      <c r="V189" s="91"/>
      <c r="W189" s="91"/>
      <c r="X189" s="91"/>
      <c r="Y189" s="91"/>
      <c r="Z189" s="91"/>
    </row>
    <row r="190" spans="1:26" ht="15.75" customHeight="1" x14ac:dyDescent="0.25">
      <c r="A190" s="9" t="s">
        <v>2852</v>
      </c>
      <c r="B190" s="189" t="s">
        <v>2853</v>
      </c>
      <c r="C190" s="91"/>
      <c r="D190" s="91"/>
      <c r="E190" s="91"/>
      <c r="F190" s="91"/>
      <c r="G190" s="91"/>
      <c r="H190" s="91"/>
      <c r="I190" s="91"/>
      <c r="J190" s="91"/>
      <c r="K190" s="91"/>
      <c r="L190" s="91"/>
      <c r="M190" s="91"/>
      <c r="N190" s="91"/>
      <c r="O190" s="91"/>
      <c r="P190" s="91"/>
      <c r="Q190" s="91"/>
      <c r="R190" s="91"/>
      <c r="S190" s="91"/>
      <c r="T190" s="91"/>
      <c r="U190" s="91"/>
      <c r="V190" s="91"/>
      <c r="W190" s="91"/>
      <c r="X190" s="91"/>
      <c r="Y190" s="91"/>
      <c r="Z190" s="91"/>
    </row>
    <row r="191" spans="1:26" ht="15.75" customHeight="1" x14ac:dyDescent="0.25">
      <c r="A191" s="9" t="s">
        <v>2854</v>
      </c>
      <c r="B191" s="189" t="s">
        <v>2855</v>
      </c>
      <c r="C191" s="91" t="s">
        <v>2856</v>
      </c>
      <c r="D191" s="91"/>
      <c r="E191" s="91"/>
      <c r="F191" s="91"/>
      <c r="G191" s="91"/>
      <c r="H191" s="91"/>
      <c r="I191" s="91"/>
      <c r="J191" s="91"/>
      <c r="K191" s="91"/>
      <c r="L191" s="91"/>
      <c r="M191" s="91"/>
      <c r="N191" s="91"/>
      <c r="O191" s="91"/>
      <c r="P191" s="91"/>
      <c r="Q191" s="91"/>
      <c r="R191" s="91"/>
      <c r="S191" s="91"/>
      <c r="T191" s="91"/>
      <c r="U191" s="91"/>
      <c r="V191" s="91"/>
      <c r="W191" s="91"/>
      <c r="X191" s="91"/>
      <c r="Y191" s="91"/>
      <c r="Z191" s="91"/>
    </row>
    <row r="192" spans="1:26" ht="15.75" customHeight="1" x14ac:dyDescent="0.25">
      <c r="A192" s="9" t="s">
        <v>2857</v>
      </c>
      <c r="B192" s="189" t="s">
        <v>2858</v>
      </c>
      <c r="C192" s="91" t="s">
        <v>2859</v>
      </c>
      <c r="D192" s="91"/>
      <c r="E192" s="91"/>
      <c r="F192" s="91"/>
      <c r="G192" s="91"/>
      <c r="H192" s="91"/>
      <c r="I192" s="91"/>
      <c r="J192" s="91"/>
      <c r="K192" s="91"/>
      <c r="L192" s="91"/>
      <c r="M192" s="91"/>
      <c r="N192" s="91"/>
      <c r="O192" s="91"/>
      <c r="P192" s="91"/>
      <c r="Q192" s="91"/>
      <c r="R192" s="91"/>
      <c r="S192" s="91"/>
      <c r="T192" s="91"/>
      <c r="U192" s="91"/>
      <c r="V192" s="91"/>
      <c r="W192" s="91"/>
      <c r="X192" s="91"/>
      <c r="Y192" s="91"/>
      <c r="Z192" s="91"/>
    </row>
    <row r="193" spans="1:26" ht="15.75" customHeight="1" x14ac:dyDescent="0.25">
      <c r="A193" s="9" t="s">
        <v>2860</v>
      </c>
      <c r="B193" s="189" t="s">
        <v>2861</v>
      </c>
      <c r="C193" s="91" t="s">
        <v>2862</v>
      </c>
      <c r="D193" s="91"/>
      <c r="E193" s="91"/>
      <c r="F193" s="91"/>
      <c r="G193" s="91"/>
      <c r="H193" s="91"/>
      <c r="I193" s="91"/>
      <c r="J193" s="91"/>
      <c r="K193" s="91"/>
      <c r="L193" s="91"/>
      <c r="M193" s="91"/>
      <c r="N193" s="91"/>
      <c r="O193" s="91"/>
      <c r="P193" s="91"/>
      <c r="Q193" s="91"/>
      <c r="R193" s="91"/>
      <c r="S193" s="91"/>
      <c r="T193" s="91"/>
      <c r="U193" s="91"/>
      <c r="V193" s="91"/>
      <c r="W193" s="91"/>
      <c r="X193" s="91"/>
      <c r="Y193" s="91"/>
      <c r="Z193" s="91"/>
    </row>
    <row r="194" spans="1:26" ht="15.75" customHeight="1" x14ac:dyDescent="0.25">
      <c r="A194" s="9" t="s">
        <v>2863</v>
      </c>
      <c r="B194" s="189" t="s">
        <v>2864</v>
      </c>
      <c r="C194" s="91" t="s">
        <v>2816</v>
      </c>
      <c r="D194" s="91"/>
      <c r="E194" s="91"/>
      <c r="F194" s="91"/>
      <c r="G194" s="91"/>
      <c r="H194" s="91"/>
      <c r="I194" s="91"/>
      <c r="J194" s="91"/>
      <c r="K194" s="91"/>
      <c r="L194" s="91"/>
      <c r="M194" s="91"/>
      <c r="N194" s="91"/>
      <c r="O194" s="91"/>
      <c r="P194" s="91"/>
      <c r="Q194" s="91"/>
      <c r="R194" s="91"/>
      <c r="S194" s="91"/>
      <c r="T194" s="91"/>
      <c r="U194" s="91"/>
      <c r="V194" s="91"/>
      <c r="W194" s="91"/>
      <c r="X194" s="91"/>
      <c r="Y194" s="91"/>
      <c r="Z194" s="91"/>
    </row>
    <row r="195" spans="1:26" ht="15.75" customHeight="1" x14ac:dyDescent="0.25">
      <c r="A195" s="9" t="s">
        <v>2865</v>
      </c>
      <c r="B195" s="189" t="s">
        <v>2866</v>
      </c>
      <c r="C195" s="91" t="s">
        <v>2867</v>
      </c>
      <c r="D195" s="91"/>
      <c r="E195" s="91"/>
      <c r="F195" s="91"/>
      <c r="G195" s="91"/>
      <c r="H195" s="91"/>
      <c r="I195" s="91"/>
      <c r="J195" s="91"/>
      <c r="K195" s="91"/>
      <c r="L195" s="91"/>
      <c r="M195" s="91"/>
      <c r="N195" s="91"/>
      <c r="O195" s="91"/>
      <c r="P195" s="91"/>
      <c r="Q195" s="91"/>
      <c r="R195" s="91"/>
      <c r="S195" s="91"/>
      <c r="T195" s="91"/>
      <c r="U195" s="91"/>
      <c r="V195" s="91"/>
      <c r="W195" s="91"/>
      <c r="X195" s="91"/>
      <c r="Y195" s="91"/>
      <c r="Z195" s="91"/>
    </row>
    <row r="196" spans="1:26" ht="15.75" customHeight="1" x14ac:dyDescent="0.25">
      <c r="A196" s="9" t="s">
        <v>2868</v>
      </c>
      <c r="B196" s="189" t="s">
        <v>2869</v>
      </c>
      <c r="C196" s="91" t="s">
        <v>2870</v>
      </c>
      <c r="D196" s="91"/>
      <c r="E196" s="91"/>
      <c r="F196" s="91"/>
      <c r="G196" s="91"/>
      <c r="H196" s="91"/>
      <c r="I196" s="91"/>
      <c r="J196" s="91"/>
      <c r="K196" s="91"/>
      <c r="L196" s="91"/>
      <c r="M196" s="91"/>
      <c r="N196" s="91"/>
      <c r="O196" s="91"/>
      <c r="P196" s="91"/>
      <c r="Q196" s="91"/>
      <c r="R196" s="91"/>
      <c r="S196" s="91"/>
      <c r="T196" s="91"/>
      <c r="U196" s="91"/>
      <c r="V196" s="91"/>
      <c r="W196" s="91"/>
      <c r="X196" s="91"/>
      <c r="Y196" s="91"/>
      <c r="Z196" s="91"/>
    </row>
    <row r="197" spans="1:26" ht="15.75" customHeight="1" x14ac:dyDescent="0.25">
      <c r="A197" s="9" t="s">
        <v>2871</v>
      </c>
      <c r="B197" s="189" t="s">
        <v>2872</v>
      </c>
      <c r="C197" s="91" t="s">
        <v>2873</v>
      </c>
      <c r="D197" s="91"/>
      <c r="E197" s="91"/>
      <c r="F197" s="91"/>
      <c r="G197" s="91"/>
      <c r="H197" s="91"/>
      <c r="I197" s="91"/>
      <c r="J197" s="91"/>
      <c r="K197" s="91"/>
      <c r="L197" s="91"/>
      <c r="M197" s="91"/>
      <c r="N197" s="91"/>
      <c r="O197" s="91"/>
      <c r="P197" s="91"/>
      <c r="Q197" s="91"/>
      <c r="R197" s="91"/>
      <c r="S197" s="91"/>
      <c r="T197" s="91"/>
      <c r="U197" s="91"/>
      <c r="V197" s="91"/>
      <c r="W197" s="91"/>
      <c r="X197" s="91"/>
      <c r="Y197" s="91"/>
      <c r="Z197" s="91"/>
    </row>
    <row r="198" spans="1:26" ht="15.75" customHeight="1" x14ac:dyDescent="0.25">
      <c r="A198" s="9" t="s">
        <v>2874</v>
      </c>
      <c r="B198" s="189" t="s">
        <v>2875</v>
      </c>
      <c r="C198" s="91" t="s">
        <v>2876</v>
      </c>
      <c r="D198" s="91"/>
      <c r="E198" s="91"/>
      <c r="F198" s="91"/>
      <c r="G198" s="91"/>
      <c r="H198" s="91"/>
      <c r="I198" s="91"/>
      <c r="J198" s="91"/>
      <c r="K198" s="91"/>
      <c r="L198" s="91"/>
      <c r="M198" s="91"/>
      <c r="N198" s="91"/>
      <c r="O198" s="91"/>
      <c r="P198" s="91"/>
      <c r="Q198" s="91"/>
      <c r="R198" s="91"/>
      <c r="S198" s="91"/>
      <c r="T198" s="91"/>
      <c r="U198" s="91"/>
      <c r="V198" s="91"/>
      <c r="W198" s="91"/>
      <c r="X198" s="91"/>
      <c r="Y198" s="91"/>
      <c r="Z198" s="91"/>
    </row>
    <row r="199" spans="1:26" ht="15.75" customHeight="1" x14ac:dyDescent="0.25">
      <c r="A199" s="9" t="s">
        <v>2877</v>
      </c>
      <c r="B199" s="189" t="s">
        <v>2878</v>
      </c>
      <c r="C199" s="91" t="s">
        <v>2879</v>
      </c>
      <c r="D199" s="91"/>
      <c r="E199" s="91"/>
      <c r="F199" s="91"/>
      <c r="G199" s="91"/>
      <c r="H199" s="91"/>
      <c r="I199" s="91"/>
      <c r="J199" s="91"/>
      <c r="K199" s="91"/>
      <c r="L199" s="91"/>
      <c r="M199" s="91"/>
      <c r="N199" s="91"/>
      <c r="O199" s="91"/>
      <c r="P199" s="91"/>
      <c r="Q199" s="91"/>
      <c r="R199" s="91"/>
      <c r="S199" s="91"/>
      <c r="T199" s="91"/>
      <c r="U199" s="91"/>
      <c r="V199" s="91"/>
      <c r="W199" s="91"/>
      <c r="X199" s="91"/>
      <c r="Y199" s="91"/>
      <c r="Z199" s="91"/>
    </row>
    <row r="200" spans="1:26" ht="15.75" customHeight="1" x14ac:dyDescent="0.25">
      <c r="A200" s="9" t="s">
        <v>2880</v>
      </c>
      <c r="B200" s="189" t="s">
        <v>2881</v>
      </c>
      <c r="C200" s="91" t="s">
        <v>2882</v>
      </c>
      <c r="D200" s="91"/>
      <c r="E200" s="91"/>
      <c r="F200" s="91"/>
      <c r="G200" s="91"/>
      <c r="H200" s="91"/>
      <c r="I200" s="91"/>
      <c r="J200" s="91"/>
      <c r="K200" s="91"/>
      <c r="L200" s="91"/>
      <c r="M200" s="91"/>
      <c r="N200" s="91"/>
      <c r="O200" s="91"/>
      <c r="P200" s="91"/>
      <c r="Q200" s="91"/>
      <c r="R200" s="91"/>
      <c r="S200" s="91"/>
      <c r="T200" s="91"/>
      <c r="U200" s="91"/>
      <c r="V200" s="91"/>
      <c r="W200" s="91"/>
      <c r="X200" s="91"/>
      <c r="Y200" s="91"/>
      <c r="Z200" s="91"/>
    </row>
    <row r="201" spans="1:26" ht="15.75" customHeight="1" x14ac:dyDescent="0.25">
      <c r="A201" s="9" t="s">
        <v>2883</v>
      </c>
      <c r="B201" s="189" t="s">
        <v>2884</v>
      </c>
      <c r="C201" s="91" t="s">
        <v>2885</v>
      </c>
      <c r="D201" s="91"/>
      <c r="E201" s="91"/>
      <c r="F201" s="91"/>
      <c r="G201" s="91"/>
      <c r="H201" s="91"/>
      <c r="I201" s="91"/>
      <c r="J201" s="91"/>
      <c r="K201" s="91"/>
      <c r="L201" s="91"/>
      <c r="M201" s="91"/>
      <c r="N201" s="91"/>
      <c r="O201" s="91"/>
      <c r="P201" s="91"/>
      <c r="Q201" s="91"/>
      <c r="R201" s="91"/>
      <c r="S201" s="91"/>
      <c r="T201" s="91"/>
      <c r="U201" s="91"/>
      <c r="V201" s="91"/>
      <c r="W201" s="91"/>
      <c r="X201" s="91"/>
      <c r="Y201" s="91"/>
      <c r="Z201" s="91"/>
    </row>
    <row r="202" spans="1:26" ht="15.75" customHeight="1" x14ac:dyDescent="0.25">
      <c r="A202" s="9" t="s">
        <v>2886</v>
      </c>
      <c r="B202" s="189" t="s">
        <v>2887</v>
      </c>
      <c r="C202" s="91"/>
      <c r="D202" s="91"/>
      <c r="E202" s="91"/>
      <c r="F202" s="91"/>
      <c r="G202" s="91"/>
      <c r="H202" s="91"/>
      <c r="I202" s="91"/>
      <c r="J202" s="91"/>
      <c r="K202" s="91"/>
      <c r="L202" s="91"/>
      <c r="M202" s="91"/>
      <c r="N202" s="91"/>
      <c r="O202" s="91"/>
      <c r="P202" s="91"/>
      <c r="Q202" s="91"/>
      <c r="R202" s="91"/>
      <c r="S202" s="91"/>
      <c r="T202" s="91"/>
      <c r="U202" s="91"/>
      <c r="V202" s="91"/>
      <c r="W202" s="91"/>
      <c r="X202" s="91"/>
      <c r="Y202" s="91"/>
      <c r="Z202" s="91"/>
    </row>
    <row r="203" spans="1:26" ht="15.75" customHeight="1" x14ac:dyDescent="0.25">
      <c r="A203" s="9" t="s">
        <v>2888</v>
      </c>
      <c r="B203" s="189" t="s">
        <v>2889</v>
      </c>
      <c r="C203" s="91" t="s">
        <v>2890</v>
      </c>
      <c r="D203" s="91"/>
      <c r="E203" s="91"/>
      <c r="F203" s="91"/>
      <c r="G203" s="91"/>
      <c r="H203" s="91"/>
      <c r="I203" s="91"/>
      <c r="J203" s="91"/>
      <c r="K203" s="91"/>
      <c r="L203" s="91"/>
      <c r="M203" s="91"/>
      <c r="N203" s="91"/>
      <c r="O203" s="91"/>
      <c r="P203" s="91"/>
      <c r="Q203" s="91"/>
      <c r="R203" s="91"/>
      <c r="S203" s="91"/>
      <c r="T203" s="91"/>
      <c r="U203" s="91"/>
      <c r="V203" s="91"/>
      <c r="W203" s="91"/>
      <c r="X203" s="91"/>
      <c r="Y203" s="91"/>
      <c r="Z203" s="91"/>
    </row>
    <row r="204" spans="1:26" ht="15.75" customHeight="1" x14ac:dyDescent="0.25">
      <c r="A204" s="9" t="s">
        <v>2891</v>
      </c>
      <c r="B204" s="189" t="s">
        <v>2892</v>
      </c>
      <c r="C204" s="91" t="s">
        <v>2893</v>
      </c>
      <c r="D204" s="91"/>
      <c r="E204" s="91"/>
      <c r="F204" s="91"/>
      <c r="G204" s="91"/>
      <c r="H204" s="91"/>
      <c r="I204" s="91"/>
      <c r="J204" s="91"/>
      <c r="K204" s="91"/>
      <c r="L204" s="91"/>
      <c r="M204" s="91"/>
      <c r="N204" s="91"/>
      <c r="O204" s="91"/>
      <c r="P204" s="91"/>
      <c r="Q204" s="91"/>
      <c r="R204" s="91"/>
      <c r="S204" s="91"/>
      <c r="T204" s="91"/>
      <c r="U204" s="91"/>
      <c r="V204" s="91"/>
      <c r="W204" s="91"/>
      <c r="X204" s="91"/>
      <c r="Y204" s="91"/>
      <c r="Z204" s="91"/>
    </row>
    <row r="205" spans="1:26" ht="15.75" customHeight="1" x14ac:dyDescent="0.25">
      <c r="A205" s="9" t="s">
        <v>2894</v>
      </c>
      <c r="B205" s="189" t="s">
        <v>2895</v>
      </c>
      <c r="C205" s="91" t="s">
        <v>2896</v>
      </c>
      <c r="D205" s="91"/>
      <c r="E205" s="91"/>
      <c r="F205" s="91"/>
      <c r="G205" s="91"/>
      <c r="H205" s="91"/>
      <c r="I205" s="91"/>
      <c r="J205" s="91"/>
      <c r="K205" s="91"/>
      <c r="L205" s="91"/>
      <c r="M205" s="91"/>
      <c r="N205" s="91"/>
      <c r="O205" s="91"/>
      <c r="P205" s="91"/>
      <c r="Q205" s="91"/>
      <c r="R205" s="91"/>
      <c r="S205" s="91"/>
      <c r="T205" s="91"/>
      <c r="U205" s="91"/>
      <c r="V205" s="91"/>
      <c r="W205" s="91"/>
      <c r="X205" s="91"/>
      <c r="Y205" s="91"/>
      <c r="Z205" s="91"/>
    </row>
    <row r="206" spans="1:26" ht="15.75" customHeight="1" x14ac:dyDescent="0.25">
      <c r="A206" s="9" t="s">
        <v>2897</v>
      </c>
      <c r="B206" s="189" t="s">
        <v>2898</v>
      </c>
      <c r="C206" s="91" t="s">
        <v>2899</v>
      </c>
      <c r="D206" s="91"/>
      <c r="E206" s="91"/>
      <c r="F206" s="91"/>
      <c r="G206" s="91"/>
      <c r="H206" s="91"/>
      <c r="I206" s="91"/>
      <c r="J206" s="91"/>
      <c r="K206" s="91"/>
      <c r="L206" s="91"/>
      <c r="M206" s="91"/>
      <c r="N206" s="91"/>
      <c r="O206" s="91"/>
      <c r="P206" s="91"/>
      <c r="Q206" s="91"/>
      <c r="R206" s="91"/>
      <c r="S206" s="91"/>
      <c r="T206" s="91"/>
      <c r="U206" s="91"/>
      <c r="V206" s="91"/>
      <c r="W206" s="91"/>
      <c r="X206" s="91"/>
      <c r="Y206" s="91"/>
      <c r="Z206" s="91"/>
    </row>
    <row r="207" spans="1:26" ht="15.75" customHeight="1" x14ac:dyDescent="0.25">
      <c r="A207" s="9" t="s">
        <v>2900</v>
      </c>
      <c r="B207" s="189" t="s">
        <v>2901</v>
      </c>
      <c r="C207" s="91" t="s">
        <v>2902</v>
      </c>
      <c r="D207" s="91"/>
      <c r="E207" s="91"/>
      <c r="F207" s="91"/>
      <c r="G207" s="91"/>
      <c r="H207" s="91"/>
      <c r="I207" s="91"/>
      <c r="J207" s="91"/>
      <c r="K207" s="91"/>
      <c r="L207" s="91"/>
      <c r="M207" s="91"/>
      <c r="N207" s="91"/>
      <c r="O207" s="91"/>
      <c r="P207" s="91"/>
      <c r="Q207" s="91"/>
      <c r="R207" s="91"/>
      <c r="S207" s="91"/>
      <c r="T207" s="91"/>
      <c r="U207" s="91"/>
      <c r="V207" s="91"/>
      <c r="W207" s="91"/>
      <c r="X207" s="91"/>
      <c r="Y207" s="91"/>
      <c r="Z207" s="91"/>
    </row>
    <row r="208" spans="1:26" ht="15.75" customHeight="1" x14ac:dyDescent="0.25">
      <c r="A208" s="9" t="s">
        <v>2903</v>
      </c>
      <c r="B208" s="189" t="s">
        <v>2904</v>
      </c>
      <c r="C208" s="91" t="s">
        <v>2905</v>
      </c>
      <c r="D208" s="91"/>
      <c r="E208" s="91"/>
      <c r="F208" s="91"/>
      <c r="G208" s="91"/>
      <c r="H208" s="91"/>
      <c r="I208" s="91"/>
      <c r="J208" s="91"/>
      <c r="K208" s="91"/>
      <c r="L208" s="91"/>
      <c r="M208" s="91"/>
      <c r="N208" s="91"/>
      <c r="O208" s="91"/>
      <c r="P208" s="91"/>
      <c r="Q208" s="91"/>
      <c r="R208" s="91"/>
      <c r="S208" s="91"/>
      <c r="T208" s="91"/>
      <c r="U208" s="91"/>
      <c r="V208" s="91"/>
      <c r="W208" s="91"/>
      <c r="X208" s="91"/>
      <c r="Y208" s="91"/>
      <c r="Z208" s="91"/>
    </row>
    <row r="209" spans="1:26" ht="15.75" customHeight="1" x14ac:dyDescent="0.25">
      <c r="A209" s="9" t="s">
        <v>2906</v>
      </c>
      <c r="B209" s="189" t="s">
        <v>2907</v>
      </c>
      <c r="C209" s="91" t="s">
        <v>2908</v>
      </c>
      <c r="D209" s="91"/>
      <c r="E209" s="91"/>
      <c r="F209" s="91"/>
      <c r="G209" s="91"/>
      <c r="H209" s="91"/>
      <c r="I209" s="91"/>
      <c r="J209" s="91"/>
      <c r="K209" s="91"/>
      <c r="L209" s="91"/>
      <c r="M209" s="91"/>
      <c r="N209" s="91"/>
      <c r="O209" s="91"/>
      <c r="P209" s="91"/>
      <c r="Q209" s="91"/>
      <c r="R209" s="91"/>
      <c r="S209" s="91"/>
      <c r="T209" s="91"/>
      <c r="U209" s="91"/>
      <c r="V209" s="91"/>
      <c r="W209" s="91"/>
      <c r="X209" s="91"/>
      <c r="Y209" s="91"/>
      <c r="Z209" s="91"/>
    </row>
    <row r="210" spans="1:26" ht="15.75" customHeight="1" x14ac:dyDescent="0.25">
      <c r="A210" s="9" t="s">
        <v>2909</v>
      </c>
      <c r="B210" s="189" t="s">
        <v>2910</v>
      </c>
      <c r="C210" s="91" t="s">
        <v>2911</v>
      </c>
      <c r="D210" s="91"/>
      <c r="E210" s="91"/>
      <c r="F210" s="91"/>
      <c r="G210" s="91"/>
      <c r="H210" s="91"/>
      <c r="I210" s="91"/>
      <c r="J210" s="91"/>
      <c r="K210" s="91"/>
      <c r="L210" s="91"/>
      <c r="M210" s="91"/>
      <c r="N210" s="91"/>
      <c r="O210" s="91"/>
      <c r="P210" s="91"/>
      <c r="Q210" s="91"/>
      <c r="R210" s="91"/>
      <c r="S210" s="91"/>
      <c r="T210" s="91"/>
      <c r="U210" s="91"/>
      <c r="V210" s="91"/>
      <c r="W210" s="91"/>
      <c r="X210" s="91"/>
      <c r="Y210" s="91"/>
      <c r="Z210" s="91"/>
    </row>
    <row r="211" spans="1:26" ht="15.75" customHeight="1" x14ac:dyDescent="0.25">
      <c r="A211" s="9" t="s">
        <v>2912</v>
      </c>
      <c r="B211" s="189" t="s">
        <v>2913</v>
      </c>
      <c r="C211" s="91" t="s">
        <v>2914</v>
      </c>
      <c r="D211" s="91"/>
      <c r="E211" s="91"/>
      <c r="F211" s="91"/>
      <c r="G211" s="91"/>
      <c r="H211" s="91"/>
      <c r="I211" s="91"/>
      <c r="J211" s="91"/>
      <c r="K211" s="91"/>
      <c r="L211" s="91"/>
      <c r="M211" s="91"/>
      <c r="N211" s="91"/>
      <c r="O211" s="91"/>
      <c r="P211" s="91"/>
      <c r="Q211" s="91"/>
      <c r="R211" s="91"/>
      <c r="S211" s="91"/>
      <c r="T211" s="91"/>
      <c r="U211" s="91"/>
      <c r="V211" s="91"/>
      <c r="W211" s="91"/>
      <c r="X211" s="91"/>
      <c r="Y211" s="91"/>
      <c r="Z211" s="91"/>
    </row>
    <row r="212" spans="1:26" ht="15.75" customHeight="1" x14ac:dyDescent="0.25">
      <c r="A212" s="9" t="s">
        <v>2915</v>
      </c>
      <c r="B212" s="189" t="s">
        <v>2916</v>
      </c>
      <c r="C212" s="91" t="s">
        <v>2917</v>
      </c>
      <c r="D212" s="91"/>
      <c r="E212" s="91"/>
      <c r="F212" s="91"/>
      <c r="G212" s="91"/>
      <c r="H212" s="91"/>
      <c r="I212" s="91"/>
      <c r="J212" s="91"/>
      <c r="K212" s="91"/>
      <c r="L212" s="91"/>
      <c r="M212" s="91"/>
      <c r="N212" s="91"/>
      <c r="O212" s="91"/>
      <c r="P212" s="91"/>
      <c r="Q212" s="91"/>
      <c r="R212" s="91"/>
      <c r="S212" s="91"/>
      <c r="T212" s="91"/>
      <c r="U212" s="91"/>
      <c r="V212" s="91"/>
      <c r="W212" s="91"/>
      <c r="X212" s="91"/>
      <c r="Y212" s="91"/>
      <c r="Z212" s="91"/>
    </row>
    <row r="213" spans="1:26" ht="15.75" customHeight="1" x14ac:dyDescent="0.25">
      <c r="A213" s="9" t="s">
        <v>2918</v>
      </c>
      <c r="B213" s="189" t="s">
        <v>2919</v>
      </c>
      <c r="C213" s="91" t="s">
        <v>2920</v>
      </c>
      <c r="D213" s="91"/>
      <c r="E213" s="91"/>
      <c r="F213" s="91"/>
      <c r="G213" s="91"/>
      <c r="H213" s="91"/>
      <c r="I213" s="91"/>
      <c r="J213" s="91"/>
      <c r="K213" s="91"/>
      <c r="L213" s="91"/>
      <c r="M213" s="91"/>
      <c r="N213" s="91"/>
      <c r="O213" s="91"/>
      <c r="P213" s="91"/>
      <c r="Q213" s="91"/>
      <c r="R213" s="91"/>
      <c r="S213" s="91"/>
      <c r="T213" s="91"/>
      <c r="U213" s="91"/>
      <c r="V213" s="91"/>
      <c r="W213" s="91"/>
      <c r="X213" s="91"/>
      <c r="Y213" s="91"/>
      <c r="Z213" s="91"/>
    </row>
    <row r="214" spans="1:26" ht="15.75" customHeight="1" x14ac:dyDescent="0.25">
      <c r="A214" s="9" t="s">
        <v>2921</v>
      </c>
      <c r="B214" s="189" t="s">
        <v>2922</v>
      </c>
      <c r="C214" s="91"/>
      <c r="D214" s="91"/>
      <c r="E214" s="91"/>
      <c r="F214" s="91"/>
      <c r="G214" s="91"/>
      <c r="H214" s="91"/>
      <c r="I214" s="91"/>
      <c r="J214" s="91"/>
      <c r="K214" s="91"/>
      <c r="L214" s="91"/>
      <c r="M214" s="91"/>
      <c r="N214" s="91"/>
      <c r="O214" s="91"/>
      <c r="P214" s="91"/>
      <c r="Q214" s="91"/>
      <c r="R214" s="91"/>
      <c r="S214" s="91"/>
      <c r="T214" s="91"/>
      <c r="U214" s="91"/>
      <c r="V214" s="91"/>
      <c r="W214" s="91"/>
      <c r="X214" s="91"/>
      <c r="Y214" s="91"/>
      <c r="Z214" s="91"/>
    </row>
    <row r="215" spans="1:26" ht="15.75" customHeight="1" x14ac:dyDescent="0.25">
      <c r="A215" s="9" t="s">
        <v>2923</v>
      </c>
      <c r="B215" s="189" t="s">
        <v>2924</v>
      </c>
      <c r="C215" s="91" t="s">
        <v>2925</v>
      </c>
      <c r="D215" s="91"/>
      <c r="E215" s="91"/>
      <c r="F215" s="91"/>
      <c r="G215" s="91"/>
      <c r="H215" s="91"/>
      <c r="I215" s="91"/>
      <c r="J215" s="91"/>
      <c r="K215" s="91"/>
      <c r="L215" s="91"/>
      <c r="M215" s="91"/>
      <c r="N215" s="91"/>
      <c r="O215" s="91"/>
      <c r="P215" s="91"/>
      <c r="Q215" s="91"/>
      <c r="R215" s="91"/>
      <c r="S215" s="91"/>
      <c r="T215" s="91"/>
      <c r="U215" s="91"/>
      <c r="V215" s="91"/>
      <c r="W215" s="91"/>
      <c r="X215" s="91"/>
      <c r="Y215" s="91"/>
      <c r="Z215" s="91"/>
    </row>
    <row r="216" spans="1:26" ht="15.75" customHeight="1" x14ac:dyDescent="0.25">
      <c r="A216" s="9" t="s">
        <v>2926</v>
      </c>
      <c r="B216" s="189" t="s">
        <v>2927</v>
      </c>
      <c r="C216" s="91" t="s">
        <v>2740</v>
      </c>
      <c r="D216" s="91"/>
      <c r="E216" s="91"/>
      <c r="F216" s="91"/>
      <c r="G216" s="91"/>
      <c r="H216" s="91"/>
      <c r="I216" s="91"/>
      <c r="J216" s="91"/>
      <c r="K216" s="91"/>
      <c r="L216" s="91"/>
      <c r="M216" s="91"/>
      <c r="N216" s="91"/>
      <c r="O216" s="91"/>
      <c r="P216" s="91"/>
      <c r="Q216" s="91"/>
      <c r="R216" s="91"/>
      <c r="S216" s="91"/>
      <c r="T216" s="91"/>
      <c r="U216" s="91"/>
      <c r="V216" s="91"/>
      <c r="W216" s="91"/>
      <c r="X216" s="91"/>
      <c r="Y216" s="91"/>
      <c r="Z216" s="91"/>
    </row>
    <row r="217" spans="1:26" ht="15.75" customHeight="1" x14ac:dyDescent="0.25">
      <c r="A217" s="9" t="s">
        <v>2928</v>
      </c>
      <c r="B217" s="189" t="s">
        <v>2929</v>
      </c>
      <c r="C217" s="91" t="s">
        <v>2930</v>
      </c>
      <c r="D217" s="91"/>
      <c r="E217" s="91"/>
      <c r="F217" s="91"/>
      <c r="G217" s="91"/>
      <c r="H217" s="91"/>
      <c r="I217" s="91"/>
      <c r="J217" s="91"/>
      <c r="K217" s="91"/>
      <c r="L217" s="91"/>
      <c r="M217" s="91"/>
      <c r="N217" s="91"/>
      <c r="O217" s="91"/>
      <c r="P217" s="91"/>
      <c r="Q217" s="91"/>
      <c r="R217" s="91"/>
      <c r="S217" s="91"/>
      <c r="T217" s="91"/>
      <c r="U217" s="91"/>
      <c r="V217" s="91"/>
      <c r="W217" s="91"/>
      <c r="X217" s="91"/>
      <c r="Y217" s="91"/>
      <c r="Z217" s="91"/>
    </row>
    <row r="218" spans="1:26" ht="15.75" customHeight="1" x14ac:dyDescent="0.25">
      <c r="A218" s="9" t="s">
        <v>2931</v>
      </c>
      <c r="B218" s="189" t="s">
        <v>2932</v>
      </c>
      <c r="C218" s="91"/>
      <c r="D218" s="91"/>
      <c r="E218" s="91"/>
      <c r="F218" s="91"/>
      <c r="G218" s="91"/>
      <c r="H218" s="91"/>
      <c r="I218" s="91"/>
      <c r="J218" s="91"/>
      <c r="K218" s="91"/>
      <c r="L218" s="91"/>
      <c r="M218" s="91"/>
      <c r="N218" s="91"/>
      <c r="O218" s="91"/>
      <c r="P218" s="91"/>
      <c r="Q218" s="91"/>
      <c r="R218" s="91"/>
      <c r="S218" s="91"/>
      <c r="T218" s="91"/>
      <c r="U218" s="91"/>
      <c r="V218" s="91"/>
      <c r="W218" s="91"/>
      <c r="X218" s="91"/>
      <c r="Y218" s="91"/>
      <c r="Z218" s="91"/>
    </row>
    <row r="219" spans="1:26" ht="15.75" customHeight="1" x14ac:dyDescent="0.25">
      <c r="A219" s="9" t="s">
        <v>2933</v>
      </c>
      <c r="B219" s="189" t="s">
        <v>2934</v>
      </c>
      <c r="C219" s="91" t="s">
        <v>2935</v>
      </c>
      <c r="D219" s="91"/>
      <c r="E219" s="91"/>
      <c r="F219" s="91"/>
      <c r="G219" s="91"/>
      <c r="H219" s="91"/>
      <c r="I219" s="91"/>
      <c r="J219" s="91"/>
      <c r="K219" s="91"/>
      <c r="L219" s="91"/>
      <c r="M219" s="91"/>
      <c r="N219" s="91"/>
      <c r="O219" s="91"/>
      <c r="P219" s="91"/>
      <c r="Q219" s="91"/>
      <c r="R219" s="91"/>
      <c r="S219" s="91"/>
      <c r="T219" s="91"/>
      <c r="U219" s="91"/>
      <c r="V219" s="91"/>
      <c r="W219" s="91"/>
      <c r="X219" s="91"/>
      <c r="Y219" s="91"/>
      <c r="Z219" s="91"/>
    </row>
    <row r="220" spans="1:26" ht="15.75" customHeight="1" x14ac:dyDescent="0.25">
      <c r="A220" s="9" t="s">
        <v>2936</v>
      </c>
      <c r="B220" s="189" t="s">
        <v>2937</v>
      </c>
      <c r="C220" s="91" t="s">
        <v>2938</v>
      </c>
      <c r="D220" s="91"/>
      <c r="E220" s="91"/>
      <c r="F220" s="91"/>
      <c r="G220" s="91"/>
      <c r="H220" s="91"/>
      <c r="I220" s="91"/>
      <c r="J220" s="91"/>
      <c r="K220" s="91"/>
      <c r="L220" s="91"/>
      <c r="M220" s="91"/>
      <c r="N220" s="91"/>
      <c r="O220" s="91"/>
      <c r="P220" s="91"/>
      <c r="Q220" s="91"/>
      <c r="R220" s="91"/>
      <c r="S220" s="91"/>
      <c r="T220" s="91"/>
      <c r="U220" s="91"/>
      <c r="V220" s="91"/>
      <c r="W220" s="91"/>
      <c r="X220" s="91"/>
      <c r="Y220" s="91"/>
      <c r="Z220" s="91"/>
    </row>
    <row r="221" spans="1:26" ht="15.75" customHeight="1" x14ac:dyDescent="0.25">
      <c r="A221" s="9" t="s">
        <v>2939</v>
      </c>
      <c r="B221" s="189" t="s">
        <v>2371</v>
      </c>
      <c r="C221" s="91" t="s">
        <v>2940</v>
      </c>
      <c r="D221" s="91"/>
      <c r="E221" s="91"/>
      <c r="F221" s="91"/>
      <c r="G221" s="91"/>
      <c r="H221" s="91"/>
      <c r="I221" s="91"/>
      <c r="J221" s="91"/>
      <c r="K221" s="91"/>
      <c r="L221" s="91"/>
      <c r="M221" s="91"/>
      <c r="N221" s="91"/>
      <c r="O221" s="91"/>
      <c r="P221" s="91"/>
      <c r="Q221" s="91"/>
      <c r="R221" s="91"/>
      <c r="S221" s="91"/>
      <c r="T221" s="91"/>
      <c r="U221" s="91"/>
      <c r="V221" s="91"/>
      <c r="W221" s="91"/>
      <c r="X221" s="91"/>
      <c r="Y221" s="91"/>
      <c r="Z221" s="91"/>
    </row>
    <row r="222" spans="1:26" ht="15.75" customHeight="1" x14ac:dyDescent="0.25">
      <c r="A222" s="9" t="s">
        <v>2941</v>
      </c>
      <c r="B222" s="189" t="s">
        <v>2942</v>
      </c>
      <c r="C222" s="91" t="s">
        <v>2943</v>
      </c>
      <c r="D222" s="91"/>
      <c r="E222" s="91"/>
      <c r="F222" s="91"/>
      <c r="G222" s="91"/>
      <c r="H222" s="91"/>
      <c r="I222" s="91"/>
      <c r="J222" s="91"/>
      <c r="K222" s="91"/>
      <c r="L222" s="91"/>
      <c r="M222" s="91"/>
      <c r="N222" s="91"/>
      <c r="O222" s="91"/>
      <c r="P222" s="91"/>
      <c r="Q222" s="91"/>
      <c r="R222" s="91"/>
      <c r="S222" s="91"/>
      <c r="T222" s="91"/>
      <c r="U222" s="91"/>
      <c r="V222" s="91"/>
      <c r="W222" s="91"/>
      <c r="X222" s="91"/>
      <c r="Y222" s="91"/>
      <c r="Z222" s="91"/>
    </row>
    <row r="223" spans="1:26" ht="15.75" customHeight="1" x14ac:dyDescent="0.25">
      <c r="A223" s="9" t="s">
        <v>2944</v>
      </c>
      <c r="B223" s="189" t="s">
        <v>2945</v>
      </c>
      <c r="C223" s="91" t="s">
        <v>2946</v>
      </c>
      <c r="D223" s="91"/>
      <c r="E223" s="91"/>
      <c r="F223" s="91"/>
      <c r="G223" s="91"/>
      <c r="H223" s="91"/>
      <c r="I223" s="91"/>
      <c r="J223" s="91"/>
      <c r="K223" s="91"/>
      <c r="L223" s="91"/>
      <c r="M223" s="91"/>
      <c r="N223" s="91"/>
      <c r="O223" s="91"/>
      <c r="P223" s="91"/>
      <c r="Q223" s="91"/>
      <c r="R223" s="91"/>
      <c r="S223" s="91"/>
      <c r="T223" s="91"/>
      <c r="U223" s="91"/>
      <c r="V223" s="91"/>
      <c r="W223" s="91"/>
      <c r="X223" s="91"/>
      <c r="Y223" s="91"/>
      <c r="Z223" s="91"/>
    </row>
    <row r="224" spans="1:26" ht="15.75" customHeight="1" x14ac:dyDescent="0.25">
      <c r="A224" s="9" t="s">
        <v>2947</v>
      </c>
      <c r="B224" s="189" t="s">
        <v>2948</v>
      </c>
      <c r="C224" s="91" t="s">
        <v>2949</v>
      </c>
      <c r="D224" s="91"/>
      <c r="E224" s="91"/>
      <c r="F224" s="91"/>
      <c r="G224" s="91"/>
      <c r="H224" s="91"/>
      <c r="I224" s="91"/>
      <c r="J224" s="91"/>
      <c r="K224" s="91"/>
      <c r="L224" s="91"/>
      <c r="M224" s="91"/>
      <c r="N224" s="91"/>
      <c r="O224" s="91"/>
      <c r="P224" s="91"/>
      <c r="Q224" s="91"/>
      <c r="R224" s="91"/>
      <c r="S224" s="91"/>
      <c r="T224" s="91"/>
      <c r="U224" s="91"/>
      <c r="V224" s="91"/>
      <c r="W224" s="91"/>
      <c r="X224" s="91"/>
      <c r="Y224" s="91"/>
      <c r="Z224" s="91"/>
    </row>
    <row r="225" spans="1:26" ht="15.75" customHeight="1" x14ac:dyDescent="0.25">
      <c r="A225" s="9" t="s">
        <v>2950</v>
      </c>
      <c r="B225" s="189" t="s">
        <v>2951</v>
      </c>
      <c r="C225" s="91" t="s">
        <v>2952</v>
      </c>
      <c r="D225" s="91"/>
      <c r="E225" s="91"/>
      <c r="F225" s="91"/>
      <c r="G225" s="91"/>
      <c r="H225" s="91"/>
      <c r="I225" s="91"/>
      <c r="J225" s="91"/>
      <c r="K225" s="91"/>
      <c r="L225" s="91"/>
      <c r="M225" s="91"/>
      <c r="N225" s="91"/>
      <c r="O225" s="91"/>
      <c r="P225" s="91"/>
      <c r="Q225" s="91"/>
      <c r="R225" s="91"/>
      <c r="S225" s="91"/>
      <c r="T225" s="91"/>
      <c r="U225" s="91"/>
      <c r="V225" s="91"/>
      <c r="W225" s="91"/>
      <c r="X225" s="91"/>
      <c r="Y225" s="91"/>
      <c r="Z225" s="91"/>
    </row>
    <row r="226" spans="1:26" ht="15.75" customHeight="1" x14ac:dyDescent="0.25">
      <c r="A226" s="9" t="s">
        <v>2953</v>
      </c>
      <c r="B226" s="189" t="s">
        <v>2954</v>
      </c>
      <c r="C226" s="91" t="s">
        <v>2955</v>
      </c>
      <c r="D226" s="91"/>
      <c r="E226" s="91"/>
      <c r="F226" s="91"/>
      <c r="G226" s="91"/>
      <c r="H226" s="91"/>
      <c r="I226" s="91"/>
      <c r="J226" s="91"/>
      <c r="K226" s="91"/>
      <c r="L226" s="91"/>
      <c r="M226" s="91"/>
      <c r="N226" s="91"/>
      <c r="O226" s="91"/>
      <c r="P226" s="91"/>
      <c r="Q226" s="91"/>
      <c r="R226" s="91"/>
      <c r="S226" s="91"/>
      <c r="T226" s="91"/>
      <c r="U226" s="91"/>
      <c r="V226" s="91"/>
      <c r="W226" s="91"/>
      <c r="X226" s="91"/>
      <c r="Y226" s="91"/>
      <c r="Z226" s="91"/>
    </row>
    <row r="227" spans="1:26" ht="15.75" customHeight="1" x14ac:dyDescent="0.25">
      <c r="A227" s="9" t="s">
        <v>2956</v>
      </c>
      <c r="B227" s="189" t="s">
        <v>2957</v>
      </c>
      <c r="C227" s="91" t="s">
        <v>2958</v>
      </c>
      <c r="D227" s="91"/>
      <c r="E227" s="91"/>
      <c r="F227" s="91"/>
      <c r="G227" s="91"/>
      <c r="H227" s="91"/>
      <c r="I227" s="91"/>
      <c r="J227" s="91"/>
      <c r="K227" s="91"/>
      <c r="L227" s="91"/>
      <c r="M227" s="91"/>
      <c r="N227" s="91"/>
      <c r="O227" s="91"/>
      <c r="P227" s="91"/>
      <c r="Q227" s="91"/>
      <c r="R227" s="91"/>
      <c r="S227" s="91"/>
      <c r="T227" s="91"/>
      <c r="U227" s="91"/>
      <c r="V227" s="91"/>
      <c r="W227" s="91"/>
      <c r="X227" s="91"/>
      <c r="Y227" s="91"/>
      <c r="Z227" s="91"/>
    </row>
    <row r="228" spans="1:26" ht="15.75" customHeight="1" x14ac:dyDescent="0.25">
      <c r="A228" s="9" t="s">
        <v>2959</v>
      </c>
      <c r="B228" s="189" t="s">
        <v>2960</v>
      </c>
      <c r="C228" s="91" t="s">
        <v>2961</v>
      </c>
      <c r="D228" s="91"/>
      <c r="E228" s="91"/>
      <c r="F228" s="91"/>
      <c r="G228" s="91"/>
      <c r="H228" s="91"/>
      <c r="I228" s="91"/>
      <c r="J228" s="91"/>
      <c r="K228" s="91"/>
      <c r="L228" s="91"/>
      <c r="M228" s="91"/>
      <c r="N228" s="91"/>
      <c r="O228" s="91"/>
      <c r="P228" s="91"/>
      <c r="Q228" s="91"/>
      <c r="R228" s="91"/>
      <c r="S228" s="91"/>
      <c r="T228" s="91"/>
      <c r="U228" s="91"/>
      <c r="V228" s="91"/>
      <c r="W228" s="91"/>
      <c r="X228" s="91"/>
      <c r="Y228" s="91"/>
      <c r="Z228" s="91"/>
    </row>
    <row r="229" spans="1:26" ht="15.75" customHeight="1" x14ac:dyDescent="0.25">
      <c r="A229" s="9" t="s">
        <v>2962</v>
      </c>
      <c r="B229" s="189" t="s">
        <v>2963</v>
      </c>
      <c r="C229" s="91" t="s">
        <v>2964</v>
      </c>
      <c r="D229" s="91"/>
      <c r="E229" s="91"/>
      <c r="F229" s="91"/>
      <c r="G229" s="91"/>
      <c r="H229" s="91"/>
      <c r="I229" s="91"/>
      <c r="J229" s="91"/>
      <c r="K229" s="91"/>
      <c r="L229" s="91"/>
      <c r="M229" s="91"/>
      <c r="N229" s="91"/>
      <c r="O229" s="91"/>
      <c r="P229" s="91"/>
      <c r="Q229" s="91"/>
      <c r="R229" s="91"/>
      <c r="S229" s="91"/>
      <c r="T229" s="91"/>
      <c r="U229" s="91"/>
      <c r="V229" s="91"/>
      <c r="W229" s="91"/>
      <c r="X229" s="91"/>
      <c r="Y229" s="91"/>
      <c r="Z229" s="91"/>
    </row>
    <row r="230" spans="1:26" ht="15.75" customHeight="1" x14ac:dyDescent="0.25">
      <c r="A230" s="9" t="s">
        <v>2965</v>
      </c>
      <c r="B230" s="189" t="s">
        <v>2966</v>
      </c>
      <c r="C230" s="91" t="s">
        <v>2967</v>
      </c>
      <c r="D230" s="91"/>
      <c r="E230" s="91"/>
      <c r="F230" s="91"/>
      <c r="G230" s="91"/>
      <c r="H230" s="91"/>
      <c r="I230" s="91"/>
      <c r="J230" s="91"/>
      <c r="K230" s="91"/>
      <c r="L230" s="91"/>
      <c r="M230" s="91"/>
      <c r="N230" s="91"/>
      <c r="O230" s="91"/>
      <c r="P230" s="91"/>
      <c r="Q230" s="91"/>
      <c r="R230" s="91"/>
      <c r="S230" s="91"/>
      <c r="T230" s="91"/>
      <c r="U230" s="91"/>
      <c r="V230" s="91"/>
      <c r="W230" s="91"/>
      <c r="X230" s="91"/>
      <c r="Y230" s="91"/>
      <c r="Z230" s="91"/>
    </row>
    <row r="231" spans="1:26" ht="15.75" customHeight="1" x14ac:dyDescent="0.25">
      <c r="A231" s="9" t="s">
        <v>2968</v>
      </c>
      <c r="B231" s="189" t="s">
        <v>2969</v>
      </c>
      <c r="C231" s="91" t="s">
        <v>2970</v>
      </c>
      <c r="D231" s="91"/>
      <c r="E231" s="91"/>
      <c r="F231" s="91"/>
      <c r="G231" s="91"/>
      <c r="H231" s="91"/>
      <c r="I231" s="91"/>
      <c r="J231" s="91"/>
      <c r="K231" s="91"/>
      <c r="L231" s="91"/>
      <c r="M231" s="91"/>
      <c r="N231" s="91"/>
      <c r="O231" s="91"/>
      <c r="P231" s="91"/>
      <c r="Q231" s="91"/>
      <c r="R231" s="91"/>
      <c r="S231" s="91"/>
      <c r="T231" s="91"/>
      <c r="U231" s="91"/>
      <c r="V231" s="91"/>
      <c r="W231" s="91"/>
      <c r="X231" s="91"/>
      <c r="Y231" s="91"/>
      <c r="Z231" s="91"/>
    </row>
    <row r="232" spans="1:26" ht="15.75" customHeight="1" x14ac:dyDescent="0.25">
      <c r="A232" s="9" t="s">
        <v>2971</v>
      </c>
      <c r="B232" s="189" t="s">
        <v>2972</v>
      </c>
      <c r="C232" s="91" t="s">
        <v>2510</v>
      </c>
      <c r="D232" s="91"/>
      <c r="E232" s="91"/>
      <c r="F232" s="91"/>
      <c r="G232" s="91"/>
      <c r="H232" s="91"/>
      <c r="I232" s="91"/>
      <c r="J232" s="91"/>
      <c r="K232" s="91"/>
      <c r="L232" s="91"/>
      <c r="M232" s="91"/>
      <c r="N232" s="91"/>
      <c r="O232" s="91"/>
      <c r="P232" s="91"/>
      <c r="Q232" s="91"/>
      <c r="R232" s="91"/>
      <c r="S232" s="91"/>
      <c r="T232" s="91"/>
      <c r="U232" s="91"/>
      <c r="V232" s="91"/>
      <c r="W232" s="91"/>
      <c r="X232" s="91"/>
      <c r="Y232" s="91"/>
      <c r="Z232" s="91"/>
    </row>
    <row r="233" spans="1:26" ht="15.75" customHeight="1" x14ac:dyDescent="0.25">
      <c r="A233" s="9" t="s">
        <v>2973</v>
      </c>
      <c r="B233" s="189" t="s">
        <v>2974</v>
      </c>
      <c r="C233" s="91" t="s">
        <v>2975</v>
      </c>
      <c r="D233" s="91"/>
      <c r="E233" s="91"/>
      <c r="F233" s="91"/>
      <c r="G233" s="91"/>
      <c r="H233" s="91"/>
      <c r="I233" s="91"/>
      <c r="J233" s="91"/>
      <c r="K233" s="91"/>
      <c r="L233" s="91"/>
      <c r="M233" s="91"/>
      <c r="N233" s="91"/>
      <c r="O233" s="91"/>
      <c r="P233" s="91"/>
      <c r="Q233" s="91"/>
      <c r="R233" s="91"/>
      <c r="S233" s="91"/>
      <c r="T233" s="91"/>
      <c r="U233" s="91"/>
      <c r="V233" s="91"/>
      <c r="W233" s="91"/>
      <c r="X233" s="91"/>
      <c r="Y233" s="91"/>
      <c r="Z233" s="91"/>
    </row>
    <row r="234" spans="1:26" ht="15.75" customHeight="1" x14ac:dyDescent="0.25">
      <c r="A234" s="9" t="s">
        <v>2976</v>
      </c>
      <c r="B234" s="189" t="s">
        <v>2394</v>
      </c>
      <c r="C234" s="91" t="s">
        <v>2977</v>
      </c>
      <c r="D234" s="91"/>
      <c r="E234" s="91"/>
      <c r="F234" s="91"/>
      <c r="G234" s="91"/>
      <c r="H234" s="91"/>
      <c r="I234" s="91"/>
      <c r="J234" s="91"/>
      <c r="K234" s="91"/>
      <c r="L234" s="91"/>
      <c r="M234" s="91"/>
      <c r="N234" s="91"/>
      <c r="O234" s="91"/>
      <c r="P234" s="91"/>
      <c r="Q234" s="91"/>
      <c r="R234" s="91"/>
      <c r="S234" s="91"/>
      <c r="T234" s="91"/>
      <c r="U234" s="91"/>
      <c r="V234" s="91"/>
      <c r="W234" s="91"/>
      <c r="X234" s="91"/>
      <c r="Y234" s="91"/>
      <c r="Z234" s="91"/>
    </row>
    <row r="235" spans="1:26" ht="15.75" customHeight="1" x14ac:dyDescent="0.25">
      <c r="A235" s="9" t="s">
        <v>2978</v>
      </c>
      <c r="B235" s="189" t="s">
        <v>2979</v>
      </c>
      <c r="C235" s="91" t="s">
        <v>2980</v>
      </c>
      <c r="D235" s="91"/>
      <c r="E235" s="91"/>
      <c r="F235" s="91"/>
      <c r="G235" s="91"/>
      <c r="H235" s="91"/>
      <c r="I235" s="91"/>
      <c r="J235" s="91"/>
      <c r="K235" s="91"/>
      <c r="L235" s="91"/>
      <c r="M235" s="91"/>
      <c r="N235" s="91"/>
      <c r="O235" s="91"/>
      <c r="P235" s="91"/>
      <c r="Q235" s="91"/>
      <c r="R235" s="91"/>
      <c r="S235" s="91"/>
      <c r="T235" s="91"/>
      <c r="U235" s="91"/>
      <c r="V235" s="91"/>
      <c r="W235" s="91"/>
      <c r="X235" s="91"/>
      <c r="Y235" s="91"/>
      <c r="Z235" s="91"/>
    </row>
    <row r="236" spans="1:26" ht="15.75" customHeight="1" x14ac:dyDescent="0.25">
      <c r="A236" s="9" t="s">
        <v>2981</v>
      </c>
      <c r="B236" s="189" t="s">
        <v>2982</v>
      </c>
      <c r="C236" s="91" t="s">
        <v>2983</v>
      </c>
      <c r="D236" s="91"/>
      <c r="E236" s="91"/>
      <c r="F236" s="91"/>
      <c r="G236" s="91"/>
      <c r="H236" s="91"/>
      <c r="I236" s="91"/>
      <c r="J236" s="91"/>
      <c r="K236" s="91"/>
      <c r="L236" s="91"/>
      <c r="M236" s="91"/>
      <c r="N236" s="91"/>
      <c r="O236" s="91"/>
      <c r="P236" s="91"/>
      <c r="Q236" s="91"/>
      <c r="R236" s="91"/>
      <c r="S236" s="91"/>
      <c r="T236" s="91"/>
      <c r="U236" s="91"/>
      <c r="V236" s="91"/>
      <c r="W236" s="91"/>
      <c r="X236" s="91"/>
      <c r="Y236" s="91"/>
      <c r="Z236" s="91"/>
    </row>
    <row r="237" spans="1:26" ht="15.75" customHeight="1" x14ac:dyDescent="0.25">
      <c r="A237" s="9" t="s">
        <v>2984</v>
      </c>
      <c r="B237" s="189" t="s">
        <v>2985</v>
      </c>
      <c r="C237" s="91" t="s">
        <v>2986</v>
      </c>
      <c r="D237" s="91"/>
      <c r="E237" s="91"/>
      <c r="F237" s="91"/>
      <c r="G237" s="91"/>
      <c r="H237" s="91"/>
      <c r="I237" s="91"/>
      <c r="J237" s="91"/>
      <c r="K237" s="91"/>
      <c r="L237" s="91"/>
      <c r="M237" s="91"/>
      <c r="N237" s="91"/>
      <c r="O237" s="91"/>
      <c r="P237" s="91"/>
      <c r="Q237" s="91"/>
      <c r="R237" s="91"/>
      <c r="S237" s="91"/>
      <c r="T237" s="91"/>
      <c r="U237" s="91"/>
      <c r="V237" s="91"/>
      <c r="W237" s="91"/>
      <c r="X237" s="91"/>
      <c r="Y237" s="91"/>
      <c r="Z237" s="91"/>
    </row>
    <row r="238" spans="1:26" ht="15.75" customHeight="1" x14ac:dyDescent="0.25">
      <c r="A238" s="9" t="s">
        <v>2987</v>
      </c>
      <c r="B238" s="189" t="s">
        <v>2832</v>
      </c>
      <c r="C238" s="91" t="s">
        <v>2833</v>
      </c>
      <c r="D238" s="91"/>
      <c r="E238" s="91"/>
      <c r="F238" s="91"/>
      <c r="G238" s="91"/>
      <c r="H238" s="91"/>
      <c r="I238" s="91"/>
      <c r="J238" s="91"/>
      <c r="K238" s="91"/>
      <c r="L238" s="91"/>
      <c r="M238" s="91"/>
      <c r="N238" s="91"/>
      <c r="O238" s="91"/>
      <c r="P238" s="91"/>
      <c r="Q238" s="91"/>
      <c r="R238" s="91"/>
      <c r="S238" s="91"/>
      <c r="T238" s="91"/>
      <c r="U238" s="91"/>
      <c r="V238" s="91"/>
      <c r="W238" s="91"/>
      <c r="X238" s="91"/>
      <c r="Y238" s="91"/>
      <c r="Z238" s="91"/>
    </row>
    <row r="239" spans="1:26" ht="15.75" customHeight="1" x14ac:dyDescent="0.25">
      <c r="A239" s="9" t="s">
        <v>2988</v>
      </c>
      <c r="B239" s="189" t="s">
        <v>2989</v>
      </c>
      <c r="C239" s="91" t="s">
        <v>2990</v>
      </c>
      <c r="D239" s="91"/>
      <c r="E239" s="91"/>
      <c r="F239" s="91"/>
      <c r="G239" s="91"/>
      <c r="H239" s="91"/>
      <c r="I239" s="91"/>
      <c r="J239" s="91"/>
      <c r="K239" s="91"/>
      <c r="L239" s="91"/>
      <c r="M239" s="91"/>
      <c r="N239" s="91"/>
      <c r="O239" s="91"/>
      <c r="P239" s="91"/>
      <c r="Q239" s="91"/>
      <c r="R239" s="91"/>
      <c r="S239" s="91"/>
      <c r="T239" s="91"/>
      <c r="U239" s="91"/>
      <c r="V239" s="91"/>
      <c r="W239" s="91"/>
      <c r="X239" s="91"/>
      <c r="Y239" s="91"/>
      <c r="Z239" s="91"/>
    </row>
    <row r="240" spans="1:26" ht="15.75" customHeight="1" x14ac:dyDescent="0.25">
      <c r="A240" s="9" t="s">
        <v>2991</v>
      </c>
      <c r="B240" s="189" t="s">
        <v>2992</v>
      </c>
      <c r="C240" s="91" t="s">
        <v>2993</v>
      </c>
      <c r="D240" s="91"/>
      <c r="E240" s="91"/>
      <c r="F240" s="91"/>
      <c r="G240" s="91"/>
      <c r="H240" s="91"/>
      <c r="I240" s="91"/>
      <c r="J240" s="91"/>
      <c r="K240" s="91"/>
      <c r="L240" s="91"/>
      <c r="M240" s="91"/>
      <c r="N240" s="91"/>
      <c r="O240" s="91"/>
      <c r="P240" s="91"/>
      <c r="Q240" s="91"/>
      <c r="R240" s="91"/>
      <c r="S240" s="91"/>
      <c r="T240" s="91"/>
      <c r="U240" s="91"/>
      <c r="V240" s="91"/>
      <c r="W240" s="91"/>
      <c r="X240" s="91"/>
      <c r="Y240" s="91"/>
      <c r="Z240" s="91"/>
    </row>
    <row r="241" spans="1:26" ht="15.75" customHeight="1" x14ac:dyDescent="0.25">
      <c r="A241" s="9" t="s">
        <v>2994</v>
      </c>
      <c r="B241" s="189" t="s">
        <v>2995</v>
      </c>
      <c r="C241" s="91" t="s">
        <v>2996</v>
      </c>
      <c r="D241" s="91"/>
      <c r="E241" s="91"/>
      <c r="F241" s="91"/>
      <c r="G241" s="91"/>
      <c r="H241" s="91"/>
      <c r="I241" s="91"/>
      <c r="J241" s="91"/>
      <c r="K241" s="91"/>
      <c r="L241" s="91"/>
      <c r="M241" s="91"/>
      <c r="N241" s="91"/>
      <c r="O241" s="91"/>
      <c r="P241" s="91"/>
      <c r="Q241" s="91"/>
      <c r="R241" s="91"/>
      <c r="S241" s="91"/>
      <c r="T241" s="91"/>
      <c r="U241" s="91"/>
      <c r="V241" s="91"/>
      <c r="W241" s="91"/>
      <c r="X241" s="91"/>
      <c r="Y241" s="91"/>
      <c r="Z241" s="91"/>
    </row>
    <row r="242" spans="1:26" ht="15.75" customHeight="1" x14ac:dyDescent="0.25">
      <c r="A242" s="9" t="s">
        <v>2997</v>
      </c>
      <c r="B242" s="189" t="s">
        <v>2998</v>
      </c>
      <c r="C242" s="91" t="s">
        <v>2999</v>
      </c>
      <c r="D242" s="91"/>
      <c r="E242" s="91"/>
      <c r="F242" s="91"/>
      <c r="G242" s="91"/>
      <c r="H242" s="91"/>
      <c r="I242" s="91"/>
      <c r="J242" s="91"/>
      <c r="K242" s="91"/>
      <c r="L242" s="91"/>
      <c r="M242" s="91"/>
      <c r="N242" s="91"/>
      <c r="O242" s="91"/>
      <c r="P242" s="91"/>
      <c r="Q242" s="91"/>
      <c r="R242" s="91"/>
      <c r="S242" s="91"/>
      <c r="T242" s="91"/>
      <c r="U242" s="91"/>
      <c r="V242" s="91"/>
      <c r="W242" s="91"/>
      <c r="X242" s="91"/>
      <c r="Y242" s="91"/>
      <c r="Z242" s="91"/>
    </row>
    <row r="243" spans="1:26" ht="15.75" customHeight="1" x14ac:dyDescent="0.25">
      <c r="A243" s="9" t="s">
        <v>3000</v>
      </c>
      <c r="B243" s="189" t="s">
        <v>3001</v>
      </c>
      <c r="C243" s="91" t="s">
        <v>3002</v>
      </c>
      <c r="D243" s="91"/>
      <c r="E243" s="91"/>
      <c r="F243" s="91"/>
      <c r="G243" s="91"/>
      <c r="H243" s="91"/>
      <c r="I243" s="91"/>
      <c r="J243" s="91"/>
      <c r="K243" s="91"/>
      <c r="L243" s="91"/>
      <c r="M243" s="91"/>
      <c r="N243" s="91"/>
      <c r="O243" s="91"/>
      <c r="P243" s="91"/>
      <c r="Q243" s="91"/>
      <c r="R243" s="91"/>
      <c r="S243" s="91"/>
      <c r="T243" s="91"/>
      <c r="U243" s="91"/>
      <c r="V243" s="91"/>
      <c r="W243" s="91"/>
      <c r="X243" s="91"/>
      <c r="Y243" s="91"/>
      <c r="Z243" s="91"/>
    </row>
    <row r="244" spans="1:26" ht="15.75" customHeight="1" x14ac:dyDescent="0.25">
      <c r="A244" s="9" t="s">
        <v>3003</v>
      </c>
      <c r="B244" s="189" t="s">
        <v>3004</v>
      </c>
      <c r="C244" s="91" t="s">
        <v>3005</v>
      </c>
      <c r="D244" s="91"/>
      <c r="E244" s="91"/>
      <c r="F244" s="91"/>
      <c r="G244" s="91"/>
      <c r="H244" s="91"/>
      <c r="I244" s="91"/>
      <c r="J244" s="91"/>
      <c r="K244" s="91"/>
      <c r="L244" s="91"/>
      <c r="M244" s="91"/>
      <c r="N244" s="91"/>
      <c r="O244" s="91"/>
      <c r="P244" s="91"/>
      <c r="Q244" s="91"/>
      <c r="R244" s="91"/>
      <c r="S244" s="91"/>
      <c r="T244" s="91"/>
      <c r="U244" s="91"/>
      <c r="V244" s="91"/>
      <c r="W244" s="91"/>
      <c r="X244" s="91"/>
      <c r="Y244" s="91"/>
      <c r="Z244" s="91"/>
    </row>
    <row r="245" spans="1:26" ht="15.75" customHeight="1" x14ac:dyDescent="0.25">
      <c r="A245" s="9" t="s">
        <v>3006</v>
      </c>
      <c r="B245" s="189" t="s">
        <v>3007</v>
      </c>
      <c r="C245" s="91" t="s">
        <v>3008</v>
      </c>
      <c r="D245" s="91"/>
      <c r="E245" s="91"/>
      <c r="F245" s="91"/>
      <c r="G245" s="91"/>
      <c r="H245" s="91"/>
      <c r="I245" s="91"/>
      <c r="J245" s="91"/>
      <c r="K245" s="91"/>
      <c r="L245" s="91"/>
      <c r="M245" s="91"/>
      <c r="N245" s="91"/>
      <c r="O245" s="91"/>
      <c r="P245" s="91"/>
      <c r="Q245" s="91"/>
      <c r="R245" s="91"/>
      <c r="S245" s="91"/>
      <c r="T245" s="91"/>
      <c r="U245" s="91"/>
      <c r="V245" s="91"/>
      <c r="W245" s="91"/>
      <c r="X245" s="91"/>
      <c r="Y245" s="91"/>
      <c r="Z245" s="91"/>
    </row>
    <row r="246" spans="1:26" ht="15.75" customHeight="1" x14ac:dyDescent="0.25">
      <c r="A246" s="9" t="s">
        <v>3009</v>
      </c>
      <c r="B246" s="189" t="s">
        <v>3010</v>
      </c>
      <c r="C246" s="91" t="s">
        <v>3011</v>
      </c>
      <c r="D246" s="91"/>
      <c r="E246" s="91"/>
      <c r="F246" s="91"/>
      <c r="G246" s="91"/>
      <c r="H246" s="91"/>
      <c r="I246" s="91"/>
      <c r="J246" s="91"/>
      <c r="K246" s="91"/>
      <c r="L246" s="91"/>
      <c r="M246" s="91"/>
      <c r="N246" s="91"/>
      <c r="O246" s="91"/>
      <c r="P246" s="91"/>
      <c r="Q246" s="91"/>
      <c r="R246" s="91"/>
      <c r="S246" s="91"/>
      <c r="T246" s="91"/>
      <c r="U246" s="91"/>
      <c r="V246" s="91"/>
      <c r="W246" s="91"/>
      <c r="X246" s="91"/>
      <c r="Y246" s="91"/>
      <c r="Z246" s="91"/>
    </row>
    <row r="247" spans="1:26" ht="15.75" customHeight="1" x14ac:dyDescent="0.25">
      <c r="A247" s="9" t="s">
        <v>3012</v>
      </c>
      <c r="B247" s="189" t="s">
        <v>3013</v>
      </c>
      <c r="C247" s="91" t="s">
        <v>3014</v>
      </c>
      <c r="D247" s="91"/>
      <c r="E247" s="91"/>
      <c r="F247" s="91"/>
      <c r="G247" s="91"/>
      <c r="H247" s="91"/>
      <c r="I247" s="91"/>
      <c r="J247" s="91"/>
      <c r="K247" s="91"/>
      <c r="L247" s="91"/>
      <c r="M247" s="91"/>
      <c r="N247" s="91"/>
      <c r="O247" s="91"/>
      <c r="P247" s="91"/>
      <c r="Q247" s="91"/>
      <c r="R247" s="91"/>
      <c r="S247" s="91"/>
      <c r="T247" s="91"/>
      <c r="U247" s="91"/>
      <c r="V247" s="91"/>
      <c r="W247" s="91"/>
      <c r="X247" s="91"/>
      <c r="Y247" s="91"/>
      <c r="Z247" s="91"/>
    </row>
    <row r="248" spans="1:26" ht="15.75" customHeight="1" x14ac:dyDescent="0.25">
      <c r="A248" s="9" t="s">
        <v>3015</v>
      </c>
      <c r="B248" s="189" t="s">
        <v>3016</v>
      </c>
      <c r="C248" s="91" t="s">
        <v>3017</v>
      </c>
      <c r="D248" s="91"/>
      <c r="E248" s="91"/>
      <c r="F248" s="91"/>
      <c r="G248" s="91"/>
      <c r="H248" s="91"/>
      <c r="I248" s="91"/>
      <c r="J248" s="91"/>
      <c r="K248" s="91"/>
      <c r="L248" s="91"/>
      <c r="M248" s="91"/>
      <c r="N248" s="91"/>
      <c r="O248" s="91"/>
      <c r="P248" s="91"/>
      <c r="Q248" s="91"/>
      <c r="R248" s="91"/>
      <c r="S248" s="91"/>
      <c r="T248" s="91"/>
      <c r="U248" s="91"/>
      <c r="V248" s="91"/>
      <c r="W248" s="91"/>
      <c r="X248" s="91"/>
      <c r="Y248" s="91"/>
      <c r="Z248" s="91"/>
    </row>
    <row r="249" spans="1:26" ht="15.75" customHeight="1" x14ac:dyDescent="0.25">
      <c r="A249" s="9" t="s">
        <v>3018</v>
      </c>
      <c r="B249" s="189" t="s">
        <v>3019</v>
      </c>
      <c r="C249" s="91" t="s">
        <v>3020</v>
      </c>
      <c r="D249" s="91"/>
      <c r="E249" s="91"/>
      <c r="F249" s="91"/>
      <c r="G249" s="91"/>
      <c r="H249" s="91"/>
      <c r="I249" s="91"/>
      <c r="J249" s="91"/>
      <c r="K249" s="91"/>
      <c r="L249" s="91"/>
      <c r="M249" s="91"/>
      <c r="N249" s="91"/>
      <c r="O249" s="91"/>
      <c r="P249" s="91"/>
      <c r="Q249" s="91"/>
      <c r="R249" s="91"/>
      <c r="S249" s="91"/>
      <c r="T249" s="91"/>
      <c r="U249" s="91"/>
      <c r="V249" s="91"/>
      <c r="W249" s="91"/>
      <c r="X249" s="91"/>
      <c r="Y249" s="91"/>
      <c r="Z249" s="91"/>
    </row>
    <row r="250" spans="1:26" ht="15.75" customHeight="1" x14ac:dyDescent="0.25">
      <c r="A250" s="9" t="s">
        <v>3021</v>
      </c>
      <c r="B250" s="189" t="s">
        <v>3022</v>
      </c>
      <c r="C250" s="91" t="s">
        <v>3023</v>
      </c>
      <c r="D250" s="91"/>
      <c r="E250" s="91"/>
      <c r="F250" s="91"/>
      <c r="G250" s="91"/>
      <c r="H250" s="91"/>
      <c r="I250" s="91"/>
      <c r="J250" s="91"/>
      <c r="K250" s="91"/>
      <c r="L250" s="91"/>
      <c r="M250" s="91"/>
      <c r="N250" s="91"/>
      <c r="O250" s="91"/>
      <c r="P250" s="91"/>
      <c r="Q250" s="91"/>
      <c r="R250" s="91"/>
      <c r="S250" s="91"/>
      <c r="T250" s="91"/>
      <c r="U250" s="91"/>
      <c r="V250" s="91"/>
      <c r="W250" s="91"/>
      <c r="X250" s="91"/>
      <c r="Y250" s="91"/>
      <c r="Z250" s="91"/>
    </row>
    <row r="251" spans="1:26" ht="15.75" customHeight="1" x14ac:dyDescent="0.25">
      <c r="A251" s="9" t="s">
        <v>3024</v>
      </c>
      <c r="B251" s="189" t="s">
        <v>3025</v>
      </c>
      <c r="C251" s="91" t="s">
        <v>3026</v>
      </c>
      <c r="D251" s="91"/>
      <c r="E251" s="91"/>
      <c r="F251" s="91"/>
      <c r="G251" s="91"/>
      <c r="H251" s="91"/>
      <c r="I251" s="91"/>
      <c r="J251" s="91"/>
      <c r="K251" s="91"/>
      <c r="L251" s="91"/>
      <c r="M251" s="91"/>
      <c r="N251" s="91"/>
      <c r="O251" s="91"/>
      <c r="P251" s="91"/>
      <c r="Q251" s="91"/>
      <c r="R251" s="91"/>
      <c r="S251" s="91"/>
      <c r="T251" s="91"/>
      <c r="U251" s="91"/>
      <c r="V251" s="91"/>
      <c r="W251" s="91"/>
      <c r="X251" s="91"/>
      <c r="Y251" s="91"/>
      <c r="Z251" s="91"/>
    </row>
    <row r="252" spans="1:26" ht="15.75" customHeight="1" x14ac:dyDescent="0.25">
      <c r="A252" s="9" t="s">
        <v>3027</v>
      </c>
      <c r="B252" s="189" t="s">
        <v>3028</v>
      </c>
      <c r="C252" s="91" t="s">
        <v>3029</v>
      </c>
      <c r="D252" s="91"/>
      <c r="E252" s="91"/>
      <c r="F252" s="91"/>
      <c r="G252" s="91"/>
      <c r="H252" s="91"/>
      <c r="I252" s="91"/>
      <c r="J252" s="91"/>
      <c r="K252" s="91"/>
      <c r="L252" s="91"/>
      <c r="M252" s="91"/>
      <c r="N252" s="91"/>
      <c r="O252" s="91"/>
      <c r="P252" s="91"/>
      <c r="Q252" s="91"/>
      <c r="R252" s="91"/>
      <c r="S252" s="91"/>
      <c r="T252" s="91"/>
      <c r="U252" s="91"/>
      <c r="V252" s="91"/>
      <c r="W252" s="91"/>
      <c r="X252" s="91"/>
      <c r="Y252" s="91"/>
      <c r="Z252" s="91"/>
    </row>
    <row r="253" spans="1:26" ht="15.75" customHeight="1" x14ac:dyDescent="0.25">
      <c r="A253" s="9" t="s">
        <v>3030</v>
      </c>
      <c r="B253" s="189" t="s">
        <v>3031</v>
      </c>
      <c r="C253" s="91"/>
      <c r="D253" s="91"/>
      <c r="E253" s="91"/>
      <c r="F253" s="91"/>
      <c r="G253" s="91"/>
      <c r="H253" s="91"/>
      <c r="I253" s="91"/>
      <c r="J253" s="91"/>
      <c r="K253" s="91"/>
      <c r="L253" s="91"/>
      <c r="M253" s="91"/>
      <c r="N253" s="91"/>
      <c r="O253" s="91"/>
      <c r="P253" s="91"/>
      <c r="Q253" s="91"/>
      <c r="R253" s="91"/>
      <c r="S253" s="91"/>
      <c r="T253" s="91"/>
      <c r="U253" s="91"/>
      <c r="V253" s="91"/>
      <c r="W253" s="91"/>
      <c r="X253" s="91"/>
      <c r="Y253" s="91"/>
      <c r="Z253" s="91"/>
    </row>
    <row r="254" spans="1:26" ht="15.75" customHeight="1" x14ac:dyDescent="0.25">
      <c r="A254" s="9" t="s">
        <v>3032</v>
      </c>
      <c r="B254" s="189" t="s">
        <v>3033</v>
      </c>
      <c r="C254" s="91"/>
      <c r="D254" s="91"/>
      <c r="E254" s="91"/>
      <c r="F254" s="91"/>
      <c r="G254" s="91"/>
      <c r="H254" s="91"/>
      <c r="I254" s="91"/>
      <c r="J254" s="91"/>
      <c r="K254" s="91"/>
      <c r="L254" s="91"/>
      <c r="M254" s="91"/>
      <c r="N254" s="91"/>
      <c r="O254" s="91"/>
      <c r="P254" s="91"/>
      <c r="Q254" s="91"/>
      <c r="R254" s="91"/>
      <c r="S254" s="91"/>
      <c r="T254" s="91"/>
      <c r="U254" s="91"/>
      <c r="V254" s="91"/>
      <c r="W254" s="91"/>
      <c r="X254" s="91"/>
      <c r="Y254" s="91"/>
      <c r="Z254" s="91"/>
    </row>
    <row r="255" spans="1:26" ht="15.75" customHeight="1" x14ac:dyDescent="0.25">
      <c r="A255" s="9" t="s">
        <v>3034</v>
      </c>
      <c r="B255" s="189" t="s">
        <v>3035</v>
      </c>
      <c r="C255" s="91" t="s">
        <v>3036</v>
      </c>
      <c r="D255" s="91"/>
      <c r="E255" s="91"/>
      <c r="F255" s="91"/>
      <c r="G255" s="91"/>
      <c r="H255" s="91"/>
      <c r="I255" s="91"/>
      <c r="J255" s="91"/>
      <c r="K255" s="91"/>
      <c r="L255" s="91"/>
      <c r="M255" s="91"/>
      <c r="N255" s="91"/>
      <c r="O255" s="91"/>
      <c r="P255" s="91"/>
      <c r="Q255" s="91"/>
      <c r="R255" s="91"/>
      <c r="S255" s="91"/>
      <c r="T255" s="91"/>
      <c r="U255" s="91"/>
      <c r="V255" s="91"/>
      <c r="W255" s="91"/>
      <c r="X255" s="91"/>
      <c r="Y255" s="91"/>
      <c r="Z255" s="91"/>
    </row>
    <row r="256" spans="1:26" ht="15.75" customHeight="1" x14ac:dyDescent="0.25">
      <c r="A256" s="9" t="s">
        <v>3037</v>
      </c>
      <c r="B256" s="189" t="s">
        <v>3038</v>
      </c>
      <c r="C256" s="91" t="s">
        <v>3039</v>
      </c>
      <c r="D256" s="91"/>
      <c r="E256" s="91"/>
      <c r="F256" s="91"/>
      <c r="G256" s="91"/>
      <c r="H256" s="91"/>
      <c r="I256" s="91"/>
      <c r="J256" s="91"/>
      <c r="K256" s="91"/>
      <c r="L256" s="91"/>
      <c r="M256" s="91"/>
      <c r="N256" s="91"/>
      <c r="O256" s="91"/>
      <c r="P256" s="91"/>
      <c r="Q256" s="91"/>
      <c r="R256" s="91"/>
      <c r="S256" s="91"/>
      <c r="T256" s="91"/>
      <c r="U256" s="91"/>
      <c r="V256" s="91"/>
      <c r="W256" s="91"/>
      <c r="X256" s="91"/>
      <c r="Y256" s="91"/>
      <c r="Z256" s="91"/>
    </row>
    <row r="257" spans="1:26" ht="15.75" customHeight="1" x14ac:dyDescent="0.25">
      <c r="A257" s="9" t="s">
        <v>3040</v>
      </c>
      <c r="B257" s="189" t="s">
        <v>3041</v>
      </c>
      <c r="C257" s="91" t="s">
        <v>3042</v>
      </c>
      <c r="D257" s="91"/>
      <c r="E257" s="91"/>
      <c r="F257" s="91"/>
      <c r="G257" s="91"/>
      <c r="H257" s="91"/>
      <c r="I257" s="91"/>
      <c r="J257" s="91"/>
      <c r="K257" s="91"/>
      <c r="L257" s="91"/>
      <c r="M257" s="91"/>
      <c r="N257" s="91"/>
      <c r="O257" s="91"/>
      <c r="P257" s="91"/>
      <c r="Q257" s="91"/>
      <c r="R257" s="91"/>
      <c r="S257" s="91"/>
      <c r="T257" s="91"/>
      <c r="U257" s="91"/>
      <c r="V257" s="91"/>
      <c r="W257" s="91"/>
      <c r="X257" s="91"/>
      <c r="Y257" s="91"/>
      <c r="Z257" s="91"/>
    </row>
    <row r="258" spans="1:26" ht="15.75" customHeight="1" x14ac:dyDescent="0.25">
      <c r="A258" s="9" t="s">
        <v>3043</v>
      </c>
      <c r="B258" s="189" t="s">
        <v>3044</v>
      </c>
      <c r="C258" s="91" t="s">
        <v>3045</v>
      </c>
      <c r="D258" s="91"/>
      <c r="E258" s="91"/>
      <c r="F258" s="91"/>
      <c r="G258" s="91"/>
      <c r="H258" s="91"/>
      <c r="I258" s="91"/>
      <c r="J258" s="91"/>
      <c r="K258" s="91"/>
      <c r="L258" s="91"/>
      <c r="M258" s="91"/>
      <c r="N258" s="91"/>
      <c r="O258" s="91"/>
      <c r="P258" s="91"/>
      <c r="Q258" s="91"/>
      <c r="R258" s="91"/>
      <c r="S258" s="91"/>
      <c r="T258" s="91"/>
      <c r="U258" s="91"/>
      <c r="V258" s="91"/>
      <c r="W258" s="91"/>
      <c r="X258" s="91"/>
      <c r="Y258" s="91"/>
      <c r="Z258" s="91"/>
    </row>
    <row r="259" spans="1:26" ht="15.75" customHeight="1" x14ac:dyDescent="0.25">
      <c r="A259" s="9" t="s">
        <v>3046</v>
      </c>
      <c r="B259" s="189" t="s">
        <v>3047</v>
      </c>
      <c r="C259" s="91"/>
      <c r="D259" s="91"/>
      <c r="E259" s="91"/>
      <c r="F259" s="91"/>
      <c r="G259" s="91"/>
      <c r="H259" s="91"/>
      <c r="I259" s="91"/>
      <c r="J259" s="91"/>
      <c r="K259" s="91"/>
      <c r="L259" s="91"/>
      <c r="M259" s="91"/>
      <c r="N259" s="91"/>
      <c r="O259" s="91"/>
      <c r="P259" s="91"/>
      <c r="Q259" s="91"/>
      <c r="R259" s="91"/>
      <c r="S259" s="91"/>
      <c r="T259" s="91"/>
      <c r="U259" s="91"/>
      <c r="V259" s="91"/>
      <c r="W259" s="91"/>
      <c r="X259" s="91"/>
      <c r="Y259" s="91"/>
      <c r="Z259" s="91"/>
    </row>
    <row r="260" spans="1:26" ht="15.75" customHeight="1" x14ac:dyDescent="0.25">
      <c r="A260" s="9" t="s">
        <v>3048</v>
      </c>
      <c r="B260" s="189" t="s">
        <v>3049</v>
      </c>
      <c r="C260" s="91" t="s">
        <v>3050</v>
      </c>
      <c r="D260" s="91"/>
      <c r="E260" s="91"/>
      <c r="F260" s="91"/>
      <c r="G260" s="91"/>
      <c r="H260" s="91"/>
      <c r="I260" s="91"/>
      <c r="J260" s="91"/>
      <c r="K260" s="91"/>
      <c r="L260" s="91"/>
      <c r="M260" s="91"/>
      <c r="N260" s="91"/>
      <c r="O260" s="91"/>
      <c r="P260" s="91"/>
      <c r="Q260" s="91"/>
      <c r="R260" s="91"/>
      <c r="S260" s="91"/>
      <c r="T260" s="91"/>
      <c r="U260" s="91"/>
      <c r="V260" s="91"/>
      <c r="W260" s="91"/>
      <c r="X260" s="91"/>
      <c r="Y260" s="91"/>
      <c r="Z260" s="91"/>
    </row>
    <row r="261" spans="1:26" ht="15.75" customHeight="1" x14ac:dyDescent="0.25">
      <c r="A261" s="9" t="s">
        <v>3051</v>
      </c>
      <c r="B261" s="189" t="s">
        <v>3052</v>
      </c>
      <c r="C261" s="91" t="s">
        <v>3053</v>
      </c>
      <c r="D261" s="91"/>
      <c r="E261" s="91"/>
      <c r="F261" s="91"/>
      <c r="G261" s="91"/>
      <c r="H261" s="91"/>
      <c r="I261" s="91"/>
      <c r="J261" s="91"/>
      <c r="K261" s="91"/>
      <c r="L261" s="91"/>
      <c r="M261" s="91"/>
      <c r="N261" s="91"/>
      <c r="O261" s="91"/>
      <c r="P261" s="91"/>
      <c r="Q261" s="91"/>
      <c r="R261" s="91"/>
      <c r="S261" s="91"/>
      <c r="T261" s="91"/>
      <c r="U261" s="91"/>
      <c r="V261" s="91"/>
      <c r="W261" s="91"/>
      <c r="X261" s="91"/>
      <c r="Y261" s="91"/>
      <c r="Z261" s="91"/>
    </row>
    <row r="262" spans="1:26" ht="15.75" customHeight="1" x14ac:dyDescent="0.25">
      <c r="A262" s="9" t="s">
        <v>3054</v>
      </c>
      <c r="B262" s="189" t="s">
        <v>3055</v>
      </c>
      <c r="C262" s="91"/>
      <c r="D262" s="91"/>
      <c r="E262" s="91"/>
      <c r="F262" s="91"/>
      <c r="G262" s="91"/>
      <c r="H262" s="91"/>
      <c r="I262" s="91"/>
      <c r="J262" s="91"/>
      <c r="K262" s="91"/>
      <c r="L262" s="91"/>
      <c r="M262" s="91"/>
      <c r="N262" s="91"/>
      <c r="O262" s="91"/>
      <c r="P262" s="91"/>
      <c r="Q262" s="91"/>
      <c r="R262" s="91"/>
      <c r="S262" s="91"/>
      <c r="T262" s="91"/>
      <c r="U262" s="91"/>
      <c r="V262" s="91"/>
      <c r="W262" s="91"/>
      <c r="X262" s="91"/>
      <c r="Y262" s="91"/>
      <c r="Z262" s="91"/>
    </row>
    <row r="263" spans="1:26" ht="15.75" customHeight="1" x14ac:dyDescent="0.25">
      <c r="A263" s="9" t="s">
        <v>3056</v>
      </c>
      <c r="B263" s="189" t="s">
        <v>3057</v>
      </c>
      <c r="C263" s="91" t="s">
        <v>3058</v>
      </c>
      <c r="D263" s="91"/>
      <c r="E263" s="91"/>
      <c r="F263" s="91"/>
      <c r="G263" s="91"/>
      <c r="H263" s="91"/>
      <c r="I263" s="91"/>
      <c r="J263" s="91"/>
      <c r="K263" s="91"/>
      <c r="L263" s="91"/>
      <c r="M263" s="91"/>
      <c r="N263" s="91"/>
      <c r="O263" s="91"/>
      <c r="P263" s="91"/>
      <c r="Q263" s="91"/>
      <c r="R263" s="91"/>
      <c r="S263" s="91"/>
      <c r="T263" s="91"/>
      <c r="U263" s="91"/>
      <c r="V263" s="91"/>
      <c r="W263" s="91"/>
      <c r="X263" s="91"/>
      <c r="Y263" s="91"/>
      <c r="Z263" s="91"/>
    </row>
    <row r="264" spans="1:26" ht="15.75" customHeight="1" x14ac:dyDescent="0.25">
      <c r="A264" s="9" t="s">
        <v>3059</v>
      </c>
      <c r="B264" s="189" t="s">
        <v>3060</v>
      </c>
      <c r="C264" s="91" t="s">
        <v>2558</v>
      </c>
      <c r="D264" s="91"/>
      <c r="E264" s="91"/>
      <c r="F264" s="91"/>
      <c r="G264" s="91"/>
      <c r="H264" s="91"/>
      <c r="I264" s="91"/>
      <c r="J264" s="91"/>
      <c r="K264" s="91"/>
      <c r="L264" s="91"/>
      <c r="M264" s="91"/>
      <c r="N264" s="91"/>
      <c r="O264" s="91"/>
      <c r="P264" s="91"/>
      <c r="Q264" s="91"/>
      <c r="R264" s="91"/>
      <c r="S264" s="91"/>
      <c r="T264" s="91"/>
      <c r="U264" s="91"/>
      <c r="V264" s="91"/>
      <c r="W264" s="91"/>
      <c r="X264" s="91"/>
      <c r="Y264" s="91"/>
      <c r="Z264" s="91"/>
    </row>
    <row r="265" spans="1:26" ht="15.75" customHeight="1" x14ac:dyDescent="0.25">
      <c r="A265" s="9" t="s">
        <v>3061</v>
      </c>
      <c r="B265" s="189" t="s">
        <v>3062</v>
      </c>
      <c r="C265" s="91" t="s">
        <v>3063</v>
      </c>
      <c r="D265" s="91"/>
      <c r="E265" s="91"/>
      <c r="F265" s="91"/>
      <c r="G265" s="91"/>
      <c r="H265" s="91"/>
      <c r="I265" s="91"/>
      <c r="J265" s="91"/>
      <c r="K265" s="91"/>
      <c r="L265" s="91"/>
      <c r="M265" s="91"/>
      <c r="N265" s="91"/>
      <c r="O265" s="91"/>
      <c r="P265" s="91"/>
      <c r="Q265" s="91"/>
      <c r="R265" s="91"/>
      <c r="S265" s="91"/>
      <c r="T265" s="91"/>
      <c r="U265" s="91"/>
      <c r="V265" s="91"/>
      <c r="W265" s="91"/>
      <c r="X265" s="91"/>
      <c r="Y265" s="91"/>
      <c r="Z265" s="91"/>
    </row>
    <row r="266" spans="1:26" ht="15.75" customHeight="1" x14ac:dyDescent="0.25">
      <c r="A266" s="9" t="s">
        <v>3064</v>
      </c>
      <c r="B266" s="189" t="s">
        <v>3065</v>
      </c>
      <c r="C266" s="91" t="s">
        <v>3066</v>
      </c>
      <c r="D266" s="91"/>
      <c r="E266" s="91"/>
      <c r="F266" s="91"/>
      <c r="G266" s="91"/>
      <c r="H266" s="91"/>
      <c r="I266" s="91"/>
      <c r="J266" s="91"/>
      <c r="K266" s="91"/>
      <c r="L266" s="91"/>
      <c r="M266" s="91"/>
      <c r="N266" s="91"/>
      <c r="O266" s="91"/>
      <c r="P266" s="91"/>
      <c r="Q266" s="91"/>
      <c r="R266" s="91"/>
      <c r="S266" s="91"/>
      <c r="T266" s="91"/>
      <c r="U266" s="91"/>
      <c r="V266" s="91"/>
      <c r="W266" s="91"/>
      <c r="X266" s="91"/>
      <c r="Y266" s="91"/>
      <c r="Z266" s="91"/>
    </row>
    <row r="267" spans="1:26" ht="15.75" customHeight="1" x14ac:dyDescent="0.25">
      <c r="A267" s="9" t="s">
        <v>3067</v>
      </c>
      <c r="B267" s="189" t="s">
        <v>3068</v>
      </c>
      <c r="C267" s="91"/>
      <c r="D267" s="91"/>
      <c r="E267" s="91"/>
      <c r="F267" s="91"/>
      <c r="G267" s="91"/>
      <c r="H267" s="91"/>
      <c r="I267" s="91"/>
      <c r="J267" s="91"/>
      <c r="K267" s="91"/>
      <c r="L267" s="91"/>
      <c r="M267" s="91"/>
      <c r="N267" s="91"/>
      <c r="O267" s="91"/>
      <c r="P267" s="91"/>
      <c r="Q267" s="91"/>
      <c r="R267" s="91"/>
      <c r="S267" s="91"/>
      <c r="T267" s="91"/>
      <c r="U267" s="91"/>
      <c r="V267" s="91"/>
      <c r="W267" s="91"/>
      <c r="X267" s="91"/>
      <c r="Y267" s="91"/>
      <c r="Z267" s="91"/>
    </row>
    <row r="268" spans="1:26" ht="15.75" customHeight="1" x14ac:dyDescent="0.25">
      <c r="A268" s="9" t="s">
        <v>3069</v>
      </c>
      <c r="B268" s="189" t="s">
        <v>3070</v>
      </c>
      <c r="C268" s="91"/>
      <c r="D268" s="91"/>
      <c r="E268" s="91"/>
      <c r="F268" s="91"/>
      <c r="G268" s="91"/>
      <c r="H268" s="91"/>
      <c r="I268" s="91"/>
      <c r="J268" s="91"/>
      <c r="K268" s="91"/>
      <c r="L268" s="91"/>
      <c r="M268" s="91"/>
      <c r="N268" s="91"/>
      <c r="O268" s="91"/>
      <c r="P268" s="91"/>
      <c r="Q268" s="91"/>
      <c r="R268" s="91"/>
      <c r="S268" s="91"/>
      <c r="T268" s="91"/>
      <c r="U268" s="91"/>
      <c r="V268" s="91"/>
      <c r="W268" s="91"/>
      <c r="X268" s="91"/>
      <c r="Y268" s="91"/>
      <c r="Z268" s="91"/>
    </row>
    <row r="269" spans="1:26" ht="15.75" customHeight="1" x14ac:dyDescent="0.25">
      <c r="A269" s="9" t="s">
        <v>3071</v>
      </c>
      <c r="B269" s="189" t="s">
        <v>3072</v>
      </c>
      <c r="C269" s="91"/>
      <c r="D269" s="91"/>
      <c r="E269" s="91"/>
      <c r="F269" s="91"/>
      <c r="G269" s="91"/>
      <c r="H269" s="91"/>
      <c r="I269" s="91"/>
      <c r="J269" s="91"/>
      <c r="K269" s="91"/>
      <c r="L269" s="91"/>
      <c r="M269" s="91"/>
      <c r="N269" s="91"/>
      <c r="O269" s="91"/>
      <c r="P269" s="91"/>
      <c r="Q269" s="91"/>
      <c r="R269" s="91"/>
      <c r="S269" s="91"/>
      <c r="T269" s="91"/>
      <c r="U269" s="91"/>
      <c r="V269" s="91"/>
      <c r="W269" s="91"/>
      <c r="X269" s="91"/>
      <c r="Y269" s="91"/>
      <c r="Z269" s="91"/>
    </row>
    <row r="270" spans="1:26" ht="15.75" customHeight="1" x14ac:dyDescent="0.25">
      <c r="A270" s="9" t="s">
        <v>3073</v>
      </c>
      <c r="B270" s="189" t="s">
        <v>3074</v>
      </c>
      <c r="C270" s="91" t="s">
        <v>2728</v>
      </c>
      <c r="D270" s="91"/>
      <c r="E270" s="91"/>
      <c r="F270" s="91"/>
      <c r="G270" s="91"/>
      <c r="H270" s="91"/>
      <c r="I270" s="91"/>
      <c r="J270" s="91"/>
      <c r="K270" s="91"/>
      <c r="L270" s="91"/>
      <c r="M270" s="91"/>
      <c r="N270" s="91"/>
      <c r="O270" s="91"/>
      <c r="P270" s="91"/>
      <c r="Q270" s="91"/>
      <c r="R270" s="91"/>
      <c r="S270" s="91"/>
      <c r="T270" s="91"/>
      <c r="U270" s="91"/>
      <c r="V270" s="91"/>
      <c r="W270" s="91"/>
      <c r="X270" s="91"/>
      <c r="Y270" s="91"/>
      <c r="Z270" s="91"/>
    </row>
    <row r="271" spans="1:26" ht="15.75" customHeight="1" x14ac:dyDescent="0.25">
      <c r="A271" s="9" t="s">
        <v>3075</v>
      </c>
      <c r="B271" s="189" t="s">
        <v>3076</v>
      </c>
      <c r="C271" s="91"/>
      <c r="D271" s="91"/>
      <c r="E271" s="91"/>
      <c r="F271" s="91"/>
      <c r="G271" s="91"/>
      <c r="H271" s="91"/>
      <c r="I271" s="91"/>
      <c r="J271" s="91"/>
      <c r="K271" s="91"/>
      <c r="L271" s="91"/>
      <c r="M271" s="91"/>
      <c r="N271" s="91"/>
      <c r="O271" s="91"/>
      <c r="P271" s="91"/>
      <c r="Q271" s="91"/>
      <c r="R271" s="91"/>
      <c r="S271" s="91"/>
      <c r="T271" s="91"/>
      <c r="U271" s="91"/>
      <c r="V271" s="91"/>
      <c r="W271" s="91"/>
      <c r="X271" s="91"/>
      <c r="Y271" s="91"/>
      <c r="Z271" s="91"/>
    </row>
    <row r="272" spans="1:26" ht="15.75" customHeight="1" x14ac:dyDescent="0.25">
      <c r="A272" s="9" t="s">
        <v>3077</v>
      </c>
      <c r="B272" s="189" t="s">
        <v>3078</v>
      </c>
      <c r="C272" s="91" t="s">
        <v>3079</v>
      </c>
      <c r="D272" s="91"/>
      <c r="E272" s="91"/>
      <c r="F272" s="91"/>
      <c r="G272" s="91"/>
      <c r="H272" s="91"/>
      <c r="I272" s="91"/>
      <c r="J272" s="91"/>
      <c r="K272" s="91"/>
      <c r="L272" s="91"/>
      <c r="M272" s="91"/>
      <c r="N272" s="91"/>
      <c r="O272" s="91"/>
      <c r="P272" s="91"/>
      <c r="Q272" s="91"/>
      <c r="R272" s="91"/>
      <c r="S272" s="91"/>
      <c r="T272" s="91"/>
      <c r="U272" s="91"/>
      <c r="V272" s="91"/>
      <c r="W272" s="91"/>
      <c r="X272" s="91"/>
      <c r="Y272" s="91"/>
      <c r="Z272" s="91"/>
    </row>
    <row r="273" spans="1:26" ht="15.75" customHeight="1" x14ac:dyDescent="0.25">
      <c r="A273" s="9" t="s">
        <v>3080</v>
      </c>
      <c r="B273" s="189" t="s">
        <v>3081</v>
      </c>
      <c r="C273" s="91" t="s">
        <v>3082</v>
      </c>
      <c r="D273" s="91"/>
      <c r="E273" s="91"/>
      <c r="F273" s="91"/>
      <c r="G273" s="91"/>
      <c r="H273" s="91"/>
      <c r="I273" s="91"/>
      <c r="J273" s="91"/>
      <c r="K273" s="91"/>
      <c r="L273" s="91"/>
      <c r="M273" s="91"/>
      <c r="N273" s="91"/>
      <c r="O273" s="91"/>
      <c r="P273" s="91"/>
      <c r="Q273" s="91"/>
      <c r="R273" s="91"/>
      <c r="S273" s="91"/>
      <c r="T273" s="91"/>
      <c r="U273" s="91"/>
      <c r="V273" s="91"/>
      <c r="W273" s="91"/>
      <c r="X273" s="91"/>
      <c r="Y273" s="91"/>
      <c r="Z273" s="91"/>
    </row>
    <row r="274" spans="1:26" ht="15.75" customHeight="1" x14ac:dyDescent="0.25">
      <c r="A274" s="9" t="s">
        <v>3083</v>
      </c>
      <c r="B274" s="189" t="s">
        <v>3084</v>
      </c>
      <c r="C274" s="91" t="s">
        <v>3085</v>
      </c>
      <c r="D274" s="91"/>
      <c r="E274" s="91"/>
      <c r="F274" s="91"/>
      <c r="G274" s="91"/>
      <c r="H274" s="91"/>
      <c r="I274" s="91"/>
      <c r="J274" s="91"/>
      <c r="K274" s="91"/>
      <c r="L274" s="91"/>
      <c r="M274" s="91"/>
      <c r="N274" s="91"/>
      <c r="O274" s="91"/>
      <c r="P274" s="91"/>
      <c r="Q274" s="91"/>
      <c r="R274" s="91"/>
      <c r="S274" s="91"/>
      <c r="T274" s="91"/>
      <c r="U274" s="91"/>
      <c r="V274" s="91"/>
      <c r="W274" s="91"/>
      <c r="X274" s="91"/>
      <c r="Y274" s="91"/>
      <c r="Z274" s="91"/>
    </row>
    <row r="275" spans="1:26" ht="15.75" customHeight="1" x14ac:dyDescent="0.25">
      <c r="A275" s="9" t="s">
        <v>3086</v>
      </c>
      <c r="B275" s="189" t="s">
        <v>3087</v>
      </c>
      <c r="C275" s="91" t="s">
        <v>3088</v>
      </c>
      <c r="D275" s="91"/>
      <c r="E275" s="91"/>
      <c r="F275" s="91"/>
      <c r="G275" s="91"/>
      <c r="H275" s="91"/>
      <c r="I275" s="91"/>
      <c r="J275" s="91"/>
      <c r="K275" s="91"/>
      <c r="L275" s="91"/>
      <c r="M275" s="91"/>
      <c r="N275" s="91"/>
      <c r="O275" s="91"/>
      <c r="P275" s="91"/>
      <c r="Q275" s="91"/>
      <c r="R275" s="91"/>
      <c r="S275" s="91"/>
      <c r="T275" s="91"/>
      <c r="U275" s="91"/>
      <c r="V275" s="91"/>
      <c r="W275" s="91"/>
      <c r="X275" s="91"/>
      <c r="Y275" s="91"/>
      <c r="Z275" s="91"/>
    </row>
    <row r="276" spans="1:26" ht="15.75" customHeight="1" x14ac:dyDescent="0.25">
      <c r="A276" s="9" t="s">
        <v>3089</v>
      </c>
      <c r="B276" s="189" t="s">
        <v>3090</v>
      </c>
      <c r="C276" s="91" t="s">
        <v>3091</v>
      </c>
      <c r="D276" s="91"/>
      <c r="E276" s="91"/>
      <c r="F276" s="91"/>
      <c r="G276" s="91"/>
      <c r="H276" s="91"/>
      <c r="I276" s="91"/>
      <c r="J276" s="91"/>
      <c r="K276" s="91"/>
      <c r="L276" s="91"/>
      <c r="M276" s="91"/>
      <c r="N276" s="91"/>
      <c r="O276" s="91"/>
      <c r="P276" s="91"/>
      <c r="Q276" s="91"/>
      <c r="R276" s="91"/>
      <c r="S276" s="91"/>
      <c r="T276" s="91"/>
      <c r="U276" s="91"/>
      <c r="V276" s="91"/>
      <c r="W276" s="91"/>
      <c r="X276" s="91"/>
      <c r="Y276" s="91"/>
      <c r="Z276" s="91"/>
    </row>
    <row r="277" spans="1:26" ht="15.75" customHeight="1" x14ac:dyDescent="0.25">
      <c r="A277" s="9" t="s">
        <v>3092</v>
      </c>
      <c r="B277" s="189" t="s">
        <v>3093</v>
      </c>
      <c r="C277" s="91"/>
      <c r="D277" s="91"/>
      <c r="E277" s="91"/>
      <c r="F277" s="91"/>
      <c r="G277" s="91"/>
      <c r="H277" s="91"/>
      <c r="I277" s="91"/>
      <c r="J277" s="91"/>
      <c r="K277" s="91"/>
      <c r="L277" s="91"/>
      <c r="M277" s="91"/>
      <c r="N277" s="91"/>
      <c r="O277" s="91"/>
      <c r="P277" s="91"/>
      <c r="Q277" s="91"/>
      <c r="R277" s="91"/>
      <c r="S277" s="91"/>
      <c r="T277" s="91"/>
      <c r="U277" s="91"/>
      <c r="V277" s="91"/>
      <c r="W277" s="91"/>
      <c r="X277" s="91"/>
      <c r="Y277" s="91"/>
      <c r="Z277" s="91"/>
    </row>
    <row r="278" spans="1:26" ht="15.75" customHeight="1" x14ac:dyDescent="0.25">
      <c r="A278" s="9" t="s">
        <v>3094</v>
      </c>
      <c r="B278" s="189" t="s">
        <v>3095</v>
      </c>
      <c r="C278" s="91"/>
      <c r="D278" s="91"/>
      <c r="E278" s="91"/>
      <c r="F278" s="91"/>
      <c r="G278" s="91"/>
      <c r="H278" s="91"/>
      <c r="I278" s="91"/>
      <c r="J278" s="91"/>
      <c r="K278" s="91"/>
      <c r="L278" s="91"/>
      <c r="M278" s="91"/>
      <c r="N278" s="91"/>
      <c r="O278" s="91"/>
      <c r="P278" s="91"/>
      <c r="Q278" s="91"/>
      <c r="R278" s="91"/>
      <c r="S278" s="91"/>
      <c r="T278" s="91"/>
      <c r="U278" s="91"/>
      <c r="V278" s="91"/>
      <c r="W278" s="91"/>
      <c r="X278" s="91"/>
      <c r="Y278" s="91"/>
      <c r="Z278" s="91"/>
    </row>
    <row r="279" spans="1:26" ht="15.75" customHeight="1" x14ac:dyDescent="0.25">
      <c r="A279" s="9" t="s">
        <v>3096</v>
      </c>
      <c r="B279" s="189" t="s">
        <v>3097</v>
      </c>
      <c r="C279" s="91" t="s">
        <v>3098</v>
      </c>
      <c r="D279" s="91"/>
      <c r="E279" s="91"/>
      <c r="F279" s="91"/>
      <c r="G279" s="91"/>
      <c r="H279" s="91"/>
      <c r="I279" s="91"/>
      <c r="J279" s="91"/>
      <c r="K279" s="91"/>
      <c r="L279" s="91"/>
      <c r="M279" s="91"/>
      <c r="N279" s="91"/>
      <c r="O279" s="91"/>
      <c r="P279" s="91"/>
      <c r="Q279" s="91"/>
      <c r="R279" s="91"/>
      <c r="S279" s="91"/>
      <c r="T279" s="91"/>
      <c r="U279" s="91"/>
      <c r="V279" s="91"/>
      <c r="W279" s="91"/>
      <c r="X279" s="91"/>
      <c r="Y279" s="91"/>
      <c r="Z279" s="91"/>
    </row>
    <row r="280" spans="1:26" ht="15.75" customHeight="1" x14ac:dyDescent="0.25">
      <c r="A280" s="9" t="s">
        <v>3099</v>
      </c>
      <c r="B280" s="189" t="s">
        <v>3100</v>
      </c>
      <c r="C280" s="91"/>
      <c r="D280" s="91"/>
      <c r="E280" s="91"/>
      <c r="F280" s="91"/>
      <c r="G280" s="91"/>
      <c r="H280" s="91"/>
      <c r="I280" s="91"/>
      <c r="J280" s="91"/>
      <c r="K280" s="91"/>
      <c r="L280" s="91"/>
      <c r="M280" s="91"/>
      <c r="N280" s="91"/>
      <c r="O280" s="91"/>
      <c r="P280" s="91"/>
      <c r="Q280" s="91"/>
      <c r="R280" s="91"/>
      <c r="S280" s="91"/>
      <c r="T280" s="91"/>
      <c r="U280" s="91"/>
      <c r="V280" s="91"/>
      <c r="W280" s="91"/>
      <c r="X280" s="91"/>
      <c r="Y280" s="91"/>
      <c r="Z280" s="91"/>
    </row>
    <row r="281" spans="1:26" ht="15.75" customHeight="1" x14ac:dyDescent="0.25">
      <c r="A281" s="9" t="s">
        <v>3101</v>
      </c>
      <c r="B281" s="189" t="s">
        <v>3102</v>
      </c>
      <c r="C281" s="91" t="s">
        <v>3103</v>
      </c>
      <c r="D281" s="91"/>
      <c r="E281" s="91"/>
      <c r="F281" s="91"/>
      <c r="G281" s="91"/>
      <c r="H281" s="91"/>
      <c r="I281" s="91"/>
      <c r="J281" s="91"/>
      <c r="K281" s="91"/>
      <c r="L281" s="91"/>
      <c r="M281" s="91"/>
      <c r="N281" s="91"/>
      <c r="O281" s="91"/>
      <c r="P281" s="91"/>
      <c r="Q281" s="91"/>
      <c r="R281" s="91"/>
      <c r="S281" s="91"/>
      <c r="T281" s="91"/>
      <c r="U281" s="91"/>
      <c r="V281" s="91"/>
      <c r="W281" s="91"/>
      <c r="X281" s="91"/>
      <c r="Y281" s="91"/>
      <c r="Z281" s="91"/>
    </row>
    <row r="282" spans="1:26" ht="15.75" customHeight="1" x14ac:dyDescent="0.25">
      <c r="A282" s="9" t="s">
        <v>3104</v>
      </c>
      <c r="B282" s="189" t="s">
        <v>3105</v>
      </c>
      <c r="C282" s="91" t="s">
        <v>3106</v>
      </c>
      <c r="D282" s="91"/>
      <c r="E282" s="91"/>
      <c r="F282" s="91"/>
      <c r="G282" s="91"/>
      <c r="H282" s="91"/>
      <c r="I282" s="91"/>
      <c r="J282" s="91"/>
      <c r="K282" s="91"/>
      <c r="L282" s="91"/>
      <c r="M282" s="91"/>
      <c r="N282" s="91"/>
      <c r="O282" s="91"/>
      <c r="P282" s="91"/>
      <c r="Q282" s="91"/>
      <c r="R282" s="91"/>
      <c r="S282" s="91"/>
      <c r="T282" s="91"/>
      <c r="U282" s="91"/>
      <c r="V282" s="91"/>
      <c r="W282" s="91"/>
      <c r="X282" s="91"/>
      <c r="Y282" s="91"/>
      <c r="Z282" s="91"/>
    </row>
    <row r="283" spans="1:26" ht="15.75" customHeight="1" x14ac:dyDescent="0.25">
      <c r="A283" s="9" t="s">
        <v>3107</v>
      </c>
      <c r="B283" s="189" t="s">
        <v>3074</v>
      </c>
      <c r="C283" s="91" t="s">
        <v>2728</v>
      </c>
      <c r="D283" s="91"/>
      <c r="E283" s="91"/>
      <c r="F283" s="91"/>
      <c r="G283" s="91"/>
      <c r="H283" s="91"/>
      <c r="I283" s="91"/>
      <c r="J283" s="91"/>
      <c r="K283" s="91"/>
      <c r="L283" s="91"/>
      <c r="M283" s="91"/>
      <c r="N283" s="91"/>
      <c r="O283" s="91"/>
      <c r="P283" s="91"/>
      <c r="Q283" s="91"/>
      <c r="R283" s="91"/>
      <c r="S283" s="91"/>
      <c r="T283" s="91"/>
      <c r="U283" s="91"/>
      <c r="V283" s="91"/>
      <c r="W283" s="91"/>
      <c r="X283" s="91"/>
      <c r="Y283" s="91"/>
      <c r="Z283" s="91"/>
    </row>
    <row r="284" spans="1:26" ht="15.75" customHeight="1" x14ac:dyDescent="0.25">
      <c r="A284" s="9" t="s">
        <v>3108</v>
      </c>
      <c r="B284" s="189" t="s">
        <v>3109</v>
      </c>
      <c r="C284" s="91" t="s">
        <v>3110</v>
      </c>
      <c r="D284" s="91"/>
      <c r="E284" s="91"/>
      <c r="F284" s="91"/>
      <c r="G284" s="91"/>
      <c r="H284" s="91"/>
      <c r="I284" s="91"/>
      <c r="J284" s="91"/>
      <c r="K284" s="91"/>
      <c r="L284" s="91"/>
      <c r="M284" s="91"/>
      <c r="N284" s="91"/>
      <c r="O284" s="91"/>
      <c r="P284" s="91"/>
      <c r="Q284" s="91"/>
      <c r="R284" s="91"/>
      <c r="S284" s="91"/>
      <c r="T284" s="91"/>
      <c r="U284" s="91"/>
      <c r="V284" s="91"/>
      <c r="W284" s="91"/>
      <c r="X284" s="91"/>
      <c r="Y284" s="91"/>
      <c r="Z284" s="91"/>
    </row>
    <row r="285" spans="1:26" ht="15.75" customHeight="1" x14ac:dyDescent="0.25">
      <c r="A285" s="9" t="s">
        <v>3111</v>
      </c>
      <c r="B285" s="189" t="s">
        <v>3112</v>
      </c>
      <c r="C285" s="91" t="s">
        <v>3113</v>
      </c>
      <c r="D285" s="91"/>
      <c r="E285" s="91"/>
      <c r="F285" s="91"/>
      <c r="G285" s="91"/>
      <c r="H285" s="91"/>
      <c r="I285" s="91"/>
      <c r="J285" s="91"/>
      <c r="K285" s="91"/>
      <c r="L285" s="91"/>
      <c r="M285" s="91"/>
      <c r="N285" s="91"/>
      <c r="O285" s="91"/>
      <c r="P285" s="91"/>
      <c r="Q285" s="91"/>
      <c r="R285" s="91"/>
      <c r="S285" s="91"/>
      <c r="T285" s="91"/>
      <c r="U285" s="91"/>
      <c r="V285" s="91"/>
      <c r="W285" s="91"/>
      <c r="X285" s="91"/>
      <c r="Y285" s="91"/>
      <c r="Z285" s="91"/>
    </row>
    <row r="286" spans="1:26" ht="15.75" customHeight="1" x14ac:dyDescent="0.25">
      <c r="A286" s="9" t="s">
        <v>3114</v>
      </c>
      <c r="B286" s="189" t="s">
        <v>3115</v>
      </c>
      <c r="C286" s="91" t="s">
        <v>3116</v>
      </c>
      <c r="D286" s="91"/>
      <c r="E286" s="91"/>
      <c r="F286" s="91"/>
      <c r="G286" s="91"/>
      <c r="H286" s="91"/>
      <c r="I286" s="91"/>
      <c r="J286" s="91"/>
      <c r="K286" s="91"/>
      <c r="L286" s="91"/>
      <c r="M286" s="91"/>
      <c r="N286" s="91"/>
      <c r="O286" s="91"/>
      <c r="P286" s="91"/>
      <c r="Q286" s="91"/>
      <c r="R286" s="91"/>
      <c r="S286" s="91"/>
      <c r="T286" s="91"/>
      <c r="U286" s="91"/>
      <c r="V286" s="91"/>
      <c r="W286" s="91"/>
      <c r="X286" s="91"/>
      <c r="Y286" s="91"/>
      <c r="Z286" s="91"/>
    </row>
    <row r="287" spans="1:26" ht="15.75" customHeight="1" x14ac:dyDescent="0.25">
      <c r="A287" s="9" t="s">
        <v>3117</v>
      </c>
      <c r="B287" s="189" t="s">
        <v>3118</v>
      </c>
      <c r="C287" s="91" t="s">
        <v>3119</v>
      </c>
      <c r="D287" s="91"/>
      <c r="E287" s="91"/>
      <c r="F287" s="91"/>
      <c r="G287" s="91"/>
      <c r="H287" s="91"/>
      <c r="I287" s="91"/>
      <c r="J287" s="91"/>
      <c r="K287" s="91"/>
      <c r="L287" s="91"/>
      <c r="M287" s="91"/>
      <c r="N287" s="91"/>
      <c r="O287" s="91"/>
      <c r="P287" s="91"/>
      <c r="Q287" s="91"/>
      <c r="R287" s="91"/>
      <c r="S287" s="91"/>
      <c r="T287" s="91"/>
      <c r="U287" s="91"/>
      <c r="V287" s="91"/>
      <c r="W287" s="91"/>
      <c r="X287" s="91"/>
      <c r="Y287" s="91"/>
      <c r="Z287" s="91"/>
    </row>
    <row r="288" spans="1:26" ht="15.75" customHeight="1" x14ac:dyDescent="0.25">
      <c r="A288" s="9" t="s">
        <v>3120</v>
      </c>
      <c r="B288" s="189" t="s">
        <v>3121</v>
      </c>
      <c r="C288" s="91"/>
      <c r="D288" s="91"/>
      <c r="E288" s="91"/>
      <c r="F288" s="91"/>
      <c r="G288" s="91"/>
      <c r="H288" s="91"/>
      <c r="I288" s="91"/>
      <c r="J288" s="91"/>
      <c r="K288" s="91"/>
      <c r="L288" s="91"/>
      <c r="M288" s="91"/>
      <c r="N288" s="91"/>
      <c r="O288" s="91"/>
      <c r="P288" s="91"/>
      <c r="Q288" s="91"/>
      <c r="R288" s="91"/>
      <c r="S288" s="91"/>
      <c r="T288" s="91"/>
      <c r="U288" s="91"/>
      <c r="V288" s="91"/>
      <c r="W288" s="91"/>
      <c r="X288" s="91"/>
      <c r="Y288" s="91"/>
      <c r="Z288" s="91"/>
    </row>
    <row r="289" spans="1:26" ht="15.75" customHeight="1" x14ac:dyDescent="0.25">
      <c r="A289" s="9" t="s">
        <v>3122</v>
      </c>
      <c r="B289" s="189" t="s">
        <v>3123</v>
      </c>
      <c r="C289" s="91" t="s">
        <v>3124</v>
      </c>
      <c r="D289" s="91"/>
      <c r="E289" s="91"/>
      <c r="F289" s="91"/>
      <c r="G289" s="91"/>
      <c r="H289" s="91"/>
      <c r="I289" s="91"/>
      <c r="J289" s="91"/>
      <c r="K289" s="91"/>
      <c r="L289" s="91"/>
      <c r="M289" s="91"/>
      <c r="N289" s="91"/>
      <c r="O289" s="91"/>
      <c r="P289" s="91"/>
      <c r="Q289" s="91"/>
      <c r="R289" s="91"/>
      <c r="S289" s="91"/>
      <c r="T289" s="91"/>
      <c r="U289" s="91"/>
      <c r="V289" s="91"/>
      <c r="W289" s="91"/>
      <c r="X289" s="91"/>
      <c r="Y289" s="91"/>
      <c r="Z289" s="91"/>
    </row>
    <row r="290" spans="1:26" ht="15.75" customHeight="1" x14ac:dyDescent="0.25">
      <c r="A290" s="9" t="s">
        <v>3125</v>
      </c>
      <c r="B290" s="189" t="s">
        <v>3126</v>
      </c>
      <c r="C290" s="91" t="s">
        <v>3127</v>
      </c>
      <c r="D290" s="91"/>
      <c r="E290" s="91"/>
      <c r="F290" s="91"/>
      <c r="G290" s="91"/>
      <c r="H290" s="91"/>
      <c r="I290" s="91"/>
      <c r="J290" s="91"/>
      <c r="K290" s="91"/>
      <c r="L290" s="91"/>
      <c r="M290" s="91"/>
      <c r="N290" s="91"/>
      <c r="O290" s="91"/>
      <c r="P290" s="91"/>
      <c r="Q290" s="91"/>
      <c r="R290" s="91"/>
      <c r="S290" s="91"/>
      <c r="T290" s="91"/>
      <c r="U290" s="91"/>
      <c r="V290" s="91"/>
      <c r="W290" s="91"/>
      <c r="X290" s="91"/>
      <c r="Y290" s="91"/>
      <c r="Z290" s="91"/>
    </row>
    <row r="291" spans="1:26" ht="15.75" customHeight="1" x14ac:dyDescent="0.25">
      <c r="A291" s="9" t="s">
        <v>3128</v>
      </c>
      <c r="B291" s="189" t="s">
        <v>3129</v>
      </c>
      <c r="C291" s="91" t="s">
        <v>3130</v>
      </c>
      <c r="D291" s="91"/>
      <c r="E291" s="91"/>
      <c r="F291" s="91"/>
      <c r="G291" s="91"/>
      <c r="H291" s="91"/>
      <c r="I291" s="91"/>
      <c r="J291" s="91"/>
      <c r="K291" s="91"/>
      <c r="L291" s="91"/>
      <c r="M291" s="91"/>
      <c r="N291" s="91"/>
      <c r="O291" s="91"/>
      <c r="P291" s="91"/>
      <c r="Q291" s="91"/>
      <c r="R291" s="91"/>
      <c r="S291" s="91"/>
      <c r="T291" s="91"/>
      <c r="U291" s="91"/>
      <c r="V291" s="91"/>
      <c r="W291" s="91"/>
      <c r="X291" s="91"/>
      <c r="Y291" s="91"/>
      <c r="Z291" s="91"/>
    </row>
    <row r="292" spans="1:26" ht="15.75" customHeight="1" x14ac:dyDescent="0.25">
      <c r="A292" s="9" t="s">
        <v>3131</v>
      </c>
      <c r="B292" s="189" t="s">
        <v>3132</v>
      </c>
      <c r="C292" s="91" t="s">
        <v>3133</v>
      </c>
      <c r="D292" s="91"/>
      <c r="E292" s="91"/>
      <c r="F292" s="91"/>
      <c r="G292" s="91"/>
      <c r="H292" s="91"/>
      <c r="I292" s="91"/>
      <c r="J292" s="91"/>
      <c r="K292" s="91"/>
      <c r="L292" s="91"/>
      <c r="M292" s="91"/>
      <c r="N292" s="91"/>
      <c r="O292" s="91"/>
      <c r="P292" s="91"/>
      <c r="Q292" s="91"/>
      <c r="R292" s="91"/>
      <c r="S292" s="91"/>
      <c r="T292" s="91"/>
      <c r="U292" s="91"/>
      <c r="V292" s="91"/>
      <c r="W292" s="91"/>
      <c r="X292" s="91"/>
      <c r="Y292" s="91"/>
      <c r="Z292" s="91"/>
    </row>
    <row r="293" spans="1:26" ht="15.75" customHeight="1" x14ac:dyDescent="0.25">
      <c r="A293" s="9" t="s">
        <v>3134</v>
      </c>
      <c r="B293" s="189" t="s">
        <v>3135</v>
      </c>
      <c r="C293" s="91" t="s">
        <v>3136</v>
      </c>
      <c r="D293" s="91"/>
      <c r="E293" s="91"/>
      <c r="F293" s="91"/>
      <c r="G293" s="91"/>
      <c r="H293" s="91"/>
      <c r="I293" s="91"/>
      <c r="J293" s="91"/>
      <c r="K293" s="91"/>
      <c r="L293" s="91"/>
      <c r="M293" s="91"/>
      <c r="N293" s="91"/>
      <c r="O293" s="91"/>
      <c r="P293" s="91"/>
      <c r="Q293" s="91"/>
      <c r="R293" s="91"/>
      <c r="S293" s="91"/>
      <c r="T293" s="91"/>
      <c r="U293" s="91"/>
      <c r="V293" s="91"/>
      <c r="W293" s="91"/>
      <c r="X293" s="91"/>
      <c r="Y293" s="91"/>
      <c r="Z293" s="91"/>
    </row>
    <row r="294" spans="1:26" ht="15.75" customHeight="1" x14ac:dyDescent="0.25">
      <c r="A294" s="9" t="s">
        <v>3137</v>
      </c>
      <c r="B294" s="189" t="s">
        <v>3138</v>
      </c>
      <c r="C294" s="91" t="s">
        <v>3139</v>
      </c>
      <c r="D294" s="91"/>
      <c r="E294" s="91"/>
      <c r="F294" s="91"/>
      <c r="G294" s="91"/>
      <c r="H294" s="91"/>
      <c r="I294" s="91"/>
      <c r="J294" s="91"/>
      <c r="K294" s="91"/>
      <c r="L294" s="91"/>
      <c r="M294" s="91"/>
      <c r="N294" s="91"/>
      <c r="O294" s="91"/>
      <c r="P294" s="91"/>
      <c r="Q294" s="91"/>
      <c r="R294" s="91"/>
      <c r="S294" s="91"/>
      <c r="T294" s="91"/>
      <c r="U294" s="91"/>
      <c r="V294" s="91"/>
      <c r="W294" s="91"/>
      <c r="X294" s="91"/>
      <c r="Y294" s="91"/>
      <c r="Z294" s="91"/>
    </row>
    <row r="295" spans="1:26" ht="15.75" customHeight="1" x14ac:dyDescent="0.25">
      <c r="A295" s="9" t="s">
        <v>3140</v>
      </c>
      <c r="B295" s="189" t="s">
        <v>3141</v>
      </c>
      <c r="C295" s="91" t="s">
        <v>3142</v>
      </c>
      <c r="D295" s="91"/>
      <c r="E295" s="91"/>
      <c r="F295" s="91"/>
      <c r="G295" s="91"/>
      <c r="H295" s="91"/>
      <c r="I295" s="91"/>
      <c r="J295" s="91"/>
      <c r="K295" s="91"/>
      <c r="L295" s="91"/>
      <c r="M295" s="91"/>
      <c r="N295" s="91"/>
      <c r="O295" s="91"/>
      <c r="P295" s="91"/>
      <c r="Q295" s="91"/>
      <c r="R295" s="91"/>
      <c r="S295" s="91"/>
      <c r="T295" s="91"/>
      <c r="U295" s="91"/>
      <c r="V295" s="91"/>
      <c r="W295" s="91"/>
      <c r="X295" s="91"/>
      <c r="Y295" s="91"/>
      <c r="Z295" s="91"/>
    </row>
    <row r="296" spans="1:26" ht="15.75" customHeight="1" x14ac:dyDescent="0.25">
      <c r="A296" s="9" t="s">
        <v>3143</v>
      </c>
      <c r="B296" s="189" t="s">
        <v>3144</v>
      </c>
      <c r="C296" s="91" t="s">
        <v>3145</v>
      </c>
      <c r="D296" s="91"/>
      <c r="E296" s="91"/>
      <c r="F296" s="91"/>
      <c r="G296" s="91"/>
      <c r="H296" s="91"/>
      <c r="I296" s="91"/>
      <c r="J296" s="91"/>
      <c r="K296" s="91"/>
      <c r="L296" s="91"/>
      <c r="M296" s="91"/>
      <c r="N296" s="91"/>
      <c r="O296" s="91"/>
      <c r="P296" s="91"/>
      <c r="Q296" s="91"/>
      <c r="R296" s="91"/>
      <c r="S296" s="91"/>
      <c r="T296" s="91"/>
      <c r="U296" s="91"/>
      <c r="V296" s="91"/>
      <c r="W296" s="91"/>
      <c r="X296" s="91"/>
      <c r="Y296" s="91"/>
      <c r="Z296" s="91"/>
    </row>
    <row r="297" spans="1:26" ht="15.75" customHeight="1" x14ac:dyDescent="0.25">
      <c r="A297" s="9" t="s">
        <v>3146</v>
      </c>
      <c r="B297" s="189" t="s">
        <v>3147</v>
      </c>
      <c r="C297" s="91" t="s">
        <v>3148</v>
      </c>
      <c r="D297" s="91"/>
      <c r="E297" s="91"/>
      <c r="F297" s="91"/>
      <c r="G297" s="91"/>
      <c r="H297" s="91"/>
      <c r="I297" s="91"/>
      <c r="J297" s="91"/>
      <c r="K297" s="91"/>
      <c r="L297" s="91"/>
      <c r="M297" s="91"/>
      <c r="N297" s="91"/>
      <c r="O297" s="91"/>
      <c r="P297" s="91"/>
      <c r="Q297" s="91"/>
      <c r="R297" s="91"/>
      <c r="S297" s="91"/>
      <c r="T297" s="91"/>
      <c r="U297" s="91"/>
      <c r="V297" s="91"/>
      <c r="W297" s="91"/>
      <c r="X297" s="91"/>
      <c r="Y297" s="91"/>
      <c r="Z297" s="91"/>
    </row>
    <row r="298" spans="1:26" ht="15.75" customHeight="1" x14ac:dyDescent="0.25">
      <c r="A298" s="9" t="s">
        <v>3149</v>
      </c>
      <c r="B298" s="189" t="s">
        <v>3150</v>
      </c>
      <c r="C298" s="91"/>
      <c r="D298" s="91"/>
      <c r="E298" s="91"/>
      <c r="F298" s="91"/>
      <c r="G298" s="91"/>
      <c r="H298" s="91"/>
      <c r="I298" s="91"/>
      <c r="J298" s="91"/>
      <c r="K298" s="91"/>
      <c r="L298" s="91"/>
      <c r="M298" s="91"/>
      <c r="N298" s="91"/>
      <c r="O298" s="91"/>
      <c r="P298" s="91"/>
      <c r="Q298" s="91"/>
      <c r="R298" s="91"/>
      <c r="S298" s="91"/>
      <c r="T298" s="91"/>
      <c r="U298" s="91"/>
      <c r="V298" s="91"/>
      <c r="W298" s="91"/>
      <c r="X298" s="91"/>
      <c r="Y298" s="91"/>
      <c r="Z298" s="91"/>
    </row>
    <row r="299" spans="1:26" ht="15.75" customHeight="1" x14ac:dyDescent="0.25">
      <c r="A299" s="9" t="s">
        <v>3151</v>
      </c>
      <c r="B299" s="189" t="s">
        <v>3152</v>
      </c>
      <c r="C299" s="91" t="s">
        <v>3153</v>
      </c>
      <c r="D299" s="91"/>
      <c r="E299" s="91"/>
      <c r="F299" s="91"/>
      <c r="G299" s="91"/>
      <c r="H299" s="91"/>
      <c r="I299" s="91"/>
      <c r="J299" s="91"/>
      <c r="K299" s="91"/>
      <c r="L299" s="91"/>
      <c r="M299" s="91"/>
      <c r="N299" s="91"/>
      <c r="O299" s="91"/>
      <c r="P299" s="91"/>
      <c r="Q299" s="91"/>
      <c r="R299" s="91"/>
      <c r="S299" s="91"/>
      <c r="T299" s="91"/>
      <c r="U299" s="91"/>
      <c r="V299" s="91"/>
      <c r="W299" s="91"/>
      <c r="X299" s="91"/>
      <c r="Y299" s="91"/>
      <c r="Z299" s="91"/>
    </row>
    <row r="300" spans="1:26" ht="15.75" customHeight="1" x14ac:dyDescent="0.25">
      <c r="A300" s="9" t="s">
        <v>3154</v>
      </c>
      <c r="B300" s="189" t="s">
        <v>3155</v>
      </c>
      <c r="C300" s="91" t="s">
        <v>3156</v>
      </c>
      <c r="D300" s="91"/>
      <c r="E300" s="91"/>
      <c r="F300" s="91"/>
      <c r="G300" s="91"/>
      <c r="H300" s="91"/>
      <c r="I300" s="91"/>
      <c r="J300" s="91"/>
      <c r="K300" s="91"/>
      <c r="L300" s="91"/>
      <c r="M300" s="91"/>
      <c r="N300" s="91"/>
      <c r="O300" s="91"/>
      <c r="P300" s="91"/>
      <c r="Q300" s="91"/>
      <c r="R300" s="91"/>
      <c r="S300" s="91"/>
      <c r="T300" s="91"/>
      <c r="U300" s="91"/>
      <c r="V300" s="91"/>
      <c r="W300" s="91"/>
      <c r="X300" s="91"/>
      <c r="Y300" s="91"/>
      <c r="Z300" s="91"/>
    </row>
    <row r="301" spans="1:26" ht="15.75" customHeight="1" x14ac:dyDescent="0.25">
      <c r="A301" s="9" t="s">
        <v>3157</v>
      </c>
      <c r="B301" s="189" t="s">
        <v>3158</v>
      </c>
      <c r="C301" s="91"/>
      <c r="D301" s="91"/>
      <c r="E301" s="91"/>
      <c r="F301" s="91"/>
      <c r="G301" s="91"/>
      <c r="H301" s="91"/>
      <c r="I301" s="91"/>
      <c r="J301" s="91"/>
      <c r="K301" s="91"/>
      <c r="L301" s="91"/>
      <c r="M301" s="91"/>
      <c r="N301" s="91"/>
      <c r="O301" s="91"/>
      <c r="P301" s="91"/>
      <c r="Q301" s="91"/>
      <c r="R301" s="91"/>
      <c r="S301" s="91"/>
      <c r="T301" s="91"/>
      <c r="U301" s="91"/>
      <c r="V301" s="91"/>
      <c r="W301" s="91"/>
      <c r="X301" s="91"/>
      <c r="Y301" s="91"/>
      <c r="Z301" s="91"/>
    </row>
    <row r="302" spans="1:26" ht="15.75" customHeight="1" x14ac:dyDescent="0.25">
      <c r="A302" s="9" t="s">
        <v>3159</v>
      </c>
      <c r="B302" s="189" t="s">
        <v>3160</v>
      </c>
      <c r="C302" s="91"/>
      <c r="D302" s="91"/>
      <c r="E302" s="91"/>
      <c r="F302" s="91"/>
      <c r="G302" s="91"/>
      <c r="H302" s="91"/>
      <c r="I302" s="91"/>
      <c r="J302" s="91"/>
      <c r="K302" s="91"/>
      <c r="L302" s="91"/>
      <c r="M302" s="91"/>
      <c r="N302" s="91"/>
      <c r="O302" s="91"/>
      <c r="P302" s="91"/>
      <c r="Q302" s="91"/>
      <c r="R302" s="91"/>
      <c r="S302" s="91"/>
      <c r="T302" s="91"/>
      <c r="U302" s="91"/>
      <c r="V302" s="91"/>
      <c r="W302" s="91"/>
      <c r="X302" s="91"/>
      <c r="Y302" s="91"/>
      <c r="Z302" s="91"/>
    </row>
    <row r="303" spans="1:26" ht="15.75" customHeight="1" x14ac:dyDescent="0.25">
      <c r="A303" s="9" t="s">
        <v>3161</v>
      </c>
      <c r="B303" s="189" t="s">
        <v>3162</v>
      </c>
      <c r="C303" s="91" t="s">
        <v>3163</v>
      </c>
      <c r="D303" s="91"/>
      <c r="E303" s="91"/>
      <c r="F303" s="91"/>
      <c r="G303" s="91"/>
      <c r="H303" s="91"/>
      <c r="I303" s="91"/>
      <c r="J303" s="91"/>
      <c r="K303" s="91"/>
      <c r="L303" s="91"/>
      <c r="M303" s="91"/>
      <c r="N303" s="91"/>
      <c r="O303" s="91"/>
      <c r="P303" s="91"/>
      <c r="Q303" s="91"/>
      <c r="R303" s="91"/>
      <c r="S303" s="91"/>
      <c r="T303" s="91"/>
      <c r="U303" s="91"/>
      <c r="V303" s="91"/>
      <c r="W303" s="91"/>
      <c r="X303" s="91"/>
      <c r="Y303" s="91"/>
      <c r="Z303" s="91"/>
    </row>
    <row r="304" spans="1:26" ht="15.75" customHeight="1" x14ac:dyDescent="0.25">
      <c r="A304" s="9" t="s">
        <v>3164</v>
      </c>
      <c r="B304" s="189" t="s">
        <v>3165</v>
      </c>
      <c r="C304" s="91" t="s">
        <v>3166</v>
      </c>
      <c r="D304" s="91"/>
      <c r="E304" s="91"/>
      <c r="F304" s="91"/>
      <c r="G304" s="91"/>
      <c r="H304" s="91"/>
      <c r="I304" s="91"/>
      <c r="J304" s="91"/>
      <c r="K304" s="91"/>
      <c r="L304" s="91"/>
      <c r="M304" s="91"/>
      <c r="N304" s="91"/>
      <c r="O304" s="91"/>
      <c r="P304" s="91"/>
      <c r="Q304" s="91"/>
      <c r="R304" s="91"/>
      <c r="S304" s="91"/>
      <c r="T304" s="91"/>
      <c r="U304" s="91"/>
      <c r="V304" s="91"/>
      <c r="W304" s="91"/>
      <c r="X304" s="91"/>
      <c r="Y304" s="91"/>
      <c r="Z304" s="91"/>
    </row>
    <row r="305" spans="1:26" ht="15.75" customHeight="1" x14ac:dyDescent="0.25">
      <c r="A305" s="9" t="s">
        <v>3167</v>
      </c>
      <c r="B305" s="189" t="s">
        <v>3168</v>
      </c>
      <c r="C305" s="91" t="s">
        <v>3169</v>
      </c>
      <c r="D305" s="91"/>
      <c r="E305" s="91"/>
      <c r="F305" s="91"/>
      <c r="G305" s="91"/>
      <c r="H305" s="91"/>
      <c r="I305" s="91"/>
      <c r="J305" s="91"/>
      <c r="K305" s="91"/>
      <c r="L305" s="91"/>
      <c r="M305" s="91"/>
      <c r="N305" s="91"/>
      <c r="O305" s="91"/>
      <c r="P305" s="91"/>
      <c r="Q305" s="91"/>
      <c r="R305" s="91"/>
      <c r="S305" s="91"/>
      <c r="T305" s="91"/>
      <c r="U305" s="91"/>
      <c r="V305" s="91"/>
      <c r="W305" s="91"/>
      <c r="X305" s="91"/>
      <c r="Y305" s="91"/>
      <c r="Z305" s="91"/>
    </row>
    <row r="306" spans="1:26" ht="15.75" customHeight="1" x14ac:dyDescent="0.25">
      <c r="A306" s="9" t="s">
        <v>3170</v>
      </c>
      <c r="B306" s="189" t="s">
        <v>3171</v>
      </c>
      <c r="C306" s="91"/>
      <c r="D306" s="91"/>
      <c r="E306" s="91"/>
      <c r="F306" s="91"/>
      <c r="G306" s="91"/>
      <c r="H306" s="91"/>
      <c r="I306" s="91"/>
      <c r="J306" s="91"/>
      <c r="K306" s="91"/>
      <c r="L306" s="91"/>
      <c r="M306" s="91"/>
      <c r="N306" s="91"/>
      <c r="O306" s="91"/>
      <c r="P306" s="91"/>
      <c r="Q306" s="91"/>
      <c r="R306" s="91"/>
      <c r="S306" s="91"/>
      <c r="T306" s="91"/>
      <c r="U306" s="91"/>
      <c r="V306" s="91"/>
      <c r="W306" s="91"/>
      <c r="X306" s="91"/>
      <c r="Y306" s="91"/>
      <c r="Z306" s="91"/>
    </row>
    <row r="307" spans="1:26" ht="15.75" customHeight="1" x14ac:dyDescent="0.25">
      <c r="A307" s="9"/>
      <c r="B307" s="189"/>
      <c r="C307" s="91"/>
      <c r="D307" s="91"/>
      <c r="E307" s="91"/>
      <c r="F307" s="91"/>
      <c r="G307" s="91"/>
      <c r="H307" s="91"/>
      <c r="I307" s="91"/>
      <c r="J307" s="91"/>
      <c r="K307" s="91"/>
      <c r="L307" s="91"/>
      <c r="M307" s="91"/>
      <c r="N307" s="91"/>
      <c r="O307" s="91"/>
      <c r="P307" s="91"/>
      <c r="Q307" s="91"/>
      <c r="R307" s="91"/>
      <c r="S307" s="91"/>
      <c r="T307" s="91"/>
      <c r="U307" s="91"/>
      <c r="V307" s="91"/>
      <c r="W307" s="91"/>
      <c r="X307" s="91"/>
      <c r="Y307" s="91"/>
      <c r="Z307" s="91"/>
    </row>
    <row r="308" spans="1:26" ht="15.75" customHeight="1" x14ac:dyDescent="0.25">
      <c r="A308" s="9"/>
      <c r="B308" s="189"/>
      <c r="C308" s="91"/>
      <c r="D308" s="91"/>
      <c r="E308" s="91"/>
      <c r="F308" s="91"/>
      <c r="G308" s="91"/>
      <c r="H308" s="91"/>
      <c r="I308" s="91"/>
      <c r="J308" s="91"/>
      <c r="K308" s="91"/>
      <c r="L308" s="91"/>
      <c r="M308" s="91"/>
      <c r="N308" s="91"/>
      <c r="O308" s="91"/>
      <c r="P308" s="91"/>
      <c r="Q308" s="91"/>
      <c r="R308" s="91"/>
      <c r="S308" s="91"/>
      <c r="T308" s="91"/>
      <c r="U308" s="91"/>
      <c r="V308" s="91"/>
      <c r="W308" s="91"/>
      <c r="X308" s="91"/>
      <c r="Y308" s="91"/>
      <c r="Z308" s="91"/>
    </row>
    <row r="309" spans="1:26" ht="15.75" customHeight="1" x14ac:dyDescent="0.25">
      <c r="A309" s="9"/>
      <c r="B309" s="189"/>
      <c r="C309" s="91"/>
      <c r="D309" s="91"/>
      <c r="E309" s="91"/>
      <c r="F309" s="91"/>
      <c r="G309" s="91"/>
      <c r="H309" s="91"/>
      <c r="I309" s="91"/>
      <c r="J309" s="91"/>
      <c r="K309" s="91"/>
      <c r="L309" s="91"/>
      <c r="M309" s="91"/>
      <c r="N309" s="91"/>
      <c r="O309" s="91"/>
      <c r="P309" s="91"/>
      <c r="Q309" s="91"/>
      <c r="R309" s="91"/>
      <c r="S309" s="91"/>
      <c r="T309" s="91"/>
      <c r="U309" s="91"/>
      <c r="V309" s="91"/>
      <c r="W309" s="91"/>
      <c r="X309" s="91"/>
      <c r="Y309" s="91"/>
      <c r="Z309" s="91"/>
    </row>
    <row r="310" spans="1:26" ht="15.75" customHeight="1" x14ac:dyDescent="0.25">
      <c r="A310" s="9"/>
      <c r="B310" s="189"/>
      <c r="C310" s="91"/>
      <c r="D310" s="91"/>
      <c r="E310" s="91"/>
      <c r="F310" s="91"/>
      <c r="G310" s="91"/>
      <c r="H310" s="91"/>
      <c r="I310" s="91"/>
      <c r="J310" s="91"/>
      <c r="K310" s="91"/>
      <c r="L310" s="91"/>
      <c r="M310" s="91"/>
      <c r="N310" s="91"/>
      <c r="O310" s="91"/>
      <c r="P310" s="91"/>
      <c r="Q310" s="91"/>
      <c r="R310" s="91"/>
      <c r="S310" s="91"/>
      <c r="T310" s="91"/>
      <c r="U310" s="91"/>
      <c r="V310" s="91"/>
      <c r="W310" s="91"/>
      <c r="X310" s="91"/>
      <c r="Y310" s="91"/>
      <c r="Z310" s="91"/>
    </row>
    <row r="311" spans="1:26" ht="15.75" customHeight="1" x14ac:dyDescent="0.25">
      <c r="A311" s="9"/>
      <c r="B311" s="189"/>
      <c r="C311" s="91"/>
      <c r="D311" s="91"/>
      <c r="E311" s="91"/>
      <c r="F311" s="91"/>
      <c r="G311" s="91"/>
      <c r="H311" s="91"/>
      <c r="I311" s="91"/>
      <c r="J311" s="91"/>
      <c r="K311" s="91"/>
      <c r="L311" s="91"/>
      <c r="M311" s="91"/>
      <c r="N311" s="91"/>
      <c r="O311" s="91"/>
      <c r="P311" s="91"/>
      <c r="Q311" s="91"/>
      <c r="R311" s="91"/>
      <c r="S311" s="91"/>
      <c r="T311" s="91"/>
      <c r="U311" s="91"/>
      <c r="V311" s="91"/>
      <c r="W311" s="91"/>
      <c r="X311" s="91"/>
      <c r="Y311" s="91"/>
      <c r="Z311" s="91"/>
    </row>
    <row r="312" spans="1:26" ht="15.75" customHeight="1" x14ac:dyDescent="0.25">
      <c r="A312" s="9"/>
      <c r="B312" s="189"/>
      <c r="C312" s="91"/>
      <c r="D312" s="91"/>
      <c r="E312" s="91"/>
      <c r="F312" s="91"/>
      <c r="G312" s="91"/>
      <c r="H312" s="91"/>
      <c r="I312" s="91"/>
      <c r="J312" s="91"/>
      <c r="K312" s="91"/>
      <c r="L312" s="91"/>
      <c r="M312" s="91"/>
      <c r="N312" s="91"/>
      <c r="O312" s="91"/>
      <c r="P312" s="91"/>
      <c r="Q312" s="91"/>
      <c r="R312" s="91"/>
      <c r="S312" s="91"/>
      <c r="T312" s="91"/>
      <c r="U312" s="91"/>
      <c r="V312" s="91"/>
      <c r="W312" s="91"/>
      <c r="X312" s="91"/>
      <c r="Y312" s="91"/>
      <c r="Z312" s="91"/>
    </row>
    <row r="313" spans="1:26" ht="15.75" customHeight="1" x14ac:dyDescent="0.25">
      <c r="A313" s="9"/>
      <c r="B313" s="189"/>
      <c r="C313" s="91"/>
      <c r="D313" s="91"/>
      <c r="E313" s="91"/>
      <c r="F313" s="91"/>
      <c r="G313" s="91"/>
      <c r="H313" s="91"/>
      <c r="I313" s="91"/>
      <c r="J313" s="91"/>
      <c r="K313" s="91"/>
      <c r="L313" s="91"/>
      <c r="M313" s="91"/>
      <c r="N313" s="91"/>
      <c r="O313" s="91"/>
      <c r="P313" s="91"/>
      <c r="Q313" s="91"/>
      <c r="R313" s="91"/>
      <c r="S313" s="91"/>
      <c r="T313" s="91"/>
      <c r="U313" s="91"/>
      <c r="V313" s="91"/>
      <c r="W313" s="91"/>
      <c r="X313" s="91"/>
      <c r="Y313" s="91"/>
      <c r="Z313" s="91"/>
    </row>
    <row r="314" spans="1:26" ht="15.75" customHeight="1" x14ac:dyDescent="0.25">
      <c r="A314" s="9"/>
      <c r="B314" s="189"/>
      <c r="C314" s="91"/>
      <c r="D314" s="91"/>
      <c r="E314" s="91"/>
      <c r="F314" s="91"/>
      <c r="G314" s="91"/>
      <c r="H314" s="91"/>
      <c r="I314" s="91"/>
      <c r="J314" s="91"/>
      <c r="K314" s="91"/>
      <c r="L314" s="91"/>
      <c r="M314" s="91"/>
      <c r="N314" s="91"/>
      <c r="O314" s="91"/>
      <c r="P314" s="91"/>
      <c r="Q314" s="91"/>
      <c r="R314" s="91"/>
      <c r="S314" s="91"/>
      <c r="T314" s="91"/>
      <c r="U314" s="91"/>
      <c r="V314" s="91"/>
      <c r="W314" s="91"/>
      <c r="X314" s="91"/>
      <c r="Y314" s="91"/>
      <c r="Z314" s="91"/>
    </row>
    <row r="315" spans="1:26" ht="15.75" customHeight="1" x14ac:dyDescent="0.25">
      <c r="A315" s="9"/>
      <c r="B315" s="189"/>
      <c r="C315" s="91"/>
      <c r="D315" s="91"/>
      <c r="E315" s="91"/>
      <c r="F315" s="91"/>
      <c r="G315" s="91"/>
      <c r="H315" s="91"/>
      <c r="I315" s="91"/>
      <c r="J315" s="91"/>
      <c r="K315" s="91"/>
      <c r="L315" s="91"/>
      <c r="M315" s="91"/>
      <c r="N315" s="91"/>
      <c r="O315" s="91"/>
      <c r="P315" s="91"/>
      <c r="Q315" s="91"/>
      <c r="R315" s="91"/>
      <c r="S315" s="91"/>
      <c r="T315" s="91"/>
      <c r="U315" s="91"/>
      <c r="V315" s="91"/>
      <c r="W315" s="91"/>
      <c r="X315" s="91"/>
      <c r="Y315" s="91"/>
      <c r="Z315" s="91"/>
    </row>
    <row r="316" spans="1:26" ht="15.75" customHeight="1" x14ac:dyDescent="0.25">
      <c r="A316" s="9"/>
      <c r="B316" s="189"/>
      <c r="C316" s="91"/>
      <c r="D316" s="91"/>
      <c r="E316" s="91"/>
      <c r="F316" s="91"/>
      <c r="G316" s="91"/>
      <c r="H316" s="91"/>
      <c r="I316" s="91"/>
      <c r="J316" s="91"/>
      <c r="K316" s="91"/>
      <c r="L316" s="91"/>
      <c r="M316" s="91"/>
      <c r="N316" s="91"/>
      <c r="O316" s="91"/>
      <c r="P316" s="91"/>
      <c r="Q316" s="91"/>
      <c r="R316" s="91"/>
      <c r="S316" s="91"/>
      <c r="T316" s="91"/>
      <c r="U316" s="91"/>
      <c r="V316" s="91"/>
      <c r="W316" s="91"/>
      <c r="X316" s="91"/>
      <c r="Y316" s="91"/>
      <c r="Z316" s="91"/>
    </row>
    <row r="317" spans="1:26" ht="15.75" customHeight="1" x14ac:dyDescent="0.25">
      <c r="A317" s="9"/>
      <c r="B317" s="189"/>
      <c r="C317" s="91"/>
      <c r="D317" s="91"/>
      <c r="E317" s="91"/>
      <c r="F317" s="91"/>
      <c r="G317" s="91"/>
      <c r="H317" s="91"/>
      <c r="I317" s="91"/>
      <c r="J317" s="91"/>
      <c r="K317" s="91"/>
      <c r="L317" s="91"/>
      <c r="M317" s="91"/>
      <c r="N317" s="91"/>
      <c r="O317" s="91"/>
      <c r="P317" s="91"/>
      <c r="Q317" s="91"/>
      <c r="R317" s="91"/>
      <c r="S317" s="91"/>
      <c r="T317" s="91"/>
      <c r="U317" s="91"/>
      <c r="V317" s="91"/>
      <c r="W317" s="91"/>
      <c r="X317" s="91"/>
      <c r="Y317" s="91"/>
      <c r="Z317" s="91"/>
    </row>
    <row r="318" spans="1:26" ht="15.75" customHeight="1" x14ac:dyDescent="0.25">
      <c r="A318" s="9"/>
      <c r="B318" s="189"/>
      <c r="C318" s="91"/>
      <c r="D318" s="91"/>
      <c r="E318" s="91"/>
      <c r="F318" s="91"/>
      <c r="G318" s="91"/>
      <c r="H318" s="91"/>
      <c r="I318" s="91"/>
      <c r="J318" s="91"/>
      <c r="K318" s="91"/>
      <c r="L318" s="91"/>
      <c r="M318" s="91"/>
      <c r="N318" s="91"/>
      <c r="O318" s="91"/>
      <c r="P318" s="91"/>
      <c r="Q318" s="91"/>
      <c r="R318" s="91"/>
      <c r="S318" s="91"/>
      <c r="T318" s="91"/>
      <c r="U318" s="91"/>
      <c r="V318" s="91"/>
      <c r="W318" s="91"/>
      <c r="X318" s="91"/>
      <c r="Y318" s="91"/>
      <c r="Z318" s="91"/>
    </row>
    <row r="319" spans="1:26" ht="15.75" customHeight="1" x14ac:dyDescent="0.25">
      <c r="A319" s="9"/>
      <c r="B319" s="189"/>
      <c r="C319" s="91"/>
      <c r="D319" s="91"/>
      <c r="E319" s="91"/>
      <c r="F319" s="91"/>
      <c r="G319" s="91"/>
      <c r="H319" s="91"/>
      <c r="I319" s="91"/>
      <c r="J319" s="91"/>
      <c r="K319" s="91"/>
      <c r="L319" s="91"/>
      <c r="M319" s="91"/>
      <c r="N319" s="91"/>
      <c r="O319" s="91"/>
      <c r="P319" s="91"/>
      <c r="Q319" s="91"/>
      <c r="R319" s="91"/>
      <c r="S319" s="91"/>
      <c r="T319" s="91"/>
      <c r="U319" s="91"/>
      <c r="V319" s="91"/>
      <c r="W319" s="91"/>
      <c r="X319" s="91"/>
      <c r="Y319" s="91"/>
      <c r="Z319" s="91"/>
    </row>
    <row r="320" spans="1:26" ht="15.75" customHeight="1" x14ac:dyDescent="0.25">
      <c r="A320" s="9"/>
      <c r="B320" s="189"/>
      <c r="C320" s="91"/>
      <c r="D320" s="91"/>
      <c r="E320" s="91"/>
      <c r="F320" s="91"/>
      <c r="G320" s="91"/>
      <c r="H320" s="91"/>
      <c r="I320" s="91"/>
      <c r="J320" s="91"/>
      <c r="K320" s="91"/>
      <c r="L320" s="91"/>
      <c r="M320" s="91"/>
      <c r="N320" s="91"/>
      <c r="O320" s="91"/>
      <c r="P320" s="91"/>
      <c r="Q320" s="91"/>
      <c r="R320" s="91"/>
      <c r="S320" s="91"/>
      <c r="T320" s="91"/>
      <c r="U320" s="91"/>
      <c r="V320" s="91"/>
      <c r="W320" s="91"/>
      <c r="X320" s="91"/>
      <c r="Y320" s="91"/>
      <c r="Z320" s="91"/>
    </row>
    <row r="321" spans="1:26" ht="15.75" customHeight="1" x14ac:dyDescent="0.25">
      <c r="A321" s="9"/>
      <c r="B321" s="189"/>
      <c r="C321" s="91"/>
      <c r="D321" s="91"/>
      <c r="E321" s="91"/>
      <c r="F321" s="91"/>
      <c r="G321" s="91"/>
      <c r="H321" s="91"/>
      <c r="I321" s="91"/>
      <c r="J321" s="91"/>
      <c r="K321" s="91"/>
      <c r="L321" s="91"/>
      <c r="M321" s="91"/>
      <c r="N321" s="91"/>
      <c r="O321" s="91"/>
      <c r="P321" s="91"/>
      <c r="Q321" s="91"/>
      <c r="R321" s="91"/>
      <c r="S321" s="91"/>
      <c r="T321" s="91"/>
      <c r="U321" s="91"/>
      <c r="V321" s="91"/>
      <c r="W321" s="91"/>
      <c r="X321" s="91"/>
      <c r="Y321" s="91"/>
      <c r="Z321" s="91"/>
    </row>
    <row r="322" spans="1:26" ht="15.75" customHeight="1" x14ac:dyDescent="0.25">
      <c r="A322" s="9"/>
      <c r="B322" s="189"/>
      <c r="C322" s="91"/>
      <c r="D322" s="91"/>
      <c r="E322" s="91"/>
      <c r="F322" s="91"/>
      <c r="G322" s="91"/>
      <c r="H322" s="91"/>
      <c r="I322" s="91"/>
      <c r="J322" s="91"/>
      <c r="K322" s="91"/>
      <c r="L322" s="91"/>
      <c r="M322" s="91"/>
      <c r="N322" s="91"/>
      <c r="O322" s="91"/>
      <c r="P322" s="91"/>
      <c r="Q322" s="91"/>
      <c r="R322" s="91"/>
      <c r="S322" s="91"/>
      <c r="T322" s="91"/>
      <c r="U322" s="91"/>
      <c r="V322" s="91"/>
      <c r="W322" s="91"/>
      <c r="X322" s="91"/>
      <c r="Y322" s="91"/>
      <c r="Z322" s="91"/>
    </row>
    <row r="323" spans="1:26" ht="15.75" customHeight="1" x14ac:dyDescent="0.25">
      <c r="A323" s="9"/>
      <c r="B323" s="189"/>
      <c r="C323" s="91"/>
      <c r="D323" s="91"/>
      <c r="E323" s="91"/>
      <c r="F323" s="91"/>
      <c r="G323" s="91"/>
      <c r="H323" s="91"/>
      <c r="I323" s="91"/>
      <c r="J323" s="91"/>
      <c r="K323" s="91"/>
      <c r="L323" s="91"/>
      <c r="M323" s="91"/>
      <c r="N323" s="91"/>
      <c r="O323" s="91"/>
      <c r="P323" s="91"/>
      <c r="Q323" s="91"/>
      <c r="R323" s="91"/>
      <c r="S323" s="91"/>
      <c r="T323" s="91"/>
      <c r="U323" s="91"/>
      <c r="V323" s="91"/>
      <c r="W323" s="91"/>
      <c r="X323" s="91"/>
      <c r="Y323" s="91"/>
      <c r="Z323" s="91"/>
    </row>
    <row r="324" spans="1:26" ht="15.75" customHeight="1" x14ac:dyDescent="0.25">
      <c r="A324" s="9"/>
      <c r="B324" s="189"/>
      <c r="C324" s="91"/>
      <c r="D324" s="91"/>
      <c r="E324" s="91"/>
      <c r="F324" s="91"/>
      <c r="G324" s="91"/>
      <c r="H324" s="91"/>
      <c r="I324" s="91"/>
      <c r="J324" s="91"/>
      <c r="K324" s="91"/>
      <c r="L324" s="91"/>
      <c r="M324" s="91"/>
      <c r="N324" s="91"/>
      <c r="O324" s="91"/>
      <c r="P324" s="91"/>
      <c r="Q324" s="91"/>
      <c r="R324" s="91"/>
      <c r="S324" s="91"/>
      <c r="T324" s="91"/>
      <c r="U324" s="91"/>
      <c r="V324" s="91"/>
      <c r="W324" s="91"/>
      <c r="X324" s="91"/>
      <c r="Y324" s="91"/>
      <c r="Z324" s="91"/>
    </row>
    <row r="325" spans="1:26" ht="15.75" customHeight="1" x14ac:dyDescent="0.25">
      <c r="A325" s="9"/>
      <c r="B325" s="189"/>
      <c r="C325" s="91"/>
      <c r="D325" s="91"/>
      <c r="E325" s="91"/>
      <c r="F325" s="91"/>
      <c r="G325" s="91"/>
      <c r="H325" s="91"/>
      <c r="I325" s="91"/>
      <c r="J325" s="91"/>
      <c r="K325" s="91"/>
      <c r="L325" s="91"/>
      <c r="M325" s="91"/>
      <c r="N325" s="91"/>
      <c r="O325" s="91"/>
      <c r="P325" s="91"/>
      <c r="Q325" s="91"/>
      <c r="R325" s="91"/>
      <c r="S325" s="91"/>
      <c r="T325" s="91"/>
      <c r="U325" s="91"/>
      <c r="V325" s="91"/>
      <c r="W325" s="91"/>
      <c r="X325" s="91"/>
      <c r="Y325" s="91"/>
      <c r="Z325" s="91"/>
    </row>
    <row r="326" spans="1:26" ht="15.75" customHeight="1" x14ac:dyDescent="0.25">
      <c r="A326" s="9"/>
      <c r="B326" s="189"/>
      <c r="C326" s="91"/>
      <c r="D326" s="91"/>
      <c r="E326" s="91"/>
      <c r="F326" s="91"/>
      <c r="G326" s="91"/>
      <c r="H326" s="91"/>
      <c r="I326" s="91"/>
      <c r="J326" s="91"/>
      <c r="K326" s="91"/>
      <c r="L326" s="91"/>
      <c r="M326" s="91"/>
      <c r="N326" s="91"/>
      <c r="O326" s="91"/>
      <c r="P326" s="91"/>
      <c r="Q326" s="91"/>
      <c r="R326" s="91"/>
      <c r="S326" s="91"/>
      <c r="T326" s="91"/>
      <c r="U326" s="91"/>
      <c r="V326" s="91"/>
      <c r="W326" s="91"/>
      <c r="X326" s="91"/>
      <c r="Y326" s="91"/>
      <c r="Z326" s="91"/>
    </row>
    <row r="327" spans="1:26" ht="15.75" customHeight="1" x14ac:dyDescent="0.25">
      <c r="A327" s="9"/>
      <c r="B327" s="189"/>
      <c r="C327" s="91"/>
      <c r="D327" s="91"/>
      <c r="E327" s="91"/>
      <c r="F327" s="91"/>
      <c r="G327" s="91"/>
      <c r="H327" s="91"/>
      <c r="I327" s="91"/>
      <c r="J327" s="91"/>
      <c r="K327" s="91"/>
      <c r="L327" s="91"/>
      <c r="M327" s="91"/>
      <c r="N327" s="91"/>
      <c r="O327" s="91"/>
      <c r="P327" s="91"/>
      <c r="Q327" s="91"/>
      <c r="R327" s="91"/>
      <c r="S327" s="91"/>
      <c r="T327" s="91"/>
      <c r="U327" s="91"/>
      <c r="V327" s="91"/>
      <c r="W327" s="91"/>
      <c r="X327" s="91"/>
      <c r="Y327" s="91"/>
      <c r="Z327" s="91"/>
    </row>
    <row r="328" spans="1:26" ht="15.75" customHeight="1" x14ac:dyDescent="0.25">
      <c r="A328" s="9"/>
      <c r="B328" s="189"/>
      <c r="C328" s="91"/>
      <c r="D328" s="91"/>
      <c r="E328" s="91"/>
      <c r="F328" s="91"/>
      <c r="G328" s="91"/>
      <c r="H328" s="91"/>
      <c r="I328" s="91"/>
      <c r="J328" s="91"/>
      <c r="K328" s="91"/>
      <c r="L328" s="91"/>
      <c r="M328" s="91"/>
      <c r="N328" s="91"/>
      <c r="O328" s="91"/>
      <c r="P328" s="91"/>
      <c r="Q328" s="91"/>
      <c r="R328" s="91"/>
      <c r="S328" s="91"/>
      <c r="T328" s="91"/>
      <c r="U328" s="91"/>
      <c r="V328" s="91"/>
      <c r="W328" s="91"/>
      <c r="X328" s="91"/>
      <c r="Y328" s="91"/>
      <c r="Z328" s="91"/>
    </row>
    <row r="329" spans="1:26" ht="15.75" customHeight="1" x14ac:dyDescent="0.25">
      <c r="A329" s="9"/>
      <c r="B329" s="189"/>
      <c r="C329" s="91"/>
      <c r="D329" s="91"/>
      <c r="E329" s="91"/>
      <c r="F329" s="91"/>
      <c r="G329" s="91"/>
      <c r="H329" s="91"/>
      <c r="I329" s="91"/>
      <c r="J329" s="91"/>
      <c r="K329" s="91"/>
      <c r="L329" s="91"/>
      <c r="M329" s="91"/>
      <c r="N329" s="91"/>
      <c r="O329" s="91"/>
      <c r="P329" s="91"/>
      <c r="Q329" s="91"/>
      <c r="R329" s="91"/>
      <c r="S329" s="91"/>
      <c r="T329" s="91"/>
      <c r="U329" s="91"/>
      <c r="V329" s="91"/>
      <c r="W329" s="91"/>
      <c r="X329" s="91"/>
      <c r="Y329" s="91"/>
      <c r="Z329" s="91"/>
    </row>
    <row r="330" spans="1:26" ht="15.75" customHeight="1" x14ac:dyDescent="0.25">
      <c r="A330" s="9"/>
      <c r="B330" s="189"/>
      <c r="C330" s="91"/>
      <c r="D330" s="91"/>
      <c r="E330" s="91"/>
      <c r="F330" s="91"/>
      <c r="G330" s="91"/>
      <c r="H330" s="91"/>
      <c r="I330" s="91"/>
      <c r="J330" s="91"/>
      <c r="K330" s="91"/>
      <c r="L330" s="91"/>
      <c r="M330" s="91"/>
      <c r="N330" s="91"/>
      <c r="O330" s="91"/>
      <c r="P330" s="91"/>
      <c r="Q330" s="91"/>
      <c r="R330" s="91"/>
      <c r="S330" s="91"/>
      <c r="T330" s="91"/>
      <c r="U330" s="91"/>
      <c r="V330" s="91"/>
      <c r="W330" s="91"/>
      <c r="X330" s="91"/>
      <c r="Y330" s="91"/>
      <c r="Z330" s="91"/>
    </row>
    <row r="331" spans="1:26" ht="15.75" customHeight="1" x14ac:dyDescent="0.25">
      <c r="A331" s="9"/>
      <c r="B331" s="189"/>
      <c r="C331" s="91"/>
      <c r="D331" s="91"/>
      <c r="E331" s="91"/>
      <c r="F331" s="91"/>
      <c r="G331" s="91"/>
      <c r="H331" s="91"/>
      <c r="I331" s="91"/>
      <c r="J331" s="91"/>
      <c r="K331" s="91"/>
      <c r="L331" s="91"/>
      <c r="M331" s="91"/>
      <c r="N331" s="91"/>
      <c r="O331" s="91"/>
      <c r="P331" s="91"/>
      <c r="Q331" s="91"/>
      <c r="R331" s="91"/>
      <c r="S331" s="91"/>
      <c r="T331" s="91"/>
      <c r="U331" s="91"/>
      <c r="V331" s="91"/>
      <c r="W331" s="91"/>
      <c r="X331" s="91"/>
      <c r="Y331" s="91"/>
      <c r="Z331" s="91"/>
    </row>
    <row r="332" spans="1:26" ht="15.75" customHeight="1" x14ac:dyDescent="0.25">
      <c r="A332" s="9"/>
      <c r="B332" s="189"/>
      <c r="C332" s="91"/>
      <c r="D332" s="91"/>
      <c r="E332" s="91"/>
      <c r="F332" s="91"/>
      <c r="G332" s="91"/>
      <c r="H332" s="91"/>
      <c r="I332" s="91"/>
      <c r="J332" s="91"/>
      <c r="K332" s="91"/>
      <c r="L332" s="91"/>
      <c r="M332" s="91"/>
      <c r="N332" s="91"/>
      <c r="O332" s="91"/>
      <c r="P332" s="91"/>
      <c r="Q332" s="91"/>
      <c r="R332" s="91"/>
      <c r="S332" s="91"/>
      <c r="T332" s="91"/>
      <c r="U332" s="91"/>
      <c r="V332" s="91"/>
      <c r="W332" s="91"/>
      <c r="X332" s="91"/>
      <c r="Y332" s="91"/>
      <c r="Z332" s="91"/>
    </row>
    <row r="333" spans="1:26" ht="15.75" customHeight="1" x14ac:dyDescent="0.25">
      <c r="A333" s="9"/>
      <c r="B333" s="189"/>
      <c r="C333" s="91"/>
      <c r="D333" s="91"/>
      <c r="E333" s="91"/>
      <c r="F333" s="91"/>
      <c r="G333" s="91"/>
      <c r="H333" s="91"/>
      <c r="I333" s="91"/>
      <c r="J333" s="91"/>
      <c r="K333" s="91"/>
      <c r="L333" s="91"/>
      <c r="M333" s="91"/>
      <c r="N333" s="91"/>
      <c r="O333" s="91"/>
      <c r="P333" s="91"/>
      <c r="Q333" s="91"/>
      <c r="R333" s="91"/>
      <c r="S333" s="91"/>
      <c r="T333" s="91"/>
      <c r="U333" s="91"/>
      <c r="V333" s="91"/>
      <c r="W333" s="91"/>
      <c r="X333" s="91"/>
      <c r="Y333" s="91"/>
      <c r="Z333" s="91"/>
    </row>
    <row r="334" spans="1:26" ht="15.75" customHeight="1" x14ac:dyDescent="0.25">
      <c r="A334" s="9"/>
      <c r="B334" s="189"/>
      <c r="C334" s="91"/>
      <c r="D334" s="91"/>
      <c r="E334" s="91"/>
      <c r="F334" s="91"/>
      <c r="G334" s="91"/>
      <c r="H334" s="91"/>
      <c r="I334" s="91"/>
      <c r="J334" s="91"/>
      <c r="K334" s="91"/>
      <c r="L334" s="91"/>
      <c r="M334" s="91"/>
      <c r="N334" s="91"/>
      <c r="O334" s="91"/>
      <c r="P334" s="91"/>
      <c r="Q334" s="91"/>
      <c r="R334" s="91"/>
      <c r="S334" s="91"/>
      <c r="T334" s="91"/>
      <c r="U334" s="91"/>
      <c r="V334" s="91"/>
      <c r="W334" s="91"/>
      <c r="X334" s="91"/>
      <c r="Y334" s="91"/>
      <c r="Z334" s="91"/>
    </row>
    <row r="335" spans="1:26" ht="15.75" customHeight="1" x14ac:dyDescent="0.25">
      <c r="A335" s="9"/>
      <c r="B335" s="189"/>
      <c r="C335" s="91"/>
      <c r="D335" s="91"/>
      <c r="E335" s="91"/>
      <c r="F335" s="91"/>
      <c r="G335" s="91"/>
      <c r="H335" s="91"/>
      <c r="I335" s="91"/>
      <c r="J335" s="91"/>
      <c r="K335" s="91"/>
      <c r="L335" s="91"/>
      <c r="M335" s="91"/>
      <c r="N335" s="91"/>
      <c r="O335" s="91"/>
      <c r="P335" s="91"/>
      <c r="Q335" s="91"/>
      <c r="R335" s="91"/>
      <c r="S335" s="91"/>
      <c r="T335" s="91"/>
      <c r="U335" s="91"/>
      <c r="V335" s="91"/>
      <c r="W335" s="91"/>
      <c r="X335" s="91"/>
      <c r="Y335" s="91"/>
      <c r="Z335" s="91"/>
    </row>
    <row r="336" spans="1:26" ht="15.75" customHeight="1" x14ac:dyDescent="0.25">
      <c r="A336" s="9"/>
      <c r="B336" s="189"/>
      <c r="C336" s="91"/>
      <c r="D336" s="91"/>
      <c r="E336" s="91"/>
      <c r="F336" s="91"/>
      <c r="G336" s="91"/>
      <c r="H336" s="91"/>
      <c r="I336" s="91"/>
      <c r="J336" s="91"/>
      <c r="K336" s="91"/>
      <c r="L336" s="91"/>
      <c r="M336" s="91"/>
      <c r="N336" s="91"/>
      <c r="O336" s="91"/>
      <c r="P336" s="91"/>
      <c r="Q336" s="91"/>
      <c r="R336" s="91"/>
      <c r="S336" s="91"/>
      <c r="T336" s="91"/>
      <c r="U336" s="91"/>
      <c r="V336" s="91"/>
      <c r="W336" s="91"/>
      <c r="X336" s="91"/>
      <c r="Y336" s="91"/>
      <c r="Z336" s="91"/>
    </row>
    <row r="337" spans="1:26" ht="15.75" customHeight="1" x14ac:dyDescent="0.25">
      <c r="A337" s="9"/>
      <c r="B337" s="189"/>
      <c r="C337" s="91"/>
      <c r="D337" s="91"/>
      <c r="E337" s="91"/>
      <c r="F337" s="91"/>
      <c r="G337" s="91"/>
      <c r="H337" s="91"/>
      <c r="I337" s="91"/>
      <c r="J337" s="91"/>
      <c r="K337" s="91"/>
      <c r="L337" s="91"/>
      <c r="M337" s="91"/>
      <c r="N337" s="91"/>
      <c r="O337" s="91"/>
      <c r="P337" s="91"/>
      <c r="Q337" s="91"/>
      <c r="R337" s="91"/>
      <c r="S337" s="91"/>
      <c r="T337" s="91"/>
      <c r="U337" s="91"/>
      <c r="V337" s="91"/>
      <c r="W337" s="91"/>
      <c r="X337" s="91"/>
      <c r="Y337" s="91"/>
      <c r="Z337" s="91"/>
    </row>
    <row r="338" spans="1:26" ht="15.75" customHeight="1" x14ac:dyDescent="0.25">
      <c r="A338" s="9"/>
      <c r="B338" s="189"/>
      <c r="C338" s="91"/>
      <c r="D338" s="91"/>
      <c r="E338" s="91"/>
      <c r="F338" s="91"/>
      <c r="G338" s="91"/>
      <c r="H338" s="91"/>
      <c r="I338" s="91"/>
      <c r="J338" s="91"/>
      <c r="K338" s="91"/>
      <c r="L338" s="91"/>
      <c r="M338" s="91"/>
      <c r="N338" s="91"/>
      <c r="O338" s="91"/>
      <c r="P338" s="91"/>
      <c r="Q338" s="91"/>
      <c r="R338" s="91"/>
      <c r="S338" s="91"/>
      <c r="T338" s="91"/>
      <c r="U338" s="91"/>
      <c r="V338" s="91"/>
      <c r="W338" s="91"/>
      <c r="X338" s="91"/>
      <c r="Y338" s="91"/>
      <c r="Z338" s="91"/>
    </row>
    <row r="339" spans="1:26" ht="15.75" customHeight="1" x14ac:dyDescent="0.25">
      <c r="A339" s="9"/>
      <c r="B339" s="189"/>
      <c r="C339" s="91"/>
      <c r="D339" s="91"/>
      <c r="E339" s="91"/>
      <c r="F339" s="91"/>
      <c r="G339" s="91"/>
      <c r="H339" s="91"/>
      <c r="I339" s="91"/>
      <c r="J339" s="91"/>
      <c r="K339" s="91"/>
      <c r="L339" s="91"/>
      <c r="M339" s="91"/>
      <c r="N339" s="91"/>
      <c r="O339" s="91"/>
      <c r="P339" s="91"/>
      <c r="Q339" s="91"/>
      <c r="R339" s="91"/>
      <c r="S339" s="91"/>
      <c r="T339" s="91"/>
      <c r="U339" s="91"/>
      <c r="V339" s="91"/>
      <c r="W339" s="91"/>
      <c r="X339" s="91"/>
      <c r="Y339" s="91"/>
      <c r="Z339" s="91"/>
    </row>
    <row r="340" spans="1:26" ht="15.75" customHeight="1" x14ac:dyDescent="0.25">
      <c r="A340" s="9"/>
      <c r="B340" s="189"/>
      <c r="C340" s="91"/>
      <c r="D340" s="91"/>
      <c r="E340" s="91"/>
      <c r="F340" s="91"/>
      <c r="G340" s="91"/>
      <c r="H340" s="91"/>
      <c r="I340" s="91"/>
      <c r="J340" s="91"/>
      <c r="K340" s="91"/>
      <c r="L340" s="91"/>
      <c r="M340" s="91"/>
      <c r="N340" s="91"/>
      <c r="O340" s="91"/>
      <c r="P340" s="91"/>
      <c r="Q340" s="91"/>
      <c r="R340" s="91"/>
      <c r="S340" s="91"/>
      <c r="T340" s="91"/>
      <c r="U340" s="91"/>
      <c r="V340" s="91"/>
      <c r="W340" s="91"/>
      <c r="X340" s="91"/>
      <c r="Y340" s="91"/>
      <c r="Z340" s="91"/>
    </row>
    <row r="341" spans="1:26" ht="15.75" customHeight="1" x14ac:dyDescent="0.25">
      <c r="A341" s="9"/>
      <c r="B341" s="189"/>
      <c r="C341" s="91"/>
      <c r="D341" s="91"/>
      <c r="E341" s="91"/>
      <c r="F341" s="91"/>
      <c r="G341" s="91"/>
      <c r="H341" s="91"/>
      <c r="I341" s="91"/>
      <c r="J341" s="91"/>
      <c r="K341" s="91"/>
      <c r="L341" s="91"/>
      <c r="M341" s="91"/>
      <c r="N341" s="91"/>
      <c r="O341" s="91"/>
      <c r="P341" s="91"/>
      <c r="Q341" s="91"/>
      <c r="R341" s="91"/>
      <c r="S341" s="91"/>
      <c r="T341" s="91"/>
      <c r="U341" s="91"/>
      <c r="V341" s="91"/>
      <c r="W341" s="91"/>
      <c r="X341" s="91"/>
      <c r="Y341" s="91"/>
      <c r="Z341" s="91"/>
    </row>
    <row r="342" spans="1:26" ht="15.75" customHeight="1" x14ac:dyDescent="0.25">
      <c r="A342" s="9"/>
      <c r="B342" s="189"/>
      <c r="C342" s="91"/>
      <c r="D342" s="91"/>
      <c r="E342" s="91"/>
      <c r="F342" s="91"/>
      <c r="G342" s="91"/>
      <c r="H342" s="91"/>
      <c r="I342" s="91"/>
      <c r="J342" s="91"/>
      <c r="K342" s="91"/>
      <c r="L342" s="91"/>
      <c r="M342" s="91"/>
      <c r="N342" s="91"/>
      <c r="O342" s="91"/>
      <c r="P342" s="91"/>
      <c r="Q342" s="91"/>
      <c r="R342" s="91"/>
      <c r="S342" s="91"/>
      <c r="T342" s="91"/>
      <c r="U342" s="91"/>
      <c r="V342" s="91"/>
      <c r="W342" s="91"/>
      <c r="X342" s="91"/>
      <c r="Y342" s="91"/>
      <c r="Z342" s="91"/>
    </row>
    <row r="343" spans="1:26" ht="15.75" customHeight="1" x14ac:dyDescent="0.25">
      <c r="A343" s="9"/>
      <c r="B343" s="189"/>
      <c r="C343" s="91"/>
      <c r="D343" s="91"/>
      <c r="E343" s="91"/>
      <c r="F343" s="91"/>
      <c r="G343" s="91"/>
      <c r="H343" s="91"/>
      <c r="I343" s="91"/>
      <c r="J343" s="91"/>
      <c r="K343" s="91"/>
      <c r="L343" s="91"/>
      <c r="M343" s="91"/>
      <c r="N343" s="91"/>
      <c r="O343" s="91"/>
      <c r="P343" s="91"/>
      <c r="Q343" s="91"/>
      <c r="R343" s="91"/>
      <c r="S343" s="91"/>
      <c r="T343" s="91"/>
      <c r="U343" s="91"/>
      <c r="V343" s="91"/>
      <c r="W343" s="91"/>
      <c r="X343" s="91"/>
      <c r="Y343" s="91"/>
      <c r="Z343" s="91"/>
    </row>
    <row r="344" spans="1:26" ht="15.75" customHeight="1" x14ac:dyDescent="0.25">
      <c r="A344" s="9"/>
      <c r="B344" s="189"/>
      <c r="C344" s="91"/>
      <c r="D344" s="91"/>
      <c r="E344" s="91"/>
      <c r="F344" s="91"/>
      <c r="G344" s="91"/>
      <c r="H344" s="91"/>
      <c r="I344" s="91"/>
      <c r="J344" s="91"/>
      <c r="K344" s="91"/>
      <c r="L344" s="91"/>
      <c r="M344" s="91"/>
      <c r="N344" s="91"/>
      <c r="O344" s="91"/>
      <c r="P344" s="91"/>
      <c r="Q344" s="91"/>
      <c r="R344" s="91"/>
      <c r="S344" s="91"/>
      <c r="T344" s="91"/>
      <c r="U344" s="91"/>
      <c r="V344" s="91"/>
      <c r="W344" s="91"/>
      <c r="X344" s="91"/>
      <c r="Y344" s="91"/>
      <c r="Z344" s="91"/>
    </row>
    <row r="345" spans="1:26" ht="15.75" customHeight="1" x14ac:dyDescent="0.25">
      <c r="A345" s="9"/>
      <c r="B345" s="189"/>
      <c r="C345" s="91"/>
      <c r="D345" s="91"/>
      <c r="E345" s="91"/>
      <c r="F345" s="91"/>
      <c r="G345" s="91"/>
      <c r="H345" s="91"/>
      <c r="I345" s="91"/>
      <c r="J345" s="91"/>
      <c r="K345" s="91"/>
      <c r="L345" s="91"/>
      <c r="M345" s="91"/>
      <c r="N345" s="91"/>
      <c r="O345" s="91"/>
      <c r="P345" s="91"/>
      <c r="Q345" s="91"/>
      <c r="R345" s="91"/>
      <c r="S345" s="91"/>
      <c r="T345" s="91"/>
      <c r="U345" s="91"/>
      <c r="V345" s="91"/>
      <c r="W345" s="91"/>
      <c r="X345" s="91"/>
      <c r="Y345" s="91"/>
      <c r="Z345" s="91"/>
    </row>
    <row r="346" spans="1:26" ht="15.75" customHeight="1" x14ac:dyDescent="0.25">
      <c r="A346" s="9"/>
      <c r="B346" s="189"/>
      <c r="C346" s="91"/>
      <c r="D346" s="91"/>
      <c r="E346" s="91"/>
      <c r="F346" s="91"/>
      <c r="G346" s="91"/>
      <c r="H346" s="91"/>
      <c r="I346" s="91"/>
      <c r="J346" s="91"/>
      <c r="K346" s="91"/>
      <c r="L346" s="91"/>
      <c r="M346" s="91"/>
      <c r="N346" s="91"/>
      <c r="O346" s="91"/>
      <c r="P346" s="91"/>
      <c r="Q346" s="91"/>
      <c r="R346" s="91"/>
      <c r="S346" s="91"/>
      <c r="T346" s="91"/>
      <c r="U346" s="91"/>
      <c r="V346" s="91"/>
      <c r="W346" s="91"/>
      <c r="X346" s="91"/>
      <c r="Y346" s="91"/>
      <c r="Z346" s="91"/>
    </row>
    <row r="347" spans="1:26" ht="15.75" customHeight="1" x14ac:dyDescent="0.25">
      <c r="A347" s="9"/>
      <c r="B347" s="189"/>
      <c r="C347" s="91"/>
      <c r="D347" s="91"/>
      <c r="E347" s="91"/>
      <c r="F347" s="91"/>
      <c r="G347" s="91"/>
      <c r="H347" s="91"/>
      <c r="I347" s="91"/>
      <c r="J347" s="91"/>
      <c r="K347" s="91"/>
      <c r="L347" s="91"/>
      <c r="M347" s="91"/>
      <c r="N347" s="91"/>
      <c r="O347" s="91"/>
      <c r="P347" s="91"/>
      <c r="Q347" s="91"/>
      <c r="R347" s="91"/>
      <c r="S347" s="91"/>
      <c r="T347" s="91"/>
      <c r="U347" s="91"/>
      <c r="V347" s="91"/>
      <c r="W347" s="91"/>
      <c r="X347" s="91"/>
      <c r="Y347" s="91"/>
      <c r="Z347" s="91"/>
    </row>
    <row r="348" spans="1:26" ht="15.75" customHeight="1" x14ac:dyDescent="0.25">
      <c r="A348" s="9"/>
      <c r="B348" s="189"/>
      <c r="C348" s="91"/>
      <c r="D348" s="91"/>
      <c r="E348" s="91"/>
      <c r="F348" s="91"/>
      <c r="G348" s="91"/>
      <c r="H348" s="91"/>
      <c r="I348" s="91"/>
      <c r="J348" s="91"/>
      <c r="K348" s="91"/>
      <c r="L348" s="91"/>
      <c r="M348" s="91"/>
      <c r="N348" s="91"/>
      <c r="O348" s="91"/>
      <c r="P348" s="91"/>
      <c r="Q348" s="91"/>
      <c r="R348" s="91"/>
      <c r="S348" s="91"/>
      <c r="T348" s="91"/>
      <c r="U348" s="91"/>
      <c r="V348" s="91"/>
      <c r="W348" s="91"/>
      <c r="X348" s="91"/>
      <c r="Y348" s="91"/>
      <c r="Z348" s="91"/>
    </row>
    <row r="349" spans="1:26" ht="15.75" customHeight="1" x14ac:dyDescent="0.25">
      <c r="A349" s="9"/>
      <c r="B349" s="189"/>
      <c r="C349" s="91"/>
      <c r="D349" s="91"/>
      <c r="E349" s="91"/>
      <c r="F349" s="91"/>
      <c r="G349" s="91"/>
      <c r="H349" s="91"/>
      <c r="I349" s="91"/>
      <c r="J349" s="91"/>
      <c r="K349" s="91"/>
      <c r="L349" s="91"/>
      <c r="M349" s="91"/>
      <c r="N349" s="91"/>
      <c r="O349" s="91"/>
      <c r="P349" s="91"/>
      <c r="Q349" s="91"/>
      <c r="R349" s="91"/>
      <c r="S349" s="91"/>
      <c r="T349" s="91"/>
      <c r="U349" s="91"/>
      <c r="V349" s="91"/>
      <c r="W349" s="91"/>
      <c r="X349" s="91"/>
      <c r="Y349" s="91"/>
      <c r="Z349" s="91"/>
    </row>
    <row r="350" spans="1:26" ht="15.75" customHeight="1" x14ac:dyDescent="0.25">
      <c r="A350" s="9"/>
      <c r="B350" s="189"/>
      <c r="C350" s="91"/>
      <c r="D350" s="91"/>
      <c r="E350" s="91"/>
      <c r="F350" s="91"/>
      <c r="G350" s="91"/>
      <c r="H350" s="91"/>
      <c r="I350" s="91"/>
      <c r="J350" s="91"/>
      <c r="K350" s="91"/>
      <c r="L350" s="91"/>
      <c r="M350" s="91"/>
      <c r="N350" s="91"/>
      <c r="O350" s="91"/>
      <c r="P350" s="91"/>
      <c r="Q350" s="91"/>
      <c r="R350" s="91"/>
      <c r="S350" s="91"/>
      <c r="T350" s="91"/>
      <c r="U350" s="91"/>
      <c r="V350" s="91"/>
      <c r="W350" s="91"/>
      <c r="X350" s="91"/>
      <c r="Y350" s="91"/>
      <c r="Z350" s="91"/>
    </row>
    <row r="351" spans="1:26" ht="15.75" customHeight="1" x14ac:dyDescent="0.25">
      <c r="A351" s="9"/>
      <c r="B351" s="189"/>
      <c r="C351" s="91"/>
      <c r="D351" s="91"/>
      <c r="E351" s="91"/>
      <c r="F351" s="91"/>
      <c r="G351" s="91"/>
      <c r="H351" s="91"/>
      <c r="I351" s="91"/>
      <c r="J351" s="91"/>
      <c r="K351" s="91"/>
      <c r="L351" s="91"/>
      <c r="M351" s="91"/>
      <c r="N351" s="91"/>
      <c r="O351" s="91"/>
      <c r="P351" s="91"/>
      <c r="Q351" s="91"/>
      <c r="R351" s="91"/>
      <c r="S351" s="91"/>
      <c r="T351" s="91"/>
      <c r="U351" s="91"/>
      <c r="V351" s="91"/>
      <c r="W351" s="91"/>
      <c r="X351" s="91"/>
      <c r="Y351" s="91"/>
      <c r="Z351" s="91"/>
    </row>
    <row r="352" spans="1:26" ht="15.75" customHeight="1" x14ac:dyDescent="0.25">
      <c r="A352" s="9"/>
      <c r="B352" s="189"/>
      <c r="C352" s="91"/>
      <c r="D352" s="91"/>
      <c r="E352" s="91"/>
      <c r="F352" s="91"/>
      <c r="G352" s="91"/>
      <c r="H352" s="91"/>
      <c r="I352" s="91"/>
      <c r="J352" s="91"/>
      <c r="K352" s="91"/>
      <c r="L352" s="91"/>
      <c r="M352" s="91"/>
      <c r="N352" s="91"/>
      <c r="O352" s="91"/>
      <c r="P352" s="91"/>
      <c r="Q352" s="91"/>
      <c r="R352" s="91"/>
      <c r="S352" s="91"/>
      <c r="T352" s="91"/>
      <c r="U352" s="91"/>
      <c r="V352" s="91"/>
      <c r="W352" s="91"/>
      <c r="X352" s="91"/>
      <c r="Y352" s="91"/>
      <c r="Z352" s="91"/>
    </row>
    <row r="353" spans="1:26" ht="15.75" customHeight="1" x14ac:dyDescent="0.25">
      <c r="A353" s="9"/>
      <c r="B353" s="189"/>
      <c r="C353" s="91"/>
      <c r="D353" s="91"/>
      <c r="E353" s="91"/>
      <c r="F353" s="91"/>
      <c r="G353" s="91"/>
      <c r="H353" s="91"/>
      <c r="I353" s="91"/>
      <c r="J353" s="91"/>
      <c r="K353" s="91"/>
      <c r="L353" s="91"/>
      <c r="M353" s="91"/>
      <c r="N353" s="91"/>
      <c r="O353" s="91"/>
      <c r="P353" s="91"/>
      <c r="Q353" s="91"/>
      <c r="R353" s="91"/>
      <c r="S353" s="91"/>
      <c r="T353" s="91"/>
      <c r="U353" s="91"/>
      <c r="V353" s="91"/>
      <c r="W353" s="91"/>
      <c r="X353" s="91"/>
      <c r="Y353" s="91"/>
      <c r="Z353" s="91"/>
    </row>
    <row r="354" spans="1:26" ht="15.75" customHeight="1" x14ac:dyDescent="0.25">
      <c r="A354" s="9"/>
      <c r="B354" s="189"/>
      <c r="C354" s="91"/>
      <c r="D354" s="91"/>
      <c r="E354" s="91"/>
      <c r="F354" s="91"/>
      <c r="G354" s="91"/>
      <c r="H354" s="91"/>
      <c r="I354" s="91"/>
      <c r="J354" s="91"/>
      <c r="K354" s="91"/>
      <c r="L354" s="91"/>
      <c r="M354" s="91"/>
      <c r="N354" s="91"/>
      <c r="O354" s="91"/>
      <c r="P354" s="91"/>
      <c r="Q354" s="91"/>
      <c r="R354" s="91"/>
      <c r="S354" s="91"/>
      <c r="T354" s="91"/>
      <c r="U354" s="91"/>
      <c r="V354" s="91"/>
      <c r="W354" s="91"/>
      <c r="X354" s="91"/>
      <c r="Y354" s="91"/>
      <c r="Z354" s="91"/>
    </row>
    <row r="355" spans="1:26" ht="15.75" customHeight="1" x14ac:dyDescent="0.25">
      <c r="A355" s="9"/>
      <c r="B355" s="189"/>
      <c r="C355" s="91"/>
      <c r="D355" s="91"/>
      <c r="E355" s="91"/>
      <c r="F355" s="91"/>
      <c r="G355" s="91"/>
      <c r="H355" s="91"/>
      <c r="I355" s="91"/>
      <c r="J355" s="91"/>
      <c r="K355" s="91"/>
      <c r="L355" s="91"/>
      <c r="M355" s="91"/>
      <c r="N355" s="91"/>
      <c r="O355" s="91"/>
      <c r="P355" s="91"/>
      <c r="Q355" s="91"/>
      <c r="R355" s="91"/>
      <c r="S355" s="91"/>
      <c r="T355" s="91"/>
      <c r="U355" s="91"/>
      <c r="V355" s="91"/>
      <c r="W355" s="91"/>
      <c r="X355" s="91"/>
      <c r="Y355" s="91"/>
      <c r="Z355" s="91"/>
    </row>
    <row r="356" spans="1:26" ht="15.75" customHeight="1" x14ac:dyDescent="0.25">
      <c r="A356" s="9"/>
      <c r="B356" s="189"/>
      <c r="C356" s="91"/>
      <c r="D356" s="91"/>
      <c r="E356" s="91"/>
      <c r="F356" s="91"/>
      <c r="G356" s="91"/>
      <c r="H356" s="91"/>
      <c r="I356" s="91"/>
      <c r="J356" s="91"/>
      <c r="K356" s="91"/>
      <c r="L356" s="91"/>
      <c r="M356" s="91"/>
      <c r="N356" s="91"/>
      <c r="O356" s="91"/>
      <c r="P356" s="91"/>
      <c r="Q356" s="91"/>
      <c r="R356" s="91"/>
      <c r="S356" s="91"/>
      <c r="T356" s="91"/>
      <c r="U356" s="91"/>
      <c r="V356" s="91"/>
      <c r="W356" s="91"/>
      <c r="X356" s="91"/>
      <c r="Y356" s="91"/>
      <c r="Z356" s="91"/>
    </row>
    <row r="357" spans="1:26" ht="15.75" customHeight="1" x14ac:dyDescent="0.25">
      <c r="A357" s="9"/>
      <c r="B357" s="189"/>
      <c r="C357" s="91"/>
      <c r="D357" s="91"/>
      <c r="E357" s="91"/>
      <c r="F357" s="91"/>
      <c r="G357" s="91"/>
      <c r="H357" s="91"/>
      <c r="I357" s="91"/>
      <c r="J357" s="91"/>
      <c r="K357" s="91"/>
      <c r="L357" s="91"/>
      <c r="M357" s="91"/>
      <c r="N357" s="91"/>
      <c r="O357" s="91"/>
      <c r="P357" s="91"/>
      <c r="Q357" s="91"/>
      <c r="R357" s="91"/>
      <c r="S357" s="91"/>
      <c r="T357" s="91"/>
      <c r="U357" s="91"/>
      <c r="V357" s="91"/>
      <c r="W357" s="91"/>
      <c r="X357" s="91"/>
      <c r="Y357" s="91"/>
      <c r="Z357" s="91"/>
    </row>
    <row r="358" spans="1:26" ht="15.75" customHeight="1" x14ac:dyDescent="0.25">
      <c r="A358" s="9"/>
      <c r="B358" s="189"/>
      <c r="C358" s="91"/>
      <c r="D358" s="91"/>
      <c r="E358" s="91"/>
      <c r="F358" s="91"/>
      <c r="G358" s="91"/>
      <c r="H358" s="91"/>
      <c r="I358" s="91"/>
      <c r="J358" s="91"/>
      <c r="K358" s="91"/>
      <c r="L358" s="91"/>
      <c r="M358" s="91"/>
      <c r="N358" s="91"/>
      <c r="O358" s="91"/>
      <c r="P358" s="91"/>
      <c r="Q358" s="91"/>
      <c r="R358" s="91"/>
      <c r="S358" s="91"/>
      <c r="T358" s="91"/>
      <c r="U358" s="91"/>
      <c r="V358" s="91"/>
      <c r="W358" s="91"/>
      <c r="X358" s="91"/>
      <c r="Y358" s="91"/>
      <c r="Z358" s="91"/>
    </row>
    <row r="359" spans="1:26" ht="15.75" customHeight="1" x14ac:dyDescent="0.25">
      <c r="A359" s="9"/>
      <c r="B359" s="189"/>
      <c r="C359" s="91"/>
      <c r="D359" s="91"/>
      <c r="E359" s="91"/>
      <c r="F359" s="91"/>
      <c r="G359" s="91"/>
      <c r="H359" s="91"/>
      <c r="I359" s="91"/>
      <c r="J359" s="91"/>
      <c r="K359" s="91"/>
      <c r="L359" s="91"/>
      <c r="M359" s="91"/>
      <c r="N359" s="91"/>
      <c r="O359" s="91"/>
      <c r="P359" s="91"/>
      <c r="Q359" s="91"/>
      <c r="R359" s="91"/>
      <c r="S359" s="91"/>
      <c r="T359" s="91"/>
      <c r="U359" s="91"/>
      <c r="V359" s="91"/>
      <c r="W359" s="91"/>
      <c r="X359" s="91"/>
      <c r="Y359" s="91"/>
      <c r="Z359" s="91"/>
    </row>
    <row r="360" spans="1:26" ht="15.75" customHeight="1" x14ac:dyDescent="0.25">
      <c r="A360" s="9"/>
      <c r="B360" s="189"/>
      <c r="C360" s="91"/>
      <c r="D360" s="91"/>
      <c r="E360" s="91"/>
      <c r="F360" s="91"/>
      <c r="G360" s="91"/>
      <c r="H360" s="91"/>
      <c r="I360" s="91"/>
      <c r="J360" s="91"/>
      <c r="K360" s="91"/>
      <c r="L360" s="91"/>
      <c r="M360" s="91"/>
      <c r="N360" s="91"/>
      <c r="O360" s="91"/>
      <c r="P360" s="91"/>
      <c r="Q360" s="91"/>
      <c r="R360" s="91"/>
      <c r="S360" s="91"/>
      <c r="T360" s="91"/>
      <c r="U360" s="91"/>
      <c r="V360" s="91"/>
      <c r="W360" s="91"/>
      <c r="X360" s="91"/>
      <c r="Y360" s="91"/>
      <c r="Z360" s="91"/>
    </row>
    <row r="361" spans="1:26" ht="15.75" customHeight="1" x14ac:dyDescent="0.25">
      <c r="A361" s="9"/>
      <c r="B361" s="189"/>
      <c r="C361" s="91"/>
      <c r="D361" s="91"/>
      <c r="E361" s="91"/>
      <c r="F361" s="91"/>
      <c r="G361" s="91"/>
      <c r="H361" s="91"/>
      <c r="I361" s="91"/>
      <c r="J361" s="91"/>
      <c r="K361" s="91"/>
      <c r="L361" s="91"/>
      <c r="M361" s="91"/>
      <c r="N361" s="91"/>
      <c r="O361" s="91"/>
      <c r="P361" s="91"/>
      <c r="Q361" s="91"/>
      <c r="R361" s="91"/>
      <c r="S361" s="91"/>
      <c r="T361" s="91"/>
      <c r="U361" s="91"/>
      <c r="V361" s="91"/>
      <c r="W361" s="91"/>
      <c r="X361" s="91"/>
      <c r="Y361" s="91"/>
      <c r="Z361" s="91"/>
    </row>
    <row r="362" spans="1:26" ht="15.75" customHeight="1" x14ac:dyDescent="0.25">
      <c r="A362" s="9"/>
      <c r="B362" s="189"/>
      <c r="C362" s="91"/>
      <c r="D362" s="91"/>
      <c r="E362" s="91"/>
      <c r="F362" s="91"/>
      <c r="G362" s="91"/>
      <c r="H362" s="91"/>
      <c r="I362" s="91"/>
      <c r="J362" s="91"/>
      <c r="K362" s="91"/>
      <c r="L362" s="91"/>
      <c r="M362" s="91"/>
      <c r="N362" s="91"/>
      <c r="O362" s="91"/>
      <c r="P362" s="91"/>
      <c r="Q362" s="91"/>
      <c r="R362" s="91"/>
      <c r="S362" s="91"/>
      <c r="T362" s="91"/>
      <c r="U362" s="91"/>
      <c r="V362" s="91"/>
      <c r="W362" s="91"/>
      <c r="X362" s="91"/>
      <c r="Y362" s="91"/>
      <c r="Z362" s="91"/>
    </row>
    <row r="363" spans="1:26" ht="15.75" customHeight="1" x14ac:dyDescent="0.25">
      <c r="A363" s="9"/>
      <c r="B363" s="189"/>
      <c r="C363" s="91"/>
      <c r="D363" s="91"/>
      <c r="E363" s="91"/>
      <c r="F363" s="91"/>
      <c r="G363" s="91"/>
      <c r="H363" s="91"/>
      <c r="I363" s="91"/>
      <c r="J363" s="91"/>
      <c r="K363" s="91"/>
      <c r="L363" s="91"/>
      <c r="M363" s="91"/>
      <c r="N363" s="91"/>
      <c r="O363" s="91"/>
      <c r="P363" s="91"/>
      <c r="Q363" s="91"/>
      <c r="R363" s="91"/>
      <c r="S363" s="91"/>
      <c r="T363" s="91"/>
      <c r="U363" s="91"/>
      <c r="V363" s="91"/>
      <c r="W363" s="91"/>
      <c r="X363" s="91"/>
      <c r="Y363" s="91"/>
      <c r="Z363" s="91"/>
    </row>
    <row r="364" spans="1:26" ht="15.75" customHeight="1" x14ac:dyDescent="0.25">
      <c r="A364" s="9"/>
      <c r="B364" s="189"/>
      <c r="C364" s="91"/>
      <c r="D364" s="91"/>
      <c r="E364" s="91"/>
      <c r="F364" s="91"/>
      <c r="G364" s="91"/>
      <c r="H364" s="91"/>
      <c r="I364" s="91"/>
      <c r="J364" s="91"/>
      <c r="K364" s="91"/>
      <c r="L364" s="91"/>
      <c r="M364" s="91"/>
      <c r="N364" s="91"/>
      <c r="O364" s="91"/>
      <c r="P364" s="91"/>
      <c r="Q364" s="91"/>
      <c r="R364" s="91"/>
      <c r="S364" s="91"/>
      <c r="T364" s="91"/>
      <c r="U364" s="91"/>
      <c r="V364" s="91"/>
      <c r="W364" s="91"/>
      <c r="X364" s="91"/>
      <c r="Y364" s="91"/>
      <c r="Z364" s="91"/>
    </row>
    <row r="365" spans="1:26" ht="15.75" customHeight="1" x14ac:dyDescent="0.25">
      <c r="A365" s="9"/>
      <c r="B365" s="189"/>
      <c r="C365" s="91"/>
      <c r="D365" s="91"/>
      <c r="E365" s="91"/>
      <c r="F365" s="91"/>
      <c r="G365" s="91"/>
      <c r="H365" s="91"/>
      <c r="I365" s="91"/>
      <c r="J365" s="91"/>
      <c r="K365" s="91"/>
      <c r="L365" s="91"/>
      <c r="M365" s="91"/>
      <c r="N365" s="91"/>
      <c r="O365" s="91"/>
      <c r="P365" s="91"/>
      <c r="Q365" s="91"/>
      <c r="R365" s="91"/>
      <c r="S365" s="91"/>
      <c r="T365" s="91"/>
      <c r="U365" s="91"/>
      <c r="V365" s="91"/>
      <c r="W365" s="91"/>
      <c r="X365" s="91"/>
      <c r="Y365" s="91"/>
      <c r="Z365" s="91"/>
    </row>
    <row r="366" spans="1:26" ht="15.75" customHeight="1" x14ac:dyDescent="0.25">
      <c r="A366" s="9"/>
      <c r="B366" s="189"/>
      <c r="C366" s="91"/>
      <c r="D366" s="91"/>
      <c r="E366" s="91"/>
      <c r="F366" s="91"/>
      <c r="G366" s="91"/>
      <c r="H366" s="91"/>
      <c r="I366" s="91"/>
      <c r="J366" s="91"/>
      <c r="K366" s="91"/>
      <c r="L366" s="91"/>
      <c r="M366" s="91"/>
      <c r="N366" s="91"/>
      <c r="O366" s="91"/>
      <c r="P366" s="91"/>
      <c r="Q366" s="91"/>
      <c r="R366" s="91"/>
      <c r="S366" s="91"/>
      <c r="T366" s="91"/>
      <c r="U366" s="91"/>
      <c r="V366" s="91"/>
      <c r="W366" s="91"/>
      <c r="X366" s="91"/>
      <c r="Y366" s="91"/>
      <c r="Z366" s="91"/>
    </row>
    <row r="367" spans="1:26" ht="15.75" customHeight="1" x14ac:dyDescent="0.25">
      <c r="A367" s="9"/>
      <c r="B367" s="189"/>
      <c r="C367" s="91"/>
      <c r="D367" s="91"/>
      <c r="E367" s="91"/>
      <c r="F367" s="91"/>
      <c r="G367" s="91"/>
      <c r="H367" s="91"/>
      <c r="I367" s="91"/>
      <c r="J367" s="91"/>
      <c r="K367" s="91"/>
      <c r="L367" s="91"/>
      <c r="M367" s="91"/>
      <c r="N367" s="91"/>
      <c r="O367" s="91"/>
      <c r="P367" s="91"/>
      <c r="Q367" s="91"/>
      <c r="R367" s="91"/>
      <c r="S367" s="91"/>
      <c r="T367" s="91"/>
      <c r="U367" s="91"/>
      <c r="V367" s="91"/>
      <c r="W367" s="91"/>
      <c r="X367" s="91"/>
      <c r="Y367" s="91"/>
      <c r="Z367" s="91"/>
    </row>
    <row r="368" spans="1:26" ht="15.75" customHeight="1" x14ac:dyDescent="0.25">
      <c r="A368" s="9"/>
      <c r="B368" s="189"/>
      <c r="C368" s="91"/>
      <c r="D368" s="91"/>
      <c r="E368" s="91"/>
      <c r="F368" s="91"/>
      <c r="G368" s="91"/>
      <c r="H368" s="91"/>
      <c r="I368" s="91"/>
      <c r="J368" s="91"/>
      <c r="K368" s="91"/>
      <c r="L368" s="91"/>
      <c r="M368" s="91"/>
      <c r="N368" s="91"/>
      <c r="O368" s="91"/>
      <c r="P368" s="91"/>
      <c r="Q368" s="91"/>
      <c r="R368" s="91"/>
      <c r="S368" s="91"/>
      <c r="T368" s="91"/>
      <c r="U368" s="91"/>
      <c r="V368" s="91"/>
      <c r="W368" s="91"/>
      <c r="X368" s="91"/>
      <c r="Y368" s="91"/>
      <c r="Z368" s="91"/>
    </row>
    <row r="369" spans="1:26" ht="15.75" customHeight="1" x14ac:dyDescent="0.25">
      <c r="A369" s="9"/>
      <c r="B369" s="189"/>
      <c r="C369" s="91"/>
      <c r="D369" s="91"/>
      <c r="E369" s="91"/>
      <c r="F369" s="91"/>
      <c r="G369" s="91"/>
      <c r="H369" s="91"/>
      <c r="I369" s="91"/>
      <c r="J369" s="91"/>
      <c r="K369" s="91"/>
      <c r="L369" s="91"/>
      <c r="M369" s="91"/>
      <c r="N369" s="91"/>
      <c r="O369" s="91"/>
      <c r="P369" s="91"/>
      <c r="Q369" s="91"/>
      <c r="R369" s="91"/>
      <c r="S369" s="91"/>
      <c r="T369" s="91"/>
      <c r="U369" s="91"/>
      <c r="V369" s="91"/>
      <c r="W369" s="91"/>
      <c r="X369" s="91"/>
      <c r="Y369" s="91"/>
      <c r="Z369" s="91"/>
    </row>
    <row r="370" spans="1:26" ht="15.75" customHeight="1" x14ac:dyDescent="0.25">
      <c r="A370" s="9"/>
      <c r="B370" s="189"/>
      <c r="C370" s="91"/>
      <c r="D370" s="91"/>
      <c r="E370" s="91"/>
      <c r="F370" s="91"/>
      <c r="G370" s="91"/>
      <c r="H370" s="91"/>
      <c r="I370" s="91"/>
      <c r="J370" s="91"/>
      <c r="K370" s="91"/>
      <c r="L370" s="91"/>
      <c r="M370" s="91"/>
      <c r="N370" s="91"/>
      <c r="O370" s="91"/>
      <c r="P370" s="91"/>
      <c r="Q370" s="91"/>
      <c r="R370" s="91"/>
      <c r="S370" s="91"/>
      <c r="T370" s="91"/>
      <c r="U370" s="91"/>
      <c r="V370" s="91"/>
      <c r="W370" s="91"/>
      <c r="X370" s="91"/>
      <c r="Y370" s="91"/>
      <c r="Z370" s="91"/>
    </row>
    <row r="371" spans="1:26" ht="15.75" customHeight="1" x14ac:dyDescent="0.25">
      <c r="A371" s="9"/>
      <c r="B371" s="189"/>
      <c r="C371" s="91"/>
      <c r="D371" s="91"/>
      <c r="E371" s="91"/>
      <c r="F371" s="91"/>
      <c r="G371" s="91"/>
      <c r="H371" s="91"/>
      <c r="I371" s="91"/>
      <c r="J371" s="91"/>
      <c r="K371" s="91"/>
      <c r="L371" s="91"/>
      <c r="M371" s="91"/>
      <c r="N371" s="91"/>
      <c r="O371" s="91"/>
      <c r="P371" s="91"/>
      <c r="Q371" s="91"/>
      <c r="R371" s="91"/>
      <c r="S371" s="91"/>
      <c r="T371" s="91"/>
      <c r="U371" s="91"/>
      <c r="V371" s="91"/>
      <c r="W371" s="91"/>
      <c r="X371" s="91"/>
      <c r="Y371" s="91"/>
      <c r="Z371" s="91"/>
    </row>
    <row r="372" spans="1:26" ht="15.75" customHeight="1" x14ac:dyDescent="0.25">
      <c r="A372" s="9"/>
      <c r="B372" s="189"/>
      <c r="C372" s="91"/>
      <c r="D372" s="91"/>
      <c r="E372" s="91"/>
      <c r="F372" s="91"/>
      <c r="G372" s="91"/>
      <c r="H372" s="91"/>
      <c r="I372" s="91"/>
      <c r="J372" s="91"/>
      <c r="K372" s="91"/>
      <c r="L372" s="91"/>
      <c r="M372" s="91"/>
      <c r="N372" s="91"/>
      <c r="O372" s="91"/>
      <c r="P372" s="91"/>
      <c r="Q372" s="91"/>
      <c r="R372" s="91"/>
      <c r="S372" s="91"/>
      <c r="T372" s="91"/>
      <c r="U372" s="91"/>
      <c r="V372" s="91"/>
      <c r="W372" s="91"/>
      <c r="X372" s="91"/>
      <c r="Y372" s="91"/>
      <c r="Z372" s="91"/>
    </row>
    <row r="373" spans="1:26" ht="15.75" customHeight="1" x14ac:dyDescent="0.25">
      <c r="A373" s="9"/>
      <c r="B373" s="189"/>
      <c r="C373" s="91"/>
      <c r="D373" s="91"/>
      <c r="E373" s="91"/>
      <c r="F373" s="91"/>
      <c r="G373" s="91"/>
      <c r="H373" s="91"/>
      <c r="I373" s="91"/>
      <c r="J373" s="91"/>
      <c r="K373" s="91"/>
      <c r="L373" s="91"/>
      <c r="M373" s="91"/>
      <c r="N373" s="91"/>
      <c r="O373" s="91"/>
      <c r="P373" s="91"/>
      <c r="Q373" s="91"/>
      <c r="R373" s="91"/>
      <c r="S373" s="91"/>
      <c r="T373" s="91"/>
      <c r="U373" s="91"/>
      <c r="V373" s="91"/>
      <c r="W373" s="91"/>
      <c r="X373" s="91"/>
      <c r="Y373" s="91"/>
      <c r="Z373" s="91"/>
    </row>
    <row r="374" spans="1:26" ht="15.75" customHeight="1" x14ac:dyDescent="0.25">
      <c r="A374" s="9"/>
      <c r="B374" s="189"/>
      <c r="C374" s="91"/>
      <c r="D374" s="91"/>
      <c r="E374" s="91"/>
      <c r="F374" s="91"/>
      <c r="G374" s="91"/>
      <c r="H374" s="91"/>
      <c r="I374" s="91"/>
      <c r="J374" s="91"/>
      <c r="K374" s="91"/>
      <c r="L374" s="91"/>
      <c r="M374" s="91"/>
      <c r="N374" s="91"/>
      <c r="O374" s="91"/>
      <c r="P374" s="91"/>
      <c r="Q374" s="91"/>
      <c r="R374" s="91"/>
      <c r="S374" s="91"/>
      <c r="T374" s="91"/>
      <c r="U374" s="91"/>
      <c r="V374" s="91"/>
      <c r="W374" s="91"/>
      <c r="X374" s="91"/>
      <c r="Y374" s="91"/>
      <c r="Z374" s="91"/>
    </row>
    <row r="375" spans="1:26" ht="15.75" customHeight="1" x14ac:dyDescent="0.25">
      <c r="A375" s="9"/>
      <c r="B375" s="189"/>
      <c r="C375" s="91"/>
      <c r="D375" s="91"/>
      <c r="E375" s="91"/>
      <c r="F375" s="91"/>
      <c r="G375" s="91"/>
      <c r="H375" s="91"/>
      <c r="I375" s="91"/>
      <c r="J375" s="91"/>
      <c r="K375" s="91"/>
      <c r="L375" s="91"/>
      <c r="M375" s="91"/>
      <c r="N375" s="91"/>
      <c r="O375" s="91"/>
      <c r="P375" s="91"/>
      <c r="Q375" s="91"/>
      <c r="R375" s="91"/>
      <c r="S375" s="91"/>
      <c r="T375" s="91"/>
      <c r="U375" s="91"/>
      <c r="V375" s="91"/>
      <c r="W375" s="91"/>
      <c r="X375" s="91"/>
      <c r="Y375" s="91"/>
      <c r="Z375" s="91"/>
    </row>
    <row r="376" spans="1:26" ht="15.75" customHeight="1" x14ac:dyDescent="0.25">
      <c r="A376" s="9"/>
      <c r="B376" s="189"/>
      <c r="C376" s="91"/>
      <c r="D376" s="91"/>
      <c r="E376" s="91"/>
      <c r="F376" s="91"/>
      <c r="G376" s="91"/>
      <c r="H376" s="91"/>
      <c r="I376" s="91"/>
      <c r="J376" s="91"/>
      <c r="K376" s="91"/>
      <c r="L376" s="91"/>
      <c r="M376" s="91"/>
      <c r="N376" s="91"/>
      <c r="O376" s="91"/>
      <c r="P376" s="91"/>
      <c r="Q376" s="91"/>
      <c r="R376" s="91"/>
      <c r="S376" s="91"/>
      <c r="T376" s="91"/>
      <c r="U376" s="91"/>
      <c r="V376" s="91"/>
      <c r="W376" s="91"/>
      <c r="X376" s="91"/>
      <c r="Y376" s="91"/>
      <c r="Z376" s="91"/>
    </row>
    <row r="377" spans="1:26" ht="15.75" customHeight="1" x14ac:dyDescent="0.25">
      <c r="A377" s="9"/>
      <c r="B377" s="189"/>
      <c r="C377" s="91"/>
      <c r="D377" s="91"/>
      <c r="E377" s="91"/>
      <c r="F377" s="91"/>
      <c r="G377" s="91"/>
      <c r="H377" s="91"/>
      <c r="I377" s="91"/>
      <c r="J377" s="91"/>
      <c r="K377" s="91"/>
      <c r="L377" s="91"/>
      <c r="M377" s="91"/>
      <c r="N377" s="91"/>
      <c r="O377" s="91"/>
      <c r="P377" s="91"/>
      <c r="Q377" s="91"/>
      <c r="R377" s="91"/>
      <c r="S377" s="91"/>
      <c r="T377" s="91"/>
      <c r="U377" s="91"/>
      <c r="V377" s="91"/>
      <c r="W377" s="91"/>
      <c r="X377" s="91"/>
      <c r="Y377" s="91"/>
      <c r="Z377" s="91"/>
    </row>
    <row r="378" spans="1:26" ht="15.75" customHeight="1" x14ac:dyDescent="0.25">
      <c r="A378" s="9"/>
      <c r="B378" s="189"/>
      <c r="C378" s="91"/>
      <c r="D378" s="91"/>
      <c r="E378" s="91"/>
      <c r="F378" s="91"/>
      <c r="G378" s="91"/>
      <c r="H378" s="91"/>
      <c r="I378" s="91"/>
      <c r="J378" s="91"/>
      <c r="K378" s="91"/>
      <c r="L378" s="91"/>
      <c r="M378" s="91"/>
      <c r="N378" s="91"/>
      <c r="O378" s="91"/>
      <c r="P378" s="91"/>
      <c r="Q378" s="91"/>
      <c r="R378" s="91"/>
      <c r="S378" s="91"/>
      <c r="T378" s="91"/>
      <c r="U378" s="91"/>
      <c r="V378" s="91"/>
      <c r="W378" s="91"/>
      <c r="X378" s="91"/>
      <c r="Y378" s="91"/>
      <c r="Z378" s="91"/>
    </row>
    <row r="379" spans="1:26" ht="15.75" customHeight="1" x14ac:dyDescent="0.25">
      <c r="A379" s="9"/>
      <c r="B379" s="189"/>
      <c r="C379" s="91"/>
      <c r="D379" s="91"/>
      <c r="E379" s="91"/>
      <c r="F379" s="91"/>
      <c r="G379" s="91"/>
      <c r="H379" s="91"/>
      <c r="I379" s="91"/>
      <c r="J379" s="91"/>
      <c r="K379" s="91"/>
      <c r="L379" s="91"/>
      <c r="M379" s="91"/>
      <c r="N379" s="91"/>
      <c r="O379" s="91"/>
      <c r="P379" s="91"/>
      <c r="Q379" s="91"/>
      <c r="R379" s="91"/>
      <c r="S379" s="91"/>
      <c r="T379" s="91"/>
      <c r="U379" s="91"/>
      <c r="V379" s="91"/>
      <c r="W379" s="91"/>
      <c r="X379" s="91"/>
      <c r="Y379" s="91"/>
      <c r="Z379" s="91"/>
    </row>
    <row r="380" spans="1:26" ht="15.75" customHeight="1" x14ac:dyDescent="0.25">
      <c r="A380" s="9"/>
      <c r="B380" s="189"/>
      <c r="C380" s="91"/>
      <c r="D380" s="91"/>
      <c r="E380" s="91"/>
      <c r="F380" s="91"/>
      <c r="G380" s="91"/>
      <c r="H380" s="91"/>
      <c r="I380" s="91"/>
      <c r="J380" s="91"/>
      <c r="K380" s="91"/>
      <c r="L380" s="91"/>
      <c r="M380" s="91"/>
      <c r="N380" s="91"/>
      <c r="O380" s="91"/>
      <c r="P380" s="91"/>
      <c r="Q380" s="91"/>
      <c r="R380" s="91"/>
      <c r="S380" s="91"/>
      <c r="T380" s="91"/>
      <c r="U380" s="91"/>
      <c r="V380" s="91"/>
      <c r="W380" s="91"/>
      <c r="X380" s="91"/>
      <c r="Y380" s="91"/>
      <c r="Z380" s="91"/>
    </row>
    <row r="381" spans="1:26" ht="15.75" customHeight="1" x14ac:dyDescent="0.25">
      <c r="A381" s="9"/>
      <c r="B381" s="189"/>
      <c r="C381" s="91"/>
      <c r="D381" s="91"/>
      <c r="E381" s="91"/>
      <c r="F381" s="91"/>
      <c r="G381" s="91"/>
      <c r="H381" s="91"/>
      <c r="I381" s="91"/>
      <c r="J381" s="91"/>
      <c r="K381" s="91"/>
      <c r="L381" s="91"/>
      <c r="M381" s="91"/>
      <c r="N381" s="91"/>
      <c r="O381" s="91"/>
      <c r="P381" s="91"/>
      <c r="Q381" s="91"/>
      <c r="R381" s="91"/>
      <c r="S381" s="91"/>
      <c r="T381" s="91"/>
      <c r="U381" s="91"/>
      <c r="V381" s="91"/>
      <c r="W381" s="91"/>
      <c r="X381" s="91"/>
      <c r="Y381" s="91"/>
      <c r="Z381" s="91"/>
    </row>
    <row r="382" spans="1:26" ht="15.75" customHeight="1" x14ac:dyDescent="0.25">
      <c r="A382" s="9"/>
      <c r="B382" s="189"/>
      <c r="C382" s="91"/>
      <c r="D382" s="91"/>
      <c r="E382" s="91"/>
      <c r="F382" s="91"/>
      <c r="G382" s="91"/>
      <c r="H382" s="91"/>
      <c r="I382" s="91"/>
      <c r="J382" s="91"/>
      <c r="K382" s="91"/>
      <c r="L382" s="91"/>
      <c r="M382" s="91"/>
      <c r="N382" s="91"/>
      <c r="O382" s="91"/>
      <c r="P382" s="91"/>
      <c r="Q382" s="91"/>
      <c r="R382" s="91"/>
      <c r="S382" s="91"/>
      <c r="T382" s="91"/>
      <c r="U382" s="91"/>
      <c r="V382" s="91"/>
      <c r="W382" s="91"/>
      <c r="X382" s="91"/>
      <c r="Y382" s="91"/>
      <c r="Z382" s="91"/>
    </row>
    <row r="383" spans="1:26" ht="15.75" customHeight="1" x14ac:dyDescent="0.25">
      <c r="A383" s="9"/>
      <c r="B383" s="189"/>
      <c r="C383" s="91"/>
      <c r="D383" s="91"/>
      <c r="E383" s="91"/>
      <c r="F383" s="91"/>
      <c r="G383" s="91"/>
      <c r="H383" s="91"/>
      <c r="I383" s="91"/>
      <c r="J383" s="91"/>
      <c r="K383" s="91"/>
      <c r="L383" s="91"/>
      <c r="M383" s="91"/>
      <c r="N383" s="91"/>
      <c r="O383" s="91"/>
      <c r="P383" s="91"/>
      <c r="Q383" s="91"/>
      <c r="R383" s="91"/>
      <c r="S383" s="91"/>
      <c r="T383" s="91"/>
      <c r="U383" s="91"/>
      <c r="V383" s="91"/>
      <c r="W383" s="91"/>
      <c r="X383" s="91"/>
      <c r="Y383" s="91"/>
      <c r="Z383" s="91"/>
    </row>
    <row r="384" spans="1:26" ht="15.75" customHeight="1" x14ac:dyDescent="0.25">
      <c r="A384" s="9"/>
      <c r="B384" s="189"/>
      <c r="C384" s="91"/>
      <c r="D384" s="91"/>
      <c r="E384" s="91"/>
      <c r="F384" s="91"/>
      <c r="G384" s="91"/>
      <c r="H384" s="91"/>
      <c r="I384" s="91"/>
      <c r="J384" s="91"/>
      <c r="K384" s="91"/>
      <c r="L384" s="91"/>
      <c r="M384" s="91"/>
      <c r="N384" s="91"/>
      <c r="O384" s="91"/>
      <c r="P384" s="91"/>
      <c r="Q384" s="91"/>
      <c r="R384" s="91"/>
      <c r="S384" s="91"/>
      <c r="T384" s="91"/>
      <c r="U384" s="91"/>
      <c r="V384" s="91"/>
      <c r="W384" s="91"/>
      <c r="X384" s="91"/>
      <c r="Y384" s="91"/>
      <c r="Z384" s="91"/>
    </row>
    <row r="385" spans="1:26" ht="15.75" customHeight="1" x14ac:dyDescent="0.25">
      <c r="A385" s="9"/>
      <c r="B385" s="189"/>
      <c r="C385" s="91"/>
      <c r="D385" s="91"/>
      <c r="E385" s="91"/>
      <c r="F385" s="91"/>
      <c r="G385" s="91"/>
      <c r="H385" s="91"/>
      <c r="I385" s="91"/>
      <c r="J385" s="91"/>
      <c r="K385" s="91"/>
      <c r="L385" s="91"/>
      <c r="M385" s="91"/>
      <c r="N385" s="91"/>
      <c r="O385" s="91"/>
      <c r="P385" s="91"/>
      <c r="Q385" s="91"/>
      <c r="R385" s="91"/>
      <c r="S385" s="91"/>
      <c r="T385" s="91"/>
      <c r="U385" s="91"/>
      <c r="V385" s="91"/>
      <c r="W385" s="91"/>
      <c r="X385" s="91"/>
      <c r="Y385" s="91"/>
      <c r="Z385" s="91"/>
    </row>
    <row r="386" spans="1:26" ht="15.75" customHeight="1" x14ac:dyDescent="0.25">
      <c r="A386" s="9"/>
      <c r="B386" s="189"/>
      <c r="C386" s="91"/>
      <c r="D386" s="91"/>
      <c r="E386" s="91"/>
      <c r="F386" s="91"/>
      <c r="G386" s="91"/>
      <c r="H386" s="91"/>
      <c r="I386" s="91"/>
      <c r="J386" s="91"/>
      <c r="K386" s="91"/>
      <c r="L386" s="91"/>
      <c r="M386" s="91"/>
      <c r="N386" s="91"/>
      <c r="O386" s="91"/>
      <c r="P386" s="91"/>
      <c r="Q386" s="91"/>
      <c r="R386" s="91"/>
      <c r="S386" s="91"/>
      <c r="T386" s="91"/>
      <c r="U386" s="91"/>
      <c r="V386" s="91"/>
      <c r="W386" s="91"/>
      <c r="X386" s="91"/>
      <c r="Y386" s="91"/>
      <c r="Z386" s="91"/>
    </row>
    <row r="387" spans="1:26" ht="15.75" customHeight="1" x14ac:dyDescent="0.25">
      <c r="A387" s="9"/>
      <c r="B387" s="189"/>
      <c r="C387" s="91"/>
      <c r="D387" s="91"/>
      <c r="E387" s="91"/>
      <c r="F387" s="91"/>
      <c r="G387" s="91"/>
      <c r="H387" s="91"/>
      <c r="I387" s="91"/>
      <c r="J387" s="91"/>
      <c r="K387" s="91"/>
      <c r="L387" s="91"/>
      <c r="M387" s="91"/>
      <c r="N387" s="91"/>
      <c r="O387" s="91"/>
      <c r="P387" s="91"/>
      <c r="Q387" s="91"/>
      <c r="R387" s="91"/>
      <c r="S387" s="91"/>
      <c r="T387" s="91"/>
      <c r="U387" s="91"/>
      <c r="V387" s="91"/>
      <c r="W387" s="91"/>
      <c r="X387" s="91"/>
      <c r="Y387" s="91"/>
      <c r="Z387" s="91"/>
    </row>
    <row r="388" spans="1:26" ht="15.75" customHeight="1" x14ac:dyDescent="0.25">
      <c r="A388" s="9"/>
      <c r="B388" s="189"/>
      <c r="C388" s="91"/>
      <c r="D388" s="91"/>
      <c r="E388" s="91"/>
      <c r="F388" s="91"/>
      <c r="G388" s="91"/>
      <c r="H388" s="91"/>
      <c r="I388" s="91"/>
      <c r="J388" s="91"/>
      <c r="K388" s="91"/>
      <c r="L388" s="91"/>
      <c r="M388" s="91"/>
      <c r="N388" s="91"/>
      <c r="O388" s="91"/>
      <c r="P388" s="91"/>
      <c r="Q388" s="91"/>
      <c r="R388" s="91"/>
      <c r="S388" s="91"/>
      <c r="T388" s="91"/>
      <c r="U388" s="91"/>
      <c r="V388" s="91"/>
      <c r="W388" s="91"/>
      <c r="X388" s="91"/>
      <c r="Y388" s="91"/>
      <c r="Z388" s="91"/>
    </row>
    <row r="389" spans="1:26" ht="15.75" customHeight="1" x14ac:dyDescent="0.25">
      <c r="A389" s="9"/>
      <c r="B389" s="189"/>
      <c r="C389" s="91"/>
      <c r="D389" s="91"/>
      <c r="E389" s="91"/>
      <c r="F389" s="91"/>
      <c r="G389" s="91"/>
      <c r="H389" s="91"/>
      <c r="I389" s="91"/>
      <c r="J389" s="91"/>
      <c r="K389" s="91"/>
      <c r="L389" s="91"/>
      <c r="M389" s="91"/>
      <c r="N389" s="91"/>
      <c r="O389" s="91"/>
      <c r="P389" s="91"/>
      <c r="Q389" s="91"/>
      <c r="R389" s="91"/>
      <c r="S389" s="91"/>
      <c r="T389" s="91"/>
      <c r="U389" s="91"/>
      <c r="V389" s="91"/>
      <c r="W389" s="91"/>
      <c r="X389" s="91"/>
      <c r="Y389" s="91"/>
      <c r="Z389" s="91"/>
    </row>
    <row r="390" spans="1:26" ht="15.75" customHeight="1" x14ac:dyDescent="0.25">
      <c r="A390" s="9"/>
      <c r="B390" s="189"/>
      <c r="C390" s="91"/>
      <c r="D390" s="91"/>
      <c r="E390" s="91"/>
      <c r="F390" s="91"/>
      <c r="G390" s="91"/>
      <c r="H390" s="91"/>
      <c r="I390" s="91"/>
      <c r="J390" s="91"/>
      <c r="K390" s="91"/>
      <c r="L390" s="91"/>
      <c r="M390" s="91"/>
      <c r="N390" s="91"/>
      <c r="O390" s="91"/>
      <c r="P390" s="91"/>
      <c r="Q390" s="91"/>
      <c r="R390" s="91"/>
      <c r="S390" s="91"/>
      <c r="T390" s="91"/>
      <c r="U390" s="91"/>
      <c r="V390" s="91"/>
      <c r="W390" s="91"/>
      <c r="X390" s="91"/>
      <c r="Y390" s="91"/>
      <c r="Z390" s="91"/>
    </row>
    <row r="391" spans="1:26" ht="15.75" customHeight="1" x14ac:dyDescent="0.25">
      <c r="A391" s="9"/>
      <c r="B391" s="189"/>
      <c r="C391" s="91"/>
      <c r="D391" s="91"/>
      <c r="E391" s="91"/>
      <c r="F391" s="91"/>
      <c r="G391" s="91"/>
      <c r="H391" s="91"/>
      <c r="I391" s="91"/>
      <c r="J391" s="91"/>
      <c r="K391" s="91"/>
      <c r="L391" s="91"/>
      <c r="M391" s="91"/>
      <c r="N391" s="91"/>
      <c r="O391" s="91"/>
      <c r="P391" s="91"/>
      <c r="Q391" s="91"/>
      <c r="R391" s="91"/>
      <c r="S391" s="91"/>
      <c r="T391" s="91"/>
      <c r="U391" s="91"/>
      <c r="V391" s="91"/>
      <c r="W391" s="91"/>
      <c r="X391" s="91"/>
      <c r="Y391" s="91"/>
      <c r="Z391" s="91"/>
    </row>
    <row r="392" spans="1:26" ht="15.75" customHeight="1" x14ac:dyDescent="0.25">
      <c r="A392" s="9"/>
      <c r="B392" s="189"/>
      <c r="C392" s="91"/>
      <c r="D392" s="91"/>
      <c r="E392" s="91"/>
      <c r="F392" s="91"/>
      <c r="G392" s="91"/>
      <c r="H392" s="91"/>
      <c r="I392" s="91"/>
      <c r="J392" s="91"/>
      <c r="K392" s="91"/>
      <c r="L392" s="91"/>
      <c r="M392" s="91"/>
      <c r="N392" s="91"/>
      <c r="O392" s="91"/>
      <c r="P392" s="91"/>
      <c r="Q392" s="91"/>
      <c r="R392" s="91"/>
      <c r="S392" s="91"/>
      <c r="T392" s="91"/>
      <c r="U392" s="91"/>
      <c r="V392" s="91"/>
      <c r="W392" s="91"/>
      <c r="X392" s="91"/>
      <c r="Y392" s="91"/>
      <c r="Z392" s="91"/>
    </row>
    <row r="393" spans="1:26" ht="15.75" customHeight="1" x14ac:dyDescent="0.25">
      <c r="A393" s="9"/>
      <c r="B393" s="189"/>
      <c r="C393" s="91"/>
      <c r="D393" s="91"/>
      <c r="E393" s="91"/>
      <c r="F393" s="91"/>
      <c r="G393" s="91"/>
      <c r="H393" s="91"/>
      <c r="I393" s="91"/>
      <c r="J393" s="91"/>
      <c r="K393" s="91"/>
      <c r="L393" s="91"/>
      <c r="M393" s="91"/>
      <c r="N393" s="91"/>
      <c r="O393" s="91"/>
      <c r="P393" s="91"/>
      <c r="Q393" s="91"/>
      <c r="R393" s="91"/>
      <c r="S393" s="91"/>
      <c r="T393" s="91"/>
      <c r="U393" s="91"/>
      <c r="V393" s="91"/>
      <c r="W393" s="91"/>
      <c r="X393" s="91"/>
      <c r="Y393" s="91"/>
      <c r="Z393" s="91"/>
    </row>
    <row r="394" spans="1:26" ht="15.75" customHeight="1" x14ac:dyDescent="0.25">
      <c r="A394" s="9"/>
      <c r="B394" s="189"/>
      <c r="C394" s="91"/>
      <c r="D394" s="91"/>
      <c r="E394" s="91"/>
      <c r="F394" s="91"/>
      <c r="G394" s="91"/>
      <c r="H394" s="91"/>
      <c r="I394" s="91"/>
      <c r="J394" s="91"/>
      <c r="K394" s="91"/>
      <c r="L394" s="91"/>
      <c r="M394" s="91"/>
      <c r="N394" s="91"/>
      <c r="O394" s="91"/>
      <c r="P394" s="91"/>
      <c r="Q394" s="91"/>
      <c r="R394" s="91"/>
      <c r="S394" s="91"/>
      <c r="T394" s="91"/>
      <c r="U394" s="91"/>
      <c r="V394" s="91"/>
      <c r="W394" s="91"/>
      <c r="X394" s="91"/>
      <c r="Y394" s="91"/>
      <c r="Z394" s="91"/>
    </row>
    <row r="395" spans="1:26" ht="15.75" customHeight="1" x14ac:dyDescent="0.25">
      <c r="A395" s="9"/>
      <c r="B395" s="189"/>
      <c r="C395" s="91"/>
      <c r="D395" s="91"/>
      <c r="E395" s="91"/>
      <c r="F395" s="91"/>
      <c r="G395" s="91"/>
      <c r="H395" s="91"/>
      <c r="I395" s="91"/>
      <c r="J395" s="91"/>
      <c r="K395" s="91"/>
      <c r="L395" s="91"/>
      <c r="M395" s="91"/>
      <c r="N395" s="91"/>
      <c r="O395" s="91"/>
      <c r="P395" s="91"/>
      <c r="Q395" s="91"/>
      <c r="R395" s="91"/>
      <c r="S395" s="91"/>
      <c r="T395" s="91"/>
      <c r="U395" s="91"/>
      <c r="V395" s="91"/>
      <c r="W395" s="91"/>
      <c r="X395" s="91"/>
      <c r="Y395" s="91"/>
      <c r="Z395" s="91"/>
    </row>
    <row r="396" spans="1:26" ht="15.75" customHeight="1" x14ac:dyDescent="0.25">
      <c r="A396" s="9"/>
      <c r="B396" s="189"/>
      <c r="C396" s="91"/>
      <c r="D396" s="91"/>
      <c r="E396" s="91"/>
      <c r="F396" s="91"/>
      <c r="G396" s="91"/>
      <c r="H396" s="91"/>
      <c r="I396" s="91"/>
      <c r="J396" s="91"/>
      <c r="K396" s="91"/>
      <c r="L396" s="91"/>
      <c r="M396" s="91"/>
      <c r="N396" s="91"/>
      <c r="O396" s="91"/>
      <c r="P396" s="91"/>
      <c r="Q396" s="91"/>
      <c r="R396" s="91"/>
      <c r="S396" s="91"/>
      <c r="T396" s="91"/>
      <c r="U396" s="91"/>
      <c r="V396" s="91"/>
      <c r="W396" s="91"/>
      <c r="X396" s="91"/>
      <c r="Y396" s="91"/>
      <c r="Z396" s="91"/>
    </row>
    <row r="397" spans="1:26" ht="15.75" customHeight="1" x14ac:dyDescent="0.25">
      <c r="A397" s="9"/>
      <c r="B397" s="189"/>
      <c r="C397" s="91"/>
      <c r="D397" s="91"/>
      <c r="E397" s="91"/>
      <c r="F397" s="91"/>
      <c r="G397" s="91"/>
      <c r="H397" s="91"/>
      <c r="I397" s="91"/>
      <c r="J397" s="91"/>
      <c r="K397" s="91"/>
      <c r="L397" s="91"/>
      <c r="M397" s="91"/>
      <c r="N397" s="91"/>
      <c r="O397" s="91"/>
      <c r="P397" s="91"/>
      <c r="Q397" s="91"/>
      <c r="R397" s="91"/>
      <c r="S397" s="91"/>
      <c r="T397" s="91"/>
      <c r="U397" s="91"/>
      <c r="V397" s="91"/>
      <c r="W397" s="91"/>
      <c r="X397" s="91"/>
      <c r="Y397" s="91"/>
      <c r="Z397" s="91"/>
    </row>
    <row r="398" spans="1:26" ht="15.75" customHeight="1" x14ac:dyDescent="0.25">
      <c r="A398" s="9"/>
      <c r="B398" s="189"/>
      <c r="C398" s="91"/>
      <c r="D398" s="91"/>
      <c r="E398" s="91"/>
      <c r="F398" s="91"/>
      <c r="G398" s="91"/>
      <c r="H398" s="91"/>
      <c r="I398" s="91"/>
      <c r="J398" s="91"/>
      <c r="K398" s="91"/>
      <c r="L398" s="91"/>
      <c r="M398" s="91"/>
      <c r="N398" s="91"/>
      <c r="O398" s="91"/>
      <c r="P398" s="91"/>
      <c r="Q398" s="91"/>
      <c r="R398" s="91"/>
      <c r="S398" s="91"/>
      <c r="T398" s="91"/>
      <c r="U398" s="91"/>
      <c r="V398" s="91"/>
      <c r="W398" s="91"/>
      <c r="X398" s="91"/>
      <c r="Y398" s="91"/>
      <c r="Z398" s="91"/>
    </row>
    <row r="399" spans="1:26" ht="15.75" customHeight="1" x14ac:dyDescent="0.25">
      <c r="A399" s="9"/>
      <c r="B399" s="189"/>
      <c r="C399" s="91"/>
      <c r="D399" s="91"/>
      <c r="E399" s="91"/>
      <c r="F399" s="91"/>
      <c r="G399" s="91"/>
      <c r="H399" s="91"/>
      <c r="I399" s="91"/>
      <c r="J399" s="91"/>
      <c r="K399" s="91"/>
      <c r="L399" s="91"/>
      <c r="M399" s="91"/>
      <c r="N399" s="91"/>
      <c r="O399" s="91"/>
      <c r="P399" s="91"/>
      <c r="Q399" s="91"/>
      <c r="R399" s="91"/>
      <c r="S399" s="91"/>
      <c r="T399" s="91"/>
      <c r="U399" s="91"/>
      <c r="V399" s="91"/>
      <c r="W399" s="91"/>
      <c r="X399" s="91"/>
      <c r="Y399" s="91"/>
      <c r="Z399" s="91"/>
    </row>
    <row r="400" spans="1:26" ht="15.75" customHeight="1" x14ac:dyDescent="0.25">
      <c r="A400" s="9"/>
      <c r="B400" s="189"/>
      <c r="C400" s="91"/>
      <c r="D400" s="91"/>
      <c r="E400" s="91"/>
      <c r="F400" s="91"/>
      <c r="G400" s="91"/>
      <c r="H400" s="91"/>
      <c r="I400" s="91"/>
      <c r="J400" s="91"/>
      <c r="K400" s="91"/>
      <c r="L400" s="91"/>
      <c r="M400" s="91"/>
      <c r="N400" s="91"/>
      <c r="O400" s="91"/>
      <c r="P400" s="91"/>
      <c r="Q400" s="91"/>
      <c r="R400" s="91"/>
      <c r="S400" s="91"/>
      <c r="T400" s="91"/>
      <c r="U400" s="91"/>
      <c r="V400" s="91"/>
      <c r="W400" s="91"/>
      <c r="X400" s="91"/>
      <c r="Y400" s="91"/>
      <c r="Z400" s="91"/>
    </row>
    <row r="401" spans="1:26" ht="15.75" customHeight="1" x14ac:dyDescent="0.25">
      <c r="A401" s="9"/>
      <c r="B401" s="189"/>
      <c r="C401" s="91"/>
      <c r="D401" s="91"/>
      <c r="E401" s="91"/>
      <c r="F401" s="91"/>
      <c r="G401" s="91"/>
      <c r="H401" s="91"/>
      <c r="I401" s="91"/>
      <c r="J401" s="91"/>
      <c r="K401" s="91"/>
      <c r="L401" s="91"/>
      <c r="M401" s="91"/>
      <c r="N401" s="91"/>
      <c r="O401" s="91"/>
      <c r="P401" s="91"/>
      <c r="Q401" s="91"/>
      <c r="R401" s="91"/>
      <c r="S401" s="91"/>
      <c r="T401" s="91"/>
      <c r="U401" s="91"/>
      <c r="V401" s="91"/>
      <c r="W401" s="91"/>
      <c r="X401" s="91"/>
      <c r="Y401" s="91"/>
      <c r="Z401" s="91"/>
    </row>
    <row r="402" spans="1:26" ht="15.75" customHeight="1" x14ac:dyDescent="0.25">
      <c r="A402" s="9"/>
      <c r="B402" s="189"/>
      <c r="C402" s="91"/>
      <c r="D402" s="91"/>
      <c r="E402" s="91"/>
      <c r="F402" s="91"/>
      <c r="G402" s="91"/>
      <c r="H402" s="91"/>
      <c r="I402" s="91"/>
      <c r="J402" s="91"/>
      <c r="K402" s="91"/>
      <c r="L402" s="91"/>
      <c r="M402" s="91"/>
      <c r="N402" s="91"/>
      <c r="O402" s="91"/>
      <c r="P402" s="91"/>
      <c r="Q402" s="91"/>
      <c r="R402" s="91"/>
      <c r="S402" s="91"/>
      <c r="T402" s="91"/>
      <c r="U402" s="91"/>
      <c r="V402" s="91"/>
      <c r="W402" s="91"/>
      <c r="X402" s="91"/>
      <c r="Y402" s="91"/>
      <c r="Z402" s="91"/>
    </row>
    <row r="403" spans="1:26" ht="15.75" customHeight="1" x14ac:dyDescent="0.25">
      <c r="A403" s="9"/>
      <c r="B403" s="189"/>
      <c r="C403" s="91"/>
      <c r="D403" s="91"/>
      <c r="E403" s="91"/>
      <c r="F403" s="91"/>
      <c r="G403" s="91"/>
      <c r="H403" s="91"/>
      <c r="I403" s="91"/>
      <c r="J403" s="91"/>
      <c r="K403" s="91"/>
      <c r="L403" s="91"/>
      <c r="M403" s="91"/>
      <c r="N403" s="91"/>
      <c r="O403" s="91"/>
      <c r="P403" s="91"/>
      <c r="Q403" s="91"/>
      <c r="R403" s="91"/>
      <c r="S403" s="91"/>
      <c r="T403" s="91"/>
      <c r="U403" s="91"/>
      <c r="V403" s="91"/>
      <c r="W403" s="91"/>
      <c r="X403" s="91"/>
      <c r="Y403" s="91"/>
      <c r="Z403" s="91"/>
    </row>
    <row r="404" spans="1:26" ht="15.75" customHeight="1" x14ac:dyDescent="0.25">
      <c r="A404" s="9"/>
      <c r="B404" s="189"/>
      <c r="C404" s="91"/>
      <c r="D404" s="91"/>
      <c r="E404" s="91"/>
      <c r="F404" s="91"/>
      <c r="G404" s="91"/>
      <c r="H404" s="91"/>
      <c r="I404" s="91"/>
      <c r="J404" s="91"/>
      <c r="K404" s="91"/>
      <c r="L404" s="91"/>
      <c r="M404" s="91"/>
      <c r="N404" s="91"/>
      <c r="O404" s="91"/>
      <c r="P404" s="91"/>
      <c r="Q404" s="91"/>
      <c r="R404" s="91"/>
      <c r="S404" s="91"/>
      <c r="T404" s="91"/>
      <c r="U404" s="91"/>
      <c r="V404" s="91"/>
      <c r="W404" s="91"/>
      <c r="X404" s="91"/>
      <c r="Y404" s="91"/>
      <c r="Z404" s="91"/>
    </row>
    <row r="405" spans="1:26" ht="15.75" customHeight="1" x14ac:dyDescent="0.25">
      <c r="A405" s="9"/>
      <c r="B405" s="189"/>
      <c r="C405" s="91"/>
      <c r="D405" s="91"/>
      <c r="E405" s="91"/>
      <c r="F405" s="91"/>
      <c r="G405" s="91"/>
      <c r="H405" s="91"/>
      <c r="I405" s="91"/>
      <c r="J405" s="91"/>
      <c r="K405" s="91"/>
      <c r="L405" s="91"/>
      <c r="M405" s="91"/>
      <c r="N405" s="91"/>
      <c r="O405" s="91"/>
      <c r="P405" s="91"/>
      <c r="Q405" s="91"/>
      <c r="R405" s="91"/>
      <c r="S405" s="91"/>
      <c r="T405" s="91"/>
      <c r="U405" s="91"/>
      <c r="V405" s="91"/>
      <c r="W405" s="91"/>
      <c r="X405" s="91"/>
      <c r="Y405" s="91"/>
      <c r="Z405" s="91"/>
    </row>
    <row r="406" spans="1:26" ht="15.75" customHeight="1" x14ac:dyDescent="0.25">
      <c r="A406" s="9"/>
      <c r="B406" s="189"/>
      <c r="C406" s="91"/>
      <c r="D406" s="91"/>
      <c r="E406" s="91"/>
      <c r="F406" s="91"/>
      <c r="G406" s="91"/>
      <c r="H406" s="91"/>
      <c r="I406" s="91"/>
      <c r="J406" s="91"/>
      <c r="K406" s="91"/>
      <c r="L406" s="91"/>
      <c r="M406" s="91"/>
      <c r="N406" s="91"/>
      <c r="O406" s="91"/>
      <c r="P406" s="91"/>
      <c r="Q406" s="91"/>
      <c r="R406" s="91"/>
      <c r="S406" s="91"/>
      <c r="T406" s="91"/>
      <c r="U406" s="91"/>
      <c r="V406" s="91"/>
      <c r="W406" s="91"/>
      <c r="X406" s="91"/>
      <c r="Y406" s="91"/>
      <c r="Z406" s="91"/>
    </row>
    <row r="407" spans="1:26" ht="15.75" customHeight="1" x14ac:dyDescent="0.25">
      <c r="A407" s="9"/>
      <c r="B407" s="189"/>
      <c r="C407" s="91"/>
      <c r="D407" s="91"/>
      <c r="E407" s="91"/>
      <c r="F407" s="91"/>
      <c r="G407" s="91"/>
      <c r="H407" s="91"/>
      <c r="I407" s="91"/>
      <c r="J407" s="91"/>
      <c r="K407" s="91"/>
      <c r="L407" s="91"/>
      <c r="M407" s="91"/>
      <c r="N407" s="91"/>
      <c r="O407" s="91"/>
      <c r="P407" s="91"/>
      <c r="Q407" s="91"/>
      <c r="R407" s="91"/>
      <c r="S407" s="91"/>
      <c r="T407" s="91"/>
      <c r="U407" s="91"/>
      <c r="V407" s="91"/>
      <c r="W407" s="91"/>
      <c r="X407" s="91"/>
      <c r="Y407" s="91"/>
      <c r="Z407" s="91"/>
    </row>
    <row r="408" spans="1:26" ht="15.75" customHeight="1" x14ac:dyDescent="0.25">
      <c r="A408" s="9"/>
      <c r="B408" s="189"/>
      <c r="C408" s="91"/>
      <c r="D408" s="91"/>
      <c r="E408" s="91"/>
      <c r="F408" s="91"/>
      <c r="G408" s="91"/>
      <c r="H408" s="91"/>
      <c r="I408" s="91"/>
      <c r="J408" s="91"/>
      <c r="K408" s="91"/>
      <c r="L408" s="91"/>
      <c r="M408" s="91"/>
      <c r="N408" s="91"/>
      <c r="O408" s="91"/>
      <c r="P408" s="91"/>
      <c r="Q408" s="91"/>
      <c r="R408" s="91"/>
      <c r="S408" s="91"/>
      <c r="T408" s="91"/>
      <c r="U408" s="91"/>
      <c r="V408" s="91"/>
      <c r="W408" s="91"/>
      <c r="X408" s="91"/>
      <c r="Y408" s="91"/>
      <c r="Z408" s="91"/>
    </row>
    <row r="409" spans="1:26" ht="15.75" customHeight="1" x14ac:dyDescent="0.25">
      <c r="A409" s="9"/>
      <c r="B409" s="189"/>
      <c r="C409" s="91"/>
      <c r="D409" s="91"/>
      <c r="E409" s="91"/>
      <c r="F409" s="91"/>
      <c r="G409" s="91"/>
      <c r="H409" s="91"/>
      <c r="I409" s="91"/>
      <c r="J409" s="91"/>
      <c r="K409" s="91"/>
      <c r="L409" s="91"/>
      <c r="M409" s="91"/>
      <c r="N409" s="91"/>
      <c r="O409" s="91"/>
      <c r="P409" s="91"/>
      <c r="Q409" s="91"/>
      <c r="R409" s="91"/>
      <c r="S409" s="91"/>
      <c r="T409" s="91"/>
      <c r="U409" s="91"/>
      <c r="V409" s="91"/>
      <c r="W409" s="91"/>
      <c r="X409" s="91"/>
      <c r="Y409" s="91"/>
      <c r="Z409" s="91"/>
    </row>
    <row r="410" spans="1:26" ht="15.75" customHeight="1" x14ac:dyDescent="0.25">
      <c r="A410" s="9"/>
      <c r="B410" s="189"/>
      <c r="C410" s="91"/>
      <c r="D410" s="91"/>
      <c r="E410" s="91"/>
      <c r="F410" s="91"/>
      <c r="G410" s="91"/>
      <c r="H410" s="91"/>
      <c r="I410" s="91"/>
      <c r="J410" s="91"/>
      <c r="K410" s="91"/>
      <c r="L410" s="91"/>
      <c r="M410" s="91"/>
      <c r="N410" s="91"/>
      <c r="O410" s="91"/>
      <c r="P410" s="91"/>
      <c r="Q410" s="91"/>
      <c r="R410" s="91"/>
      <c r="S410" s="91"/>
      <c r="T410" s="91"/>
      <c r="U410" s="91"/>
      <c r="V410" s="91"/>
      <c r="W410" s="91"/>
      <c r="X410" s="91"/>
      <c r="Y410" s="91"/>
      <c r="Z410" s="91"/>
    </row>
    <row r="411" spans="1:26" ht="15.75" customHeight="1" x14ac:dyDescent="0.25">
      <c r="A411" s="9"/>
      <c r="B411" s="189"/>
      <c r="C411" s="91"/>
      <c r="D411" s="91"/>
      <c r="E411" s="91"/>
      <c r="F411" s="91"/>
      <c r="G411" s="91"/>
      <c r="H411" s="91"/>
      <c r="I411" s="91"/>
      <c r="J411" s="91"/>
      <c r="K411" s="91"/>
      <c r="L411" s="91"/>
      <c r="M411" s="91"/>
      <c r="N411" s="91"/>
      <c r="O411" s="91"/>
      <c r="P411" s="91"/>
      <c r="Q411" s="91"/>
      <c r="R411" s="91"/>
      <c r="S411" s="91"/>
      <c r="T411" s="91"/>
      <c r="U411" s="91"/>
      <c r="V411" s="91"/>
      <c r="W411" s="91"/>
      <c r="X411" s="91"/>
      <c r="Y411" s="91"/>
      <c r="Z411" s="91"/>
    </row>
    <row r="412" spans="1:26" ht="15.75" customHeight="1" x14ac:dyDescent="0.25">
      <c r="A412" s="9"/>
      <c r="B412" s="189"/>
      <c r="C412" s="91"/>
      <c r="D412" s="91"/>
      <c r="E412" s="91"/>
      <c r="F412" s="91"/>
      <c r="G412" s="91"/>
      <c r="H412" s="91"/>
      <c r="I412" s="91"/>
      <c r="J412" s="91"/>
      <c r="K412" s="91"/>
      <c r="L412" s="91"/>
      <c r="M412" s="91"/>
      <c r="N412" s="91"/>
      <c r="O412" s="91"/>
      <c r="P412" s="91"/>
      <c r="Q412" s="91"/>
      <c r="R412" s="91"/>
      <c r="S412" s="91"/>
      <c r="T412" s="91"/>
      <c r="U412" s="91"/>
      <c r="V412" s="91"/>
      <c r="W412" s="91"/>
      <c r="X412" s="91"/>
      <c r="Y412" s="91"/>
      <c r="Z412" s="91"/>
    </row>
    <row r="413" spans="1:26" ht="15.75" customHeight="1" x14ac:dyDescent="0.25">
      <c r="A413" s="9"/>
      <c r="B413" s="189"/>
      <c r="C413" s="91"/>
      <c r="D413" s="91"/>
      <c r="E413" s="91"/>
      <c r="F413" s="91"/>
      <c r="G413" s="91"/>
      <c r="H413" s="91"/>
      <c r="I413" s="91"/>
      <c r="J413" s="91"/>
      <c r="K413" s="91"/>
      <c r="L413" s="91"/>
      <c r="M413" s="91"/>
      <c r="N413" s="91"/>
      <c r="O413" s="91"/>
      <c r="P413" s="91"/>
      <c r="Q413" s="91"/>
      <c r="R413" s="91"/>
      <c r="S413" s="91"/>
      <c r="T413" s="91"/>
      <c r="U413" s="91"/>
      <c r="V413" s="91"/>
      <c r="W413" s="91"/>
      <c r="X413" s="91"/>
      <c r="Y413" s="91"/>
      <c r="Z413" s="91"/>
    </row>
    <row r="414" spans="1:26" ht="15.75" customHeight="1" x14ac:dyDescent="0.25">
      <c r="A414" s="9"/>
      <c r="B414" s="189"/>
      <c r="C414" s="91"/>
      <c r="D414" s="91"/>
      <c r="E414" s="91"/>
      <c r="F414" s="91"/>
      <c r="G414" s="91"/>
      <c r="H414" s="91"/>
      <c r="I414" s="91"/>
      <c r="J414" s="91"/>
      <c r="K414" s="91"/>
      <c r="L414" s="91"/>
      <c r="M414" s="91"/>
      <c r="N414" s="91"/>
      <c r="O414" s="91"/>
      <c r="P414" s="91"/>
      <c r="Q414" s="91"/>
      <c r="R414" s="91"/>
      <c r="S414" s="91"/>
      <c r="T414" s="91"/>
      <c r="U414" s="91"/>
      <c r="V414" s="91"/>
      <c r="W414" s="91"/>
      <c r="X414" s="91"/>
      <c r="Y414" s="91"/>
      <c r="Z414" s="91"/>
    </row>
    <row r="415" spans="1:26" ht="15.75" customHeight="1" x14ac:dyDescent="0.25">
      <c r="A415" s="9"/>
      <c r="B415" s="189"/>
      <c r="C415" s="91"/>
      <c r="D415" s="91"/>
      <c r="E415" s="91"/>
      <c r="F415" s="91"/>
      <c r="G415" s="91"/>
      <c r="H415" s="91"/>
      <c r="I415" s="91"/>
      <c r="J415" s="91"/>
      <c r="K415" s="91"/>
      <c r="L415" s="91"/>
      <c r="M415" s="91"/>
      <c r="N415" s="91"/>
      <c r="O415" s="91"/>
      <c r="P415" s="91"/>
      <c r="Q415" s="91"/>
      <c r="R415" s="91"/>
      <c r="S415" s="91"/>
      <c r="T415" s="91"/>
      <c r="U415" s="91"/>
      <c r="V415" s="91"/>
      <c r="W415" s="91"/>
      <c r="X415" s="91"/>
      <c r="Y415" s="91"/>
      <c r="Z415" s="91"/>
    </row>
    <row r="416" spans="1:26" ht="15.75" customHeight="1" x14ac:dyDescent="0.25">
      <c r="A416" s="9"/>
      <c r="B416" s="189"/>
      <c r="C416" s="91"/>
      <c r="D416" s="91"/>
      <c r="E416" s="91"/>
      <c r="F416" s="91"/>
      <c r="G416" s="91"/>
      <c r="H416" s="91"/>
      <c r="I416" s="91"/>
      <c r="J416" s="91"/>
      <c r="K416" s="91"/>
      <c r="L416" s="91"/>
      <c r="M416" s="91"/>
      <c r="N416" s="91"/>
      <c r="O416" s="91"/>
      <c r="P416" s="91"/>
      <c r="Q416" s="91"/>
      <c r="R416" s="91"/>
      <c r="S416" s="91"/>
      <c r="T416" s="91"/>
      <c r="U416" s="91"/>
      <c r="V416" s="91"/>
      <c r="W416" s="91"/>
      <c r="X416" s="91"/>
      <c r="Y416" s="91"/>
      <c r="Z416" s="91"/>
    </row>
    <row r="417" spans="1:26" ht="15.75" customHeight="1" x14ac:dyDescent="0.25">
      <c r="A417" s="9"/>
      <c r="B417" s="189"/>
      <c r="C417" s="91"/>
      <c r="D417" s="91"/>
      <c r="E417" s="91"/>
      <c r="F417" s="91"/>
      <c r="G417" s="91"/>
      <c r="H417" s="91"/>
      <c r="I417" s="91"/>
      <c r="J417" s="91"/>
      <c r="K417" s="91"/>
      <c r="L417" s="91"/>
      <c r="M417" s="91"/>
      <c r="N417" s="91"/>
      <c r="O417" s="91"/>
      <c r="P417" s="91"/>
      <c r="Q417" s="91"/>
      <c r="R417" s="91"/>
      <c r="S417" s="91"/>
      <c r="T417" s="91"/>
      <c r="U417" s="91"/>
      <c r="V417" s="91"/>
      <c r="W417" s="91"/>
      <c r="X417" s="91"/>
      <c r="Y417" s="91"/>
      <c r="Z417" s="91"/>
    </row>
    <row r="418" spans="1:26" ht="15.75" customHeight="1" x14ac:dyDescent="0.25">
      <c r="A418" s="9"/>
      <c r="B418" s="189"/>
      <c r="C418" s="91"/>
      <c r="D418" s="91"/>
      <c r="E418" s="91"/>
      <c r="F418" s="91"/>
      <c r="G418" s="91"/>
      <c r="H418" s="91"/>
      <c r="I418" s="91"/>
      <c r="J418" s="91"/>
      <c r="K418" s="91"/>
      <c r="L418" s="91"/>
      <c r="M418" s="91"/>
      <c r="N418" s="91"/>
      <c r="O418" s="91"/>
      <c r="P418" s="91"/>
      <c r="Q418" s="91"/>
      <c r="R418" s="91"/>
      <c r="S418" s="91"/>
      <c r="T418" s="91"/>
      <c r="U418" s="91"/>
      <c r="V418" s="91"/>
      <c r="W418" s="91"/>
      <c r="X418" s="91"/>
      <c r="Y418" s="91"/>
      <c r="Z418" s="91"/>
    </row>
    <row r="419" spans="1:26" ht="15.75" customHeight="1" x14ac:dyDescent="0.25">
      <c r="A419" s="9"/>
      <c r="B419" s="189"/>
      <c r="C419" s="91"/>
      <c r="D419" s="91"/>
      <c r="E419" s="91"/>
      <c r="F419" s="91"/>
      <c r="G419" s="91"/>
      <c r="H419" s="91"/>
      <c r="I419" s="91"/>
      <c r="J419" s="91"/>
      <c r="K419" s="91"/>
      <c r="L419" s="91"/>
      <c r="M419" s="91"/>
      <c r="N419" s="91"/>
      <c r="O419" s="91"/>
      <c r="P419" s="91"/>
      <c r="Q419" s="91"/>
      <c r="R419" s="91"/>
      <c r="S419" s="91"/>
      <c r="T419" s="91"/>
      <c r="U419" s="91"/>
      <c r="V419" s="91"/>
      <c r="W419" s="91"/>
      <c r="X419" s="91"/>
      <c r="Y419" s="91"/>
      <c r="Z419" s="91"/>
    </row>
    <row r="420" spans="1:26" ht="15.75" customHeight="1" x14ac:dyDescent="0.25">
      <c r="A420" s="9"/>
      <c r="B420" s="189"/>
      <c r="C420" s="91"/>
      <c r="D420" s="91"/>
      <c r="E420" s="91"/>
      <c r="F420" s="91"/>
      <c r="G420" s="91"/>
      <c r="H420" s="91"/>
      <c r="I420" s="91"/>
      <c r="J420" s="91"/>
      <c r="K420" s="91"/>
      <c r="L420" s="91"/>
      <c r="M420" s="91"/>
      <c r="N420" s="91"/>
      <c r="O420" s="91"/>
      <c r="P420" s="91"/>
      <c r="Q420" s="91"/>
      <c r="R420" s="91"/>
      <c r="S420" s="91"/>
      <c r="T420" s="91"/>
      <c r="U420" s="91"/>
      <c r="V420" s="91"/>
      <c r="W420" s="91"/>
      <c r="X420" s="91"/>
      <c r="Y420" s="91"/>
      <c r="Z420" s="91"/>
    </row>
    <row r="421" spans="1:26" ht="15.75" customHeight="1" x14ac:dyDescent="0.25">
      <c r="A421" s="9"/>
      <c r="B421" s="189"/>
      <c r="C421" s="91"/>
      <c r="D421" s="91"/>
      <c r="E421" s="91"/>
      <c r="F421" s="91"/>
      <c r="G421" s="91"/>
      <c r="H421" s="91"/>
      <c r="I421" s="91"/>
      <c r="J421" s="91"/>
      <c r="K421" s="91"/>
      <c r="L421" s="91"/>
      <c r="M421" s="91"/>
      <c r="N421" s="91"/>
      <c r="O421" s="91"/>
      <c r="P421" s="91"/>
      <c r="Q421" s="91"/>
      <c r="R421" s="91"/>
      <c r="S421" s="91"/>
      <c r="T421" s="91"/>
      <c r="U421" s="91"/>
      <c r="V421" s="91"/>
      <c r="W421" s="91"/>
      <c r="X421" s="91"/>
      <c r="Y421" s="91"/>
      <c r="Z421" s="91"/>
    </row>
    <row r="422" spans="1:26" ht="15.75" customHeight="1" x14ac:dyDescent="0.25">
      <c r="A422" s="9"/>
      <c r="B422" s="189"/>
      <c r="C422" s="91"/>
      <c r="D422" s="91"/>
      <c r="E422" s="91"/>
      <c r="F422" s="91"/>
      <c r="G422" s="91"/>
      <c r="H422" s="91"/>
      <c r="I422" s="91"/>
      <c r="J422" s="91"/>
      <c r="K422" s="91"/>
      <c r="L422" s="91"/>
      <c r="M422" s="91"/>
      <c r="N422" s="91"/>
      <c r="O422" s="91"/>
      <c r="P422" s="91"/>
      <c r="Q422" s="91"/>
      <c r="R422" s="91"/>
      <c r="S422" s="91"/>
      <c r="T422" s="91"/>
      <c r="U422" s="91"/>
      <c r="V422" s="91"/>
      <c r="W422" s="91"/>
      <c r="X422" s="91"/>
      <c r="Y422" s="91"/>
      <c r="Z422" s="91"/>
    </row>
    <row r="423" spans="1:26" ht="15.75" customHeight="1" x14ac:dyDescent="0.25">
      <c r="A423" s="9"/>
      <c r="B423" s="189"/>
      <c r="C423" s="91"/>
      <c r="D423" s="91"/>
      <c r="E423" s="91"/>
      <c r="F423" s="91"/>
      <c r="G423" s="91"/>
      <c r="H423" s="91"/>
      <c r="I423" s="91"/>
      <c r="J423" s="91"/>
      <c r="K423" s="91"/>
      <c r="L423" s="91"/>
      <c r="M423" s="91"/>
      <c r="N423" s="91"/>
      <c r="O423" s="91"/>
      <c r="P423" s="91"/>
      <c r="Q423" s="91"/>
      <c r="R423" s="91"/>
      <c r="S423" s="91"/>
      <c r="T423" s="91"/>
      <c r="U423" s="91"/>
      <c r="V423" s="91"/>
      <c r="W423" s="91"/>
      <c r="X423" s="91"/>
      <c r="Y423" s="91"/>
      <c r="Z423" s="91"/>
    </row>
    <row r="424" spans="1:26" ht="15.75" customHeight="1" x14ac:dyDescent="0.25">
      <c r="A424" s="9"/>
      <c r="B424" s="189"/>
      <c r="C424" s="91"/>
      <c r="D424" s="91"/>
      <c r="E424" s="91"/>
      <c r="F424" s="91"/>
      <c r="G424" s="91"/>
      <c r="H424" s="91"/>
      <c r="I424" s="91"/>
      <c r="J424" s="91"/>
      <c r="K424" s="91"/>
      <c r="L424" s="91"/>
      <c r="M424" s="91"/>
      <c r="N424" s="91"/>
      <c r="O424" s="91"/>
      <c r="P424" s="91"/>
      <c r="Q424" s="91"/>
      <c r="R424" s="91"/>
      <c r="S424" s="91"/>
      <c r="T424" s="91"/>
      <c r="U424" s="91"/>
      <c r="V424" s="91"/>
      <c r="W424" s="91"/>
      <c r="X424" s="91"/>
      <c r="Y424" s="91"/>
      <c r="Z424" s="91"/>
    </row>
    <row r="425" spans="1:26" ht="15.75" customHeight="1" x14ac:dyDescent="0.25">
      <c r="A425" s="9"/>
      <c r="B425" s="189"/>
      <c r="C425" s="91"/>
      <c r="D425" s="91"/>
      <c r="E425" s="91"/>
      <c r="F425" s="91"/>
      <c r="G425" s="91"/>
      <c r="H425" s="91"/>
      <c r="I425" s="91"/>
      <c r="J425" s="91"/>
      <c r="K425" s="91"/>
      <c r="L425" s="91"/>
      <c r="M425" s="91"/>
      <c r="N425" s="91"/>
      <c r="O425" s="91"/>
      <c r="P425" s="91"/>
      <c r="Q425" s="91"/>
      <c r="R425" s="91"/>
      <c r="S425" s="91"/>
      <c r="T425" s="91"/>
      <c r="U425" s="91"/>
      <c r="V425" s="91"/>
      <c r="W425" s="91"/>
      <c r="X425" s="91"/>
      <c r="Y425" s="91"/>
      <c r="Z425" s="91"/>
    </row>
    <row r="426" spans="1:26" ht="15.75" customHeight="1" x14ac:dyDescent="0.25">
      <c r="A426" s="9"/>
      <c r="B426" s="189"/>
      <c r="C426" s="91"/>
      <c r="D426" s="91"/>
      <c r="E426" s="91"/>
      <c r="F426" s="91"/>
      <c r="G426" s="91"/>
      <c r="H426" s="91"/>
      <c r="I426" s="91"/>
      <c r="J426" s="91"/>
      <c r="K426" s="91"/>
      <c r="L426" s="91"/>
      <c r="M426" s="91"/>
      <c r="N426" s="91"/>
      <c r="O426" s="91"/>
      <c r="P426" s="91"/>
      <c r="Q426" s="91"/>
      <c r="R426" s="91"/>
      <c r="S426" s="91"/>
      <c r="T426" s="91"/>
      <c r="U426" s="91"/>
      <c r="V426" s="91"/>
      <c r="W426" s="91"/>
      <c r="X426" s="91"/>
      <c r="Y426" s="91"/>
      <c r="Z426" s="91"/>
    </row>
    <row r="427" spans="1:26" ht="15.75" customHeight="1" x14ac:dyDescent="0.25">
      <c r="A427" s="9"/>
      <c r="B427" s="189"/>
      <c r="C427" s="91"/>
      <c r="D427" s="91"/>
      <c r="E427" s="91"/>
      <c r="F427" s="91"/>
      <c r="G427" s="91"/>
      <c r="H427" s="91"/>
      <c r="I427" s="91"/>
      <c r="J427" s="91"/>
      <c r="K427" s="91"/>
      <c r="L427" s="91"/>
      <c r="M427" s="91"/>
      <c r="N427" s="91"/>
      <c r="O427" s="91"/>
      <c r="P427" s="91"/>
      <c r="Q427" s="91"/>
      <c r="R427" s="91"/>
      <c r="S427" s="91"/>
      <c r="T427" s="91"/>
      <c r="U427" s="91"/>
      <c r="V427" s="91"/>
      <c r="W427" s="91"/>
      <c r="X427" s="91"/>
      <c r="Y427" s="91"/>
      <c r="Z427" s="91"/>
    </row>
    <row r="428" spans="1:26" ht="15.75" customHeight="1" x14ac:dyDescent="0.25">
      <c r="A428" s="9"/>
      <c r="B428" s="189"/>
      <c r="C428" s="91"/>
      <c r="D428" s="91"/>
      <c r="E428" s="91"/>
      <c r="F428" s="91"/>
      <c r="G428" s="91"/>
      <c r="H428" s="91"/>
      <c r="I428" s="91"/>
      <c r="J428" s="91"/>
      <c r="K428" s="91"/>
      <c r="L428" s="91"/>
      <c r="M428" s="91"/>
      <c r="N428" s="91"/>
      <c r="O428" s="91"/>
      <c r="P428" s="91"/>
      <c r="Q428" s="91"/>
      <c r="R428" s="91"/>
      <c r="S428" s="91"/>
      <c r="T428" s="91"/>
      <c r="U428" s="91"/>
      <c r="V428" s="91"/>
      <c r="W428" s="91"/>
      <c r="X428" s="91"/>
      <c r="Y428" s="91"/>
      <c r="Z428" s="91"/>
    </row>
    <row r="429" spans="1:26" ht="15.75" customHeight="1" x14ac:dyDescent="0.25">
      <c r="A429" s="9"/>
      <c r="B429" s="189"/>
      <c r="C429" s="91"/>
      <c r="D429" s="91"/>
      <c r="E429" s="91"/>
      <c r="F429" s="91"/>
      <c r="G429" s="91"/>
      <c r="H429" s="91"/>
      <c r="I429" s="91"/>
      <c r="J429" s="91"/>
      <c r="K429" s="91"/>
      <c r="L429" s="91"/>
      <c r="M429" s="91"/>
      <c r="N429" s="91"/>
      <c r="O429" s="91"/>
      <c r="P429" s="91"/>
      <c r="Q429" s="91"/>
      <c r="R429" s="91"/>
      <c r="S429" s="91"/>
      <c r="T429" s="91"/>
      <c r="U429" s="91"/>
      <c r="V429" s="91"/>
      <c r="W429" s="91"/>
      <c r="X429" s="91"/>
      <c r="Y429" s="91"/>
      <c r="Z429" s="91"/>
    </row>
    <row r="430" spans="1:26" ht="15.75" customHeight="1" x14ac:dyDescent="0.25">
      <c r="A430" s="9"/>
      <c r="B430" s="189"/>
      <c r="C430" s="91"/>
      <c r="D430" s="91"/>
      <c r="E430" s="91"/>
      <c r="F430" s="91"/>
      <c r="G430" s="91"/>
      <c r="H430" s="91"/>
      <c r="I430" s="91"/>
      <c r="J430" s="91"/>
      <c r="K430" s="91"/>
      <c r="L430" s="91"/>
      <c r="M430" s="91"/>
      <c r="N430" s="91"/>
      <c r="O430" s="91"/>
      <c r="P430" s="91"/>
      <c r="Q430" s="91"/>
      <c r="R430" s="91"/>
      <c r="S430" s="91"/>
      <c r="T430" s="91"/>
      <c r="U430" s="91"/>
      <c r="V430" s="91"/>
      <c r="W430" s="91"/>
      <c r="X430" s="91"/>
      <c r="Y430" s="91"/>
      <c r="Z430" s="91"/>
    </row>
    <row r="431" spans="1:26" ht="15.75" customHeight="1" x14ac:dyDescent="0.25">
      <c r="A431" s="9"/>
      <c r="B431" s="189"/>
      <c r="C431" s="91"/>
      <c r="D431" s="91"/>
      <c r="E431" s="91"/>
      <c r="F431" s="91"/>
      <c r="G431" s="91"/>
      <c r="H431" s="91"/>
      <c r="I431" s="91"/>
      <c r="J431" s="91"/>
      <c r="K431" s="91"/>
      <c r="L431" s="91"/>
      <c r="M431" s="91"/>
      <c r="N431" s="91"/>
      <c r="O431" s="91"/>
      <c r="P431" s="91"/>
      <c r="Q431" s="91"/>
      <c r="R431" s="91"/>
      <c r="S431" s="91"/>
      <c r="T431" s="91"/>
      <c r="U431" s="91"/>
      <c r="V431" s="91"/>
      <c r="W431" s="91"/>
      <c r="X431" s="91"/>
      <c r="Y431" s="91"/>
      <c r="Z431" s="91"/>
    </row>
    <row r="432" spans="1:26" ht="15.75" customHeight="1" x14ac:dyDescent="0.25">
      <c r="A432" s="9"/>
      <c r="B432" s="189"/>
      <c r="C432" s="91"/>
      <c r="D432" s="91"/>
      <c r="E432" s="91"/>
      <c r="F432" s="91"/>
      <c r="G432" s="91"/>
      <c r="H432" s="91"/>
      <c r="I432" s="91"/>
      <c r="J432" s="91"/>
      <c r="K432" s="91"/>
      <c r="L432" s="91"/>
      <c r="M432" s="91"/>
      <c r="N432" s="91"/>
      <c r="O432" s="91"/>
      <c r="P432" s="91"/>
      <c r="Q432" s="91"/>
      <c r="R432" s="91"/>
      <c r="S432" s="91"/>
      <c r="T432" s="91"/>
      <c r="U432" s="91"/>
      <c r="V432" s="91"/>
      <c r="W432" s="91"/>
      <c r="X432" s="91"/>
      <c r="Y432" s="91"/>
      <c r="Z432" s="91"/>
    </row>
    <row r="433" spans="1:26" ht="15.75" customHeight="1" x14ac:dyDescent="0.25">
      <c r="A433" s="9"/>
      <c r="B433" s="189"/>
      <c r="C433" s="91"/>
      <c r="D433" s="91"/>
      <c r="E433" s="91"/>
      <c r="F433" s="91"/>
      <c r="G433" s="91"/>
      <c r="H433" s="91"/>
      <c r="I433" s="91"/>
      <c r="J433" s="91"/>
      <c r="K433" s="91"/>
      <c r="L433" s="91"/>
      <c r="M433" s="91"/>
      <c r="N433" s="91"/>
      <c r="O433" s="91"/>
      <c r="P433" s="91"/>
      <c r="Q433" s="91"/>
      <c r="R433" s="91"/>
      <c r="S433" s="91"/>
      <c r="T433" s="91"/>
      <c r="U433" s="91"/>
      <c r="V433" s="91"/>
      <c r="W433" s="91"/>
      <c r="X433" s="91"/>
      <c r="Y433" s="91"/>
      <c r="Z433" s="91"/>
    </row>
    <row r="434" spans="1:26" ht="15.75" customHeight="1" x14ac:dyDescent="0.25">
      <c r="A434" s="9"/>
      <c r="B434" s="189"/>
      <c r="C434" s="91"/>
      <c r="D434" s="91"/>
      <c r="E434" s="91"/>
      <c r="F434" s="91"/>
      <c r="G434" s="91"/>
      <c r="H434" s="91"/>
      <c r="I434" s="91"/>
      <c r="J434" s="91"/>
      <c r="K434" s="91"/>
      <c r="L434" s="91"/>
      <c r="M434" s="91"/>
      <c r="N434" s="91"/>
      <c r="O434" s="91"/>
      <c r="P434" s="91"/>
      <c r="Q434" s="91"/>
      <c r="R434" s="91"/>
      <c r="S434" s="91"/>
      <c r="T434" s="91"/>
      <c r="U434" s="91"/>
      <c r="V434" s="91"/>
      <c r="W434" s="91"/>
      <c r="X434" s="91"/>
      <c r="Y434" s="91"/>
      <c r="Z434" s="91"/>
    </row>
    <row r="435" spans="1:26" ht="15.75" customHeight="1" x14ac:dyDescent="0.25">
      <c r="A435" s="9"/>
      <c r="B435" s="189"/>
      <c r="C435" s="91"/>
      <c r="D435" s="91"/>
      <c r="E435" s="91"/>
      <c r="F435" s="91"/>
      <c r="G435" s="91"/>
      <c r="H435" s="91"/>
      <c r="I435" s="91"/>
      <c r="J435" s="91"/>
      <c r="K435" s="91"/>
      <c r="L435" s="91"/>
      <c r="M435" s="91"/>
      <c r="N435" s="91"/>
      <c r="O435" s="91"/>
      <c r="P435" s="91"/>
      <c r="Q435" s="91"/>
      <c r="R435" s="91"/>
      <c r="S435" s="91"/>
      <c r="T435" s="91"/>
      <c r="U435" s="91"/>
      <c r="V435" s="91"/>
      <c r="W435" s="91"/>
      <c r="X435" s="91"/>
      <c r="Y435" s="91"/>
      <c r="Z435" s="91"/>
    </row>
    <row r="436" spans="1:26" ht="15.75" customHeight="1" x14ac:dyDescent="0.25">
      <c r="A436" s="9"/>
      <c r="B436" s="189"/>
      <c r="C436" s="91"/>
      <c r="D436" s="91"/>
      <c r="E436" s="91"/>
      <c r="F436" s="91"/>
      <c r="G436" s="91"/>
      <c r="H436" s="91"/>
      <c r="I436" s="91"/>
      <c r="J436" s="91"/>
      <c r="K436" s="91"/>
      <c r="L436" s="91"/>
      <c r="M436" s="91"/>
      <c r="N436" s="91"/>
      <c r="O436" s="91"/>
      <c r="P436" s="91"/>
      <c r="Q436" s="91"/>
      <c r="R436" s="91"/>
      <c r="S436" s="91"/>
      <c r="T436" s="91"/>
      <c r="U436" s="91"/>
      <c r="V436" s="91"/>
      <c r="W436" s="91"/>
      <c r="X436" s="91"/>
      <c r="Y436" s="91"/>
      <c r="Z436" s="91"/>
    </row>
    <row r="437" spans="1:26" ht="15.75" customHeight="1" x14ac:dyDescent="0.25">
      <c r="A437" s="9"/>
      <c r="B437" s="189"/>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row>
    <row r="438" spans="1:26" ht="15.75" customHeight="1" x14ac:dyDescent="0.25">
      <c r="A438" s="9"/>
      <c r="B438" s="189"/>
      <c r="C438" s="91"/>
      <c r="D438" s="91"/>
      <c r="E438" s="91"/>
      <c r="F438" s="91"/>
      <c r="G438" s="91"/>
      <c r="H438" s="91"/>
      <c r="I438" s="91"/>
      <c r="J438" s="91"/>
      <c r="K438" s="91"/>
      <c r="L438" s="91"/>
      <c r="M438" s="91"/>
      <c r="N438" s="91"/>
      <c r="O438" s="91"/>
      <c r="P438" s="91"/>
      <c r="Q438" s="91"/>
      <c r="R438" s="91"/>
      <c r="S438" s="91"/>
      <c r="T438" s="91"/>
      <c r="U438" s="91"/>
      <c r="V438" s="91"/>
      <c r="W438" s="91"/>
      <c r="X438" s="91"/>
      <c r="Y438" s="91"/>
      <c r="Z438" s="91"/>
    </row>
    <row r="439" spans="1:26" ht="15.75" customHeight="1" x14ac:dyDescent="0.25">
      <c r="A439" s="9"/>
      <c r="B439" s="189"/>
      <c r="C439" s="91"/>
      <c r="D439" s="91"/>
      <c r="E439" s="91"/>
      <c r="F439" s="91"/>
      <c r="G439" s="91"/>
      <c r="H439" s="91"/>
      <c r="I439" s="91"/>
      <c r="J439" s="91"/>
      <c r="K439" s="91"/>
      <c r="L439" s="91"/>
      <c r="M439" s="91"/>
      <c r="N439" s="91"/>
      <c r="O439" s="91"/>
      <c r="P439" s="91"/>
      <c r="Q439" s="91"/>
      <c r="R439" s="91"/>
      <c r="S439" s="91"/>
      <c r="T439" s="91"/>
      <c r="U439" s="91"/>
      <c r="V439" s="91"/>
      <c r="W439" s="91"/>
      <c r="X439" s="91"/>
      <c r="Y439" s="91"/>
      <c r="Z439" s="91"/>
    </row>
    <row r="440" spans="1:26" ht="15.75" customHeight="1" x14ac:dyDescent="0.25">
      <c r="A440" s="9"/>
      <c r="B440" s="189"/>
      <c r="C440" s="91"/>
      <c r="D440" s="91"/>
      <c r="E440" s="91"/>
      <c r="F440" s="91"/>
      <c r="G440" s="91"/>
      <c r="H440" s="91"/>
      <c r="I440" s="91"/>
      <c r="J440" s="91"/>
      <c r="K440" s="91"/>
      <c r="L440" s="91"/>
      <c r="M440" s="91"/>
      <c r="N440" s="91"/>
      <c r="O440" s="91"/>
      <c r="P440" s="91"/>
      <c r="Q440" s="91"/>
      <c r="R440" s="91"/>
      <c r="S440" s="91"/>
      <c r="T440" s="91"/>
      <c r="U440" s="91"/>
      <c r="V440" s="91"/>
      <c r="W440" s="91"/>
      <c r="X440" s="91"/>
      <c r="Y440" s="91"/>
      <c r="Z440" s="91"/>
    </row>
    <row r="441" spans="1:26" ht="15.75" customHeight="1" x14ac:dyDescent="0.25">
      <c r="A441" s="9"/>
      <c r="B441" s="189"/>
      <c r="C441" s="91"/>
      <c r="D441" s="91"/>
      <c r="E441" s="91"/>
      <c r="F441" s="91"/>
      <c r="G441" s="91"/>
      <c r="H441" s="91"/>
      <c r="I441" s="91"/>
      <c r="J441" s="91"/>
      <c r="K441" s="91"/>
      <c r="L441" s="91"/>
      <c r="M441" s="91"/>
      <c r="N441" s="91"/>
      <c r="O441" s="91"/>
      <c r="P441" s="91"/>
      <c r="Q441" s="91"/>
      <c r="R441" s="91"/>
      <c r="S441" s="91"/>
      <c r="T441" s="91"/>
      <c r="U441" s="91"/>
      <c r="V441" s="91"/>
      <c r="W441" s="91"/>
      <c r="X441" s="91"/>
      <c r="Y441" s="91"/>
      <c r="Z441" s="91"/>
    </row>
    <row r="442" spans="1:26" ht="15.75" customHeight="1" x14ac:dyDescent="0.25">
      <c r="A442" s="9"/>
      <c r="B442" s="189"/>
      <c r="C442" s="91"/>
      <c r="D442" s="91"/>
      <c r="E442" s="91"/>
      <c r="F442" s="91"/>
      <c r="G442" s="91"/>
      <c r="H442" s="91"/>
      <c r="I442" s="91"/>
      <c r="J442" s="91"/>
      <c r="K442" s="91"/>
      <c r="L442" s="91"/>
      <c r="M442" s="91"/>
      <c r="N442" s="91"/>
      <c r="O442" s="91"/>
      <c r="P442" s="91"/>
      <c r="Q442" s="91"/>
      <c r="R442" s="91"/>
      <c r="S442" s="91"/>
      <c r="T442" s="91"/>
      <c r="U442" s="91"/>
      <c r="V442" s="91"/>
      <c r="W442" s="91"/>
      <c r="X442" s="91"/>
      <c r="Y442" s="91"/>
      <c r="Z442" s="91"/>
    </row>
    <row r="443" spans="1:26" ht="15.75" customHeight="1" x14ac:dyDescent="0.25">
      <c r="A443" s="9"/>
      <c r="B443" s="189"/>
      <c r="C443" s="91"/>
      <c r="D443" s="91"/>
      <c r="E443" s="91"/>
      <c r="F443" s="91"/>
      <c r="G443" s="91"/>
      <c r="H443" s="91"/>
      <c r="I443" s="91"/>
      <c r="J443" s="91"/>
      <c r="K443" s="91"/>
      <c r="L443" s="91"/>
      <c r="M443" s="91"/>
      <c r="N443" s="91"/>
      <c r="O443" s="91"/>
      <c r="P443" s="91"/>
      <c r="Q443" s="91"/>
      <c r="R443" s="91"/>
      <c r="S443" s="91"/>
      <c r="T443" s="91"/>
      <c r="U443" s="91"/>
      <c r="V443" s="91"/>
      <c r="W443" s="91"/>
      <c r="X443" s="91"/>
      <c r="Y443" s="91"/>
      <c r="Z443" s="91"/>
    </row>
    <row r="444" spans="1:26" ht="15.75" customHeight="1" x14ac:dyDescent="0.25">
      <c r="A444" s="9"/>
      <c r="B444" s="189"/>
      <c r="C444" s="91"/>
      <c r="D444" s="91"/>
      <c r="E444" s="91"/>
      <c r="F444" s="91"/>
      <c r="G444" s="91"/>
      <c r="H444" s="91"/>
      <c r="I444" s="91"/>
      <c r="J444" s="91"/>
      <c r="K444" s="91"/>
      <c r="L444" s="91"/>
      <c r="M444" s="91"/>
      <c r="N444" s="91"/>
      <c r="O444" s="91"/>
      <c r="P444" s="91"/>
      <c r="Q444" s="91"/>
      <c r="R444" s="91"/>
      <c r="S444" s="91"/>
      <c r="T444" s="91"/>
      <c r="U444" s="91"/>
      <c r="V444" s="91"/>
      <c r="W444" s="91"/>
      <c r="X444" s="91"/>
      <c r="Y444" s="91"/>
      <c r="Z444" s="91"/>
    </row>
    <row r="445" spans="1:26" ht="15.75" customHeight="1" x14ac:dyDescent="0.25">
      <c r="A445" s="9"/>
      <c r="B445" s="189"/>
      <c r="C445" s="91"/>
      <c r="D445" s="91"/>
      <c r="E445" s="91"/>
      <c r="F445" s="91"/>
      <c r="G445" s="91"/>
      <c r="H445" s="91"/>
      <c r="I445" s="91"/>
      <c r="J445" s="91"/>
      <c r="K445" s="91"/>
      <c r="L445" s="91"/>
      <c r="M445" s="91"/>
      <c r="N445" s="91"/>
      <c r="O445" s="91"/>
      <c r="P445" s="91"/>
      <c r="Q445" s="91"/>
      <c r="R445" s="91"/>
      <c r="S445" s="91"/>
      <c r="T445" s="91"/>
      <c r="U445" s="91"/>
      <c r="V445" s="91"/>
      <c r="W445" s="91"/>
      <c r="X445" s="91"/>
      <c r="Y445" s="91"/>
      <c r="Z445" s="91"/>
    </row>
    <row r="446" spans="1:26" ht="15.75" customHeight="1" x14ac:dyDescent="0.25">
      <c r="A446" s="9"/>
      <c r="B446" s="189"/>
      <c r="C446" s="91"/>
      <c r="D446" s="91"/>
      <c r="E446" s="91"/>
      <c r="F446" s="91"/>
      <c r="G446" s="91"/>
      <c r="H446" s="91"/>
      <c r="I446" s="91"/>
      <c r="J446" s="91"/>
      <c r="K446" s="91"/>
      <c r="L446" s="91"/>
      <c r="M446" s="91"/>
      <c r="N446" s="91"/>
      <c r="O446" s="91"/>
      <c r="P446" s="91"/>
      <c r="Q446" s="91"/>
      <c r="R446" s="91"/>
      <c r="S446" s="91"/>
      <c r="T446" s="91"/>
      <c r="U446" s="91"/>
      <c r="V446" s="91"/>
      <c r="W446" s="91"/>
      <c r="X446" s="91"/>
      <c r="Y446" s="91"/>
      <c r="Z446" s="91"/>
    </row>
    <row r="447" spans="1:26" ht="15.75" customHeight="1" x14ac:dyDescent="0.25">
      <c r="A447" s="9"/>
      <c r="B447" s="189"/>
      <c r="C447" s="91"/>
      <c r="D447" s="91"/>
      <c r="E447" s="91"/>
      <c r="F447" s="91"/>
      <c r="G447" s="91"/>
      <c r="H447" s="91"/>
      <c r="I447" s="91"/>
      <c r="J447" s="91"/>
      <c r="K447" s="91"/>
      <c r="L447" s="91"/>
      <c r="M447" s="91"/>
      <c r="N447" s="91"/>
      <c r="O447" s="91"/>
      <c r="P447" s="91"/>
      <c r="Q447" s="91"/>
      <c r="R447" s="91"/>
      <c r="S447" s="91"/>
      <c r="T447" s="91"/>
      <c r="U447" s="91"/>
      <c r="V447" s="91"/>
      <c r="W447" s="91"/>
      <c r="X447" s="91"/>
      <c r="Y447" s="91"/>
      <c r="Z447" s="91"/>
    </row>
    <row r="448" spans="1:26" ht="15.75" customHeight="1" x14ac:dyDescent="0.25">
      <c r="A448" s="9"/>
      <c r="B448" s="189"/>
      <c r="C448" s="91"/>
      <c r="D448" s="91"/>
      <c r="E448" s="91"/>
      <c r="F448" s="91"/>
      <c r="G448" s="91"/>
      <c r="H448" s="91"/>
      <c r="I448" s="91"/>
      <c r="J448" s="91"/>
      <c r="K448" s="91"/>
      <c r="L448" s="91"/>
      <c r="M448" s="91"/>
      <c r="N448" s="91"/>
      <c r="O448" s="91"/>
      <c r="P448" s="91"/>
      <c r="Q448" s="91"/>
      <c r="R448" s="91"/>
      <c r="S448" s="91"/>
      <c r="T448" s="91"/>
      <c r="U448" s="91"/>
      <c r="V448" s="91"/>
      <c r="W448" s="91"/>
      <c r="X448" s="91"/>
      <c r="Y448" s="91"/>
      <c r="Z448" s="91"/>
    </row>
    <row r="449" spans="1:26" ht="15.75" customHeight="1" x14ac:dyDescent="0.25">
      <c r="A449" s="9"/>
      <c r="B449" s="189"/>
      <c r="C449" s="91"/>
      <c r="D449" s="91"/>
      <c r="E449" s="91"/>
      <c r="F449" s="91"/>
      <c r="G449" s="91"/>
      <c r="H449" s="91"/>
      <c r="I449" s="91"/>
      <c r="J449" s="91"/>
      <c r="K449" s="91"/>
      <c r="L449" s="91"/>
      <c r="M449" s="91"/>
      <c r="N449" s="91"/>
      <c r="O449" s="91"/>
      <c r="P449" s="91"/>
      <c r="Q449" s="91"/>
      <c r="R449" s="91"/>
      <c r="S449" s="91"/>
      <c r="T449" s="91"/>
      <c r="U449" s="91"/>
      <c r="V449" s="91"/>
      <c r="W449" s="91"/>
      <c r="X449" s="91"/>
      <c r="Y449" s="91"/>
      <c r="Z449" s="91"/>
    </row>
    <row r="450" spans="1:26" ht="15.75" customHeight="1" x14ac:dyDescent="0.25">
      <c r="A450" s="9"/>
      <c r="B450" s="189"/>
      <c r="C450" s="91"/>
      <c r="D450" s="91"/>
      <c r="E450" s="91"/>
      <c r="F450" s="91"/>
      <c r="G450" s="91"/>
      <c r="H450" s="91"/>
      <c r="I450" s="91"/>
      <c r="J450" s="91"/>
      <c r="K450" s="91"/>
      <c r="L450" s="91"/>
      <c r="M450" s="91"/>
      <c r="N450" s="91"/>
      <c r="O450" s="91"/>
      <c r="P450" s="91"/>
      <c r="Q450" s="91"/>
      <c r="R450" s="91"/>
      <c r="S450" s="91"/>
      <c r="T450" s="91"/>
      <c r="U450" s="91"/>
      <c r="V450" s="91"/>
      <c r="W450" s="91"/>
      <c r="X450" s="91"/>
      <c r="Y450" s="91"/>
      <c r="Z450" s="91"/>
    </row>
    <row r="451" spans="1:26" ht="15.75" customHeight="1" x14ac:dyDescent="0.25">
      <c r="A451" s="9"/>
      <c r="B451" s="189"/>
      <c r="C451" s="91"/>
      <c r="D451" s="91"/>
      <c r="E451" s="91"/>
      <c r="F451" s="91"/>
      <c r="G451" s="91"/>
      <c r="H451" s="91"/>
      <c r="I451" s="91"/>
      <c r="J451" s="91"/>
      <c r="K451" s="91"/>
      <c r="L451" s="91"/>
      <c r="M451" s="91"/>
      <c r="N451" s="91"/>
      <c r="O451" s="91"/>
      <c r="P451" s="91"/>
      <c r="Q451" s="91"/>
      <c r="R451" s="91"/>
      <c r="S451" s="91"/>
      <c r="T451" s="91"/>
      <c r="U451" s="91"/>
      <c r="V451" s="91"/>
      <c r="W451" s="91"/>
      <c r="X451" s="91"/>
      <c r="Y451" s="91"/>
      <c r="Z451" s="91"/>
    </row>
    <row r="452" spans="1:26" ht="15.75" customHeight="1" x14ac:dyDescent="0.25">
      <c r="A452" s="9"/>
      <c r="B452" s="189"/>
      <c r="C452" s="91"/>
      <c r="D452" s="91"/>
      <c r="E452" s="91"/>
      <c r="F452" s="91"/>
      <c r="G452" s="91"/>
      <c r="H452" s="91"/>
      <c r="I452" s="91"/>
      <c r="J452" s="91"/>
      <c r="K452" s="91"/>
      <c r="L452" s="91"/>
      <c r="M452" s="91"/>
      <c r="N452" s="91"/>
      <c r="O452" s="91"/>
      <c r="P452" s="91"/>
      <c r="Q452" s="91"/>
      <c r="R452" s="91"/>
      <c r="S452" s="91"/>
      <c r="T452" s="91"/>
      <c r="U452" s="91"/>
      <c r="V452" s="91"/>
      <c r="W452" s="91"/>
      <c r="X452" s="91"/>
      <c r="Y452" s="91"/>
      <c r="Z452" s="91"/>
    </row>
    <row r="453" spans="1:26" ht="15.75" customHeight="1" x14ac:dyDescent="0.25">
      <c r="A453" s="9"/>
      <c r="B453" s="189"/>
      <c r="C453" s="91"/>
      <c r="D453" s="91"/>
      <c r="E453" s="91"/>
      <c r="F453" s="91"/>
      <c r="G453" s="91"/>
      <c r="H453" s="91"/>
      <c r="I453" s="91"/>
      <c r="J453" s="91"/>
      <c r="K453" s="91"/>
      <c r="L453" s="91"/>
      <c r="M453" s="91"/>
      <c r="N453" s="91"/>
      <c r="O453" s="91"/>
      <c r="P453" s="91"/>
      <c r="Q453" s="91"/>
      <c r="R453" s="91"/>
      <c r="S453" s="91"/>
      <c r="T453" s="91"/>
      <c r="U453" s="91"/>
      <c r="V453" s="91"/>
      <c r="W453" s="91"/>
      <c r="X453" s="91"/>
      <c r="Y453" s="91"/>
      <c r="Z453" s="91"/>
    </row>
    <row r="454" spans="1:26" ht="15.75" customHeight="1" x14ac:dyDescent="0.25">
      <c r="A454" s="9"/>
      <c r="B454" s="189"/>
      <c r="C454" s="91"/>
      <c r="D454" s="91"/>
      <c r="E454" s="91"/>
      <c r="F454" s="91"/>
      <c r="G454" s="91"/>
      <c r="H454" s="91"/>
      <c r="I454" s="91"/>
      <c r="J454" s="91"/>
      <c r="K454" s="91"/>
      <c r="L454" s="91"/>
      <c r="M454" s="91"/>
      <c r="N454" s="91"/>
      <c r="O454" s="91"/>
      <c r="P454" s="91"/>
      <c r="Q454" s="91"/>
      <c r="R454" s="91"/>
      <c r="S454" s="91"/>
      <c r="T454" s="91"/>
      <c r="U454" s="91"/>
      <c r="V454" s="91"/>
      <c r="W454" s="91"/>
      <c r="X454" s="91"/>
      <c r="Y454" s="91"/>
      <c r="Z454" s="91"/>
    </row>
    <row r="455" spans="1:26" ht="15.75" customHeight="1" x14ac:dyDescent="0.25">
      <c r="A455" s="9"/>
      <c r="B455" s="189"/>
      <c r="C455" s="91"/>
      <c r="D455" s="91"/>
      <c r="E455" s="91"/>
      <c r="F455" s="91"/>
      <c r="G455" s="91"/>
      <c r="H455" s="91"/>
      <c r="I455" s="91"/>
      <c r="J455" s="91"/>
      <c r="K455" s="91"/>
      <c r="L455" s="91"/>
      <c r="M455" s="91"/>
      <c r="N455" s="91"/>
      <c r="O455" s="91"/>
      <c r="P455" s="91"/>
      <c r="Q455" s="91"/>
      <c r="R455" s="91"/>
      <c r="S455" s="91"/>
      <c r="T455" s="91"/>
      <c r="U455" s="91"/>
      <c r="V455" s="91"/>
      <c r="W455" s="91"/>
      <c r="X455" s="91"/>
      <c r="Y455" s="91"/>
      <c r="Z455" s="91"/>
    </row>
    <row r="456" spans="1:26" ht="15.75" customHeight="1" x14ac:dyDescent="0.25">
      <c r="A456" s="9"/>
      <c r="B456" s="189"/>
      <c r="C456" s="91"/>
      <c r="D456" s="91"/>
      <c r="E456" s="91"/>
      <c r="F456" s="91"/>
      <c r="G456" s="91"/>
      <c r="H456" s="91"/>
      <c r="I456" s="91"/>
      <c r="J456" s="91"/>
      <c r="K456" s="91"/>
      <c r="L456" s="91"/>
      <c r="M456" s="91"/>
      <c r="N456" s="91"/>
      <c r="O456" s="91"/>
      <c r="P456" s="91"/>
      <c r="Q456" s="91"/>
      <c r="R456" s="91"/>
      <c r="S456" s="91"/>
      <c r="T456" s="91"/>
      <c r="U456" s="91"/>
      <c r="V456" s="91"/>
      <c r="W456" s="91"/>
      <c r="X456" s="91"/>
      <c r="Y456" s="91"/>
      <c r="Z456" s="91"/>
    </row>
    <row r="457" spans="1:26" ht="15.75" customHeight="1" x14ac:dyDescent="0.25">
      <c r="A457" s="9"/>
      <c r="B457" s="189"/>
      <c r="C457" s="91"/>
      <c r="D457" s="91"/>
      <c r="E457" s="91"/>
      <c r="F457" s="91"/>
      <c r="G457" s="91"/>
      <c r="H457" s="91"/>
      <c r="I457" s="91"/>
      <c r="J457" s="91"/>
      <c r="K457" s="91"/>
      <c r="L457" s="91"/>
      <c r="M457" s="91"/>
      <c r="N457" s="91"/>
      <c r="O457" s="91"/>
      <c r="P457" s="91"/>
      <c r="Q457" s="91"/>
      <c r="R457" s="91"/>
      <c r="S457" s="91"/>
      <c r="T457" s="91"/>
      <c r="U457" s="91"/>
      <c r="V457" s="91"/>
      <c r="W457" s="91"/>
      <c r="X457" s="91"/>
      <c r="Y457" s="91"/>
      <c r="Z457" s="91"/>
    </row>
    <row r="458" spans="1:26" ht="15.75" customHeight="1" x14ac:dyDescent="0.25">
      <c r="A458" s="9"/>
      <c r="B458" s="189"/>
      <c r="C458" s="91"/>
      <c r="D458" s="91"/>
      <c r="E458" s="91"/>
      <c r="F458" s="91"/>
      <c r="G458" s="91"/>
      <c r="H458" s="91"/>
      <c r="I458" s="91"/>
      <c r="J458" s="91"/>
      <c r="K458" s="91"/>
      <c r="L458" s="91"/>
      <c r="M458" s="91"/>
      <c r="N458" s="91"/>
      <c r="O458" s="91"/>
      <c r="P458" s="91"/>
      <c r="Q458" s="91"/>
      <c r="R458" s="91"/>
      <c r="S458" s="91"/>
      <c r="T458" s="91"/>
      <c r="U458" s="91"/>
      <c r="V458" s="91"/>
      <c r="W458" s="91"/>
      <c r="X458" s="91"/>
      <c r="Y458" s="91"/>
      <c r="Z458" s="91"/>
    </row>
    <row r="459" spans="1:26" ht="15.75" customHeight="1" x14ac:dyDescent="0.25">
      <c r="A459" s="9"/>
      <c r="B459" s="189"/>
      <c r="C459" s="91"/>
      <c r="D459" s="91"/>
      <c r="E459" s="91"/>
      <c r="F459" s="91"/>
      <c r="G459" s="91"/>
      <c r="H459" s="91"/>
      <c r="I459" s="91"/>
      <c r="J459" s="91"/>
      <c r="K459" s="91"/>
      <c r="L459" s="91"/>
      <c r="M459" s="91"/>
      <c r="N459" s="91"/>
      <c r="O459" s="91"/>
      <c r="P459" s="91"/>
      <c r="Q459" s="91"/>
      <c r="R459" s="91"/>
      <c r="S459" s="91"/>
      <c r="T459" s="91"/>
      <c r="U459" s="91"/>
      <c r="V459" s="91"/>
      <c r="W459" s="91"/>
      <c r="X459" s="91"/>
      <c r="Y459" s="91"/>
      <c r="Z459" s="91"/>
    </row>
    <row r="460" spans="1:26" ht="15.75" customHeight="1" x14ac:dyDescent="0.25">
      <c r="A460" s="9"/>
      <c r="B460" s="189"/>
      <c r="C460" s="91"/>
      <c r="D460" s="91"/>
      <c r="E460" s="91"/>
      <c r="F460" s="91"/>
      <c r="G460" s="91"/>
      <c r="H460" s="91"/>
      <c r="I460" s="91"/>
      <c r="J460" s="91"/>
      <c r="K460" s="91"/>
      <c r="L460" s="91"/>
      <c r="M460" s="91"/>
      <c r="N460" s="91"/>
      <c r="O460" s="91"/>
      <c r="P460" s="91"/>
      <c r="Q460" s="91"/>
      <c r="R460" s="91"/>
      <c r="S460" s="91"/>
      <c r="T460" s="91"/>
      <c r="U460" s="91"/>
      <c r="V460" s="91"/>
      <c r="W460" s="91"/>
      <c r="X460" s="91"/>
      <c r="Y460" s="91"/>
      <c r="Z460" s="91"/>
    </row>
    <row r="461" spans="1:26" ht="15.75" customHeight="1" x14ac:dyDescent="0.25">
      <c r="A461" s="9"/>
      <c r="B461" s="189"/>
      <c r="C461" s="91"/>
      <c r="D461" s="91"/>
      <c r="E461" s="91"/>
      <c r="F461" s="91"/>
      <c r="G461" s="91"/>
      <c r="H461" s="91"/>
      <c r="I461" s="91"/>
      <c r="J461" s="91"/>
      <c r="K461" s="91"/>
      <c r="L461" s="91"/>
      <c r="M461" s="91"/>
      <c r="N461" s="91"/>
      <c r="O461" s="91"/>
      <c r="P461" s="91"/>
      <c r="Q461" s="91"/>
      <c r="R461" s="91"/>
      <c r="S461" s="91"/>
      <c r="T461" s="91"/>
      <c r="U461" s="91"/>
      <c r="V461" s="91"/>
      <c r="W461" s="91"/>
      <c r="X461" s="91"/>
      <c r="Y461" s="91"/>
      <c r="Z461" s="91"/>
    </row>
    <row r="462" spans="1:26" ht="15.75" customHeight="1" x14ac:dyDescent="0.25">
      <c r="A462" s="9"/>
      <c r="B462" s="189"/>
      <c r="C462" s="91"/>
      <c r="D462" s="91"/>
      <c r="E462" s="91"/>
      <c r="F462" s="91"/>
      <c r="G462" s="91"/>
      <c r="H462" s="91"/>
      <c r="I462" s="91"/>
      <c r="J462" s="91"/>
      <c r="K462" s="91"/>
      <c r="L462" s="91"/>
      <c r="M462" s="91"/>
      <c r="N462" s="91"/>
      <c r="O462" s="91"/>
      <c r="P462" s="91"/>
      <c r="Q462" s="91"/>
      <c r="R462" s="91"/>
      <c r="S462" s="91"/>
      <c r="T462" s="91"/>
      <c r="U462" s="91"/>
      <c r="V462" s="91"/>
      <c r="W462" s="91"/>
      <c r="X462" s="91"/>
      <c r="Y462" s="91"/>
      <c r="Z462" s="91"/>
    </row>
    <row r="463" spans="1:26" ht="15.75" customHeight="1" x14ac:dyDescent="0.25">
      <c r="A463" s="9"/>
      <c r="B463" s="189"/>
      <c r="C463" s="91"/>
      <c r="D463" s="91"/>
      <c r="E463" s="91"/>
      <c r="F463" s="91"/>
      <c r="G463" s="91"/>
      <c r="H463" s="91"/>
      <c r="I463" s="91"/>
      <c r="J463" s="91"/>
      <c r="K463" s="91"/>
      <c r="L463" s="91"/>
      <c r="M463" s="91"/>
      <c r="N463" s="91"/>
      <c r="O463" s="91"/>
      <c r="P463" s="91"/>
      <c r="Q463" s="91"/>
      <c r="R463" s="91"/>
      <c r="S463" s="91"/>
      <c r="T463" s="91"/>
      <c r="U463" s="91"/>
      <c r="V463" s="91"/>
      <c r="W463" s="91"/>
      <c r="X463" s="91"/>
      <c r="Y463" s="91"/>
      <c r="Z463" s="91"/>
    </row>
    <row r="464" spans="1:26" ht="15.75" customHeight="1" x14ac:dyDescent="0.25">
      <c r="A464" s="9"/>
      <c r="B464" s="189"/>
      <c r="C464" s="91"/>
      <c r="D464" s="91"/>
      <c r="E464" s="91"/>
      <c r="F464" s="91"/>
      <c r="G464" s="91"/>
      <c r="H464" s="91"/>
      <c r="I464" s="91"/>
      <c r="J464" s="91"/>
      <c r="K464" s="91"/>
      <c r="L464" s="91"/>
      <c r="M464" s="91"/>
      <c r="N464" s="91"/>
      <c r="O464" s="91"/>
      <c r="P464" s="91"/>
      <c r="Q464" s="91"/>
      <c r="R464" s="91"/>
      <c r="S464" s="91"/>
      <c r="T464" s="91"/>
      <c r="U464" s="91"/>
      <c r="V464" s="91"/>
      <c r="W464" s="91"/>
      <c r="X464" s="91"/>
      <c r="Y464" s="91"/>
      <c r="Z464" s="91"/>
    </row>
    <row r="465" spans="1:26" ht="15.75" customHeight="1" x14ac:dyDescent="0.25">
      <c r="A465" s="9"/>
      <c r="B465" s="189"/>
      <c r="C465" s="91"/>
      <c r="D465" s="91"/>
      <c r="E465" s="91"/>
      <c r="F465" s="91"/>
      <c r="G465" s="91"/>
      <c r="H465" s="91"/>
      <c r="I465" s="91"/>
      <c r="J465" s="91"/>
      <c r="K465" s="91"/>
      <c r="L465" s="91"/>
      <c r="M465" s="91"/>
      <c r="N465" s="91"/>
      <c r="O465" s="91"/>
      <c r="P465" s="91"/>
      <c r="Q465" s="91"/>
      <c r="R465" s="91"/>
      <c r="S465" s="91"/>
      <c r="T465" s="91"/>
      <c r="U465" s="91"/>
      <c r="V465" s="91"/>
      <c r="W465" s="91"/>
      <c r="X465" s="91"/>
      <c r="Y465" s="91"/>
      <c r="Z465" s="91"/>
    </row>
    <row r="466" spans="1:26" ht="15.75" customHeight="1" x14ac:dyDescent="0.25">
      <c r="A466" s="9"/>
      <c r="B466" s="189"/>
      <c r="C466" s="91"/>
      <c r="D466" s="91"/>
      <c r="E466" s="91"/>
      <c r="F466" s="91"/>
      <c r="G466" s="91"/>
      <c r="H466" s="91"/>
      <c r="I466" s="91"/>
      <c r="J466" s="91"/>
      <c r="K466" s="91"/>
      <c r="L466" s="91"/>
      <c r="M466" s="91"/>
      <c r="N466" s="91"/>
      <c r="O466" s="91"/>
      <c r="P466" s="91"/>
      <c r="Q466" s="91"/>
      <c r="R466" s="91"/>
      <c r="S466" s="91"/>
      <c r="T466" s="91"/>
      <c r="U466" s="91"/>
      <c r="V466" s="91"/>
      <c r="W466" s="91"/>
      <c r="X466" s="91"/>
      <c r="Y466" s="91"/>
      <c r="Z466" s="91"/>
    </row>
    <row r="467" spans="1:26" ht="15.75" customHeight="1" x14ac:dyDescent="0.25">
      <c r="A467" s="9"/>
      <c r="B467" s="189"/>
      <c r="C467" s="91"/>
      <c r="D467" s="91"/>
      <c r="E467" s="91"/>
      <c r="F467" s="91"/>
      <c r="G467" s="91"/>
      <c r="H467" s="91"/>
      <c r="I467" s="91"/>
      <c r="J467" s="91"/>
      <c r="K467" s="91"/>
      <c r="L467" s="91"/>
      <c r="M467" s="91"/>
      <c r="N467" s="91"/>
      <c r="O467" s="91"/>
      <c r="P467" s="91"/>
      <c r="Q467" s="91"/>
      <c r="R467" s="91"/>
      <c r="S467" s="91"/>
      <c r="T467" s="91"/>
      <c r="U467" s="91"/>
      <c r="V467" s="91"/>
      <c r="W467" s="91"/>
      <c r="X467" s="91"/>
      <c r="Y467" s="91"/>
      <c r="Z467" s="91"/>
    </row>
    <row r="468" spans="1:26" ht="15.75" customHeight="1" x14ac:dyDescent="0.25">
      <c r="A468" s="9"/>
      <c r="B468" s="189"/>
      <c r="C468" s="91"/>
      <c r="D468" s="91"/>
      <c r="E468" s="91"/>
      <c r="F468" s="91"/>
      <c r="G468" s="91"/>
      <c r="H468" s="91"/>
      <c r="I468" s="91"/>
      <c r="J468" s="91"/>
      <c r="K468" s="91"/>
      <c r="L468" s="91"/>
      <c r="M468" s="91"/>
      <c r="N468" s="91"/>
      <c r="O468" s="91"/>
      <c r="P468" s="91"/>
      <c r="Q468" s="91"/>
      <c r="R468" s="91"/>
      <c r="S468" s="91"/>
      <c r="T468" s="91"/>
      <c r="U468" s="91"/>
      <c r="V468" s="91"/>
      <c r="W468" s="91"/>
      <c r="X468" s="91"/>
      <c r="Y468" s="91"/>
      <c r="Z468" s="91"/>
    </row>
    <row r="469" spans="1:26" ht="15.75" customHeight="1" x14ac:dyDescent="0.25">
      <c r="A469" s="9"/>
      <c r="B469" s="189"/>
      <c r="C469" s="91"/>
      <c r="D469" s="91"/>
      <c r="E469" s="91"/>
      <c r="F469" s="91"/>
      <c r="G469" s="91"/>
      <c r="H469" s="91"/>
      <c r="I469" s="91"/>
      <c r="J469" s="91"/>
      <c r="K469" s="91"/>
      <c r="L469" s="91"/>
      <c r="M469" s="91"/>
      <c r="N469" s="91"/>
      <c r="O469" s="91"/>
      <c r="P469" s="91"/>
      <c r="Q469" s="91"/>
      <c r="R469" s="91"/>
      <c r="S469" s="91"/>
      <c r="T469" s="91"/>
      <c r="U469" s="91"/>
      <c r="V469" s="91"/>
      <c r="W469" s="91"/>
      <c r="X469" s="91"/>
      <c r="Y469" s="91"/>
      <c r="Z469" s="91"/>
    </row>
    <row r="470" spans="1:26" ht="15.75" customHeight="1" x14ac:dyDescent="0.25">
      <c r="A470" s="9"/>
      <c r="B470" s="189"/>
      <c r="C470" s="91"/>
      <c r="D470" s="91"/>
      <c r="E470" s="91"/>
      <c r="F470" s="91"/>
      <c r="G470" s="91"/>
      <c r="H470" s="91"/>
      <c r="I470" s="91"/>
      <c r="J470" s="91"/>
      <c r="K470" s="91"/>
      <c r="L470" s="91"/>
      <c r="M470" s="91"/>
      <c r="N470" s="91"/>
      <c r="O470" s="91"/>
      <c r="P470" s="91"/>
      <c r="Q470" s="91"/>
      <c r="R470" s="91"/>
      <c r="S470" s="91"/>
      <c r="T470" s="91"/>
      <c r="U470" s="91"/>
      <c r="V470" s="91"/>
      <c r="W470" s="91"/>
      <c r="X470" s="91"/>
      <c r="Y470" s="91"/>
      <c r="Z470" s="91"/>
    </row>
    <row r="471" spans="1:26" ht="15.75" customHeight="1" x14ac:dyDescent="0.25">
      <c r="A471" s="9"/>
      <c r="B471" s="189"/>
      <c r="C471" s="91"/>
      <c r="D471" s="91"/>
      <c r="E471" s="91"/>
      <c r="F471" s="91"/>
      <c r="G471" s="91"/>
      <c r="H471" s="91"/>
      <c r="I471" s="91"/>
      <c r="J471" s="91"/>
      <c r="K471" s="91"/>
      <c r="L471" s="91"/>
      <c r="M471" s="91"/>
      <c r="N471" s="91"/>
      <c r="O471" s="91"/>
      <c r="P471" s="91"/>
      <c r="Q471" s="91"/>
      <c r="R471" s="91"/>
      <c r="S471" s="91"/>
      <c r="T471" s="91"/>
      <c r="U471" s="91"/>
      <c r="V471" s="91"/>
      <c r="W471" s="91"/>
      <c r="X471" s="91"/>
      <c r="Y471" s="91"/>
      <c r="Z471" s="91"/>
    </row>
    <row r="472" spans="1:26" ht="15.75" customHeight="1" x14ac:dyDescent="0.25">
      <c r="A472" s="9"/>
      <c r="B472" s="189"/>
      <c r="C472" s="91"/>
      <c r="D472" s="91"/>
      <c r="E472" s="91"/>
      <c r="F472" s="91"/>
      <c r="G472" s="91"/>
      <c r="H472" s="91"/>
      <c r="I472" s="91"/>
      <c r="J472" s="91"/>
      <c r="K472" s="91"/>
      <c r="L472" s="91"/>
      <c r="M472" s="91"/>
      <c r="N472" s="91"/>
      <c r="O472" s="91"/>
      <c r="P472" s="91"/>
      <c r="Q472" s="91"/>
      <c r="R472" s="91"/>
      <c r="S472" s="91"/>
      <c r="T472" s="91"/>
      <c r="U472" s="91"/>
      <c r="V472" s="91"/>
      <c r="W472" s="91"/>
      <c r="X472" s="91"/>
      <c r="Y472" s="91"/>
      <c r="Z472" s="91"/>
    </row>
    <row r="473" spans="1:26" ht="15.75" customHeight="1" x14ac:dyDescent="0.25">
      <c r="A473" s="9"/>
      <c r="B473" s="189"/>
      <c r="C473" s="91"/>
      <c r="D473" s="91"/>
      <c r="E473" s="91"/>
      <c r="F473" s="91"/>
      <c r="G473" s="91"/>
      <c r="H473" s="91"/>
      <c r="I473" s="91"/>
      <c r="J473" s="91"/>
      <c r="K473" s="91"/>
      <c r="L473" s="91"/>
      <c r="M473" s="91"/>
      <c r="N473" s="91"/>
      <c r="O473" s="91"/>
      <c r="P473" s="91"/>
      <c r="Q473" s="91"/>
      <c r="R473" s="91"/>
      <c r="S473" s="91"/>
      <c r="T473" s="91"/>
      <c r="U473" s="91"/>
      <c r="V473" s="91"/>
      <c r="W473" s="91"/>
      <c r="X473" s="91"/>
      <c r="Y473" s="91"/>
      <c r="Z473" s="91"/>
    </row>
    <row r="474" spans="1:26" ht="15.75" customHeight="1" x14ac:dyDescent="0.25">
      <c r="A474" s="9"/>
      <c r="B474" s="189"/>
      <c r="C474" s="91"/>
      <c r="D474" s="91"/>
      <c r="E474" s="91"/>
      <c r="F474" s="91"/>
      <c r="G474" s="91"/>
      <c r="H474" s="91"/>
      <c r="I474" s="91"/>
      <c r="J474" s="91"/>
      <c r="K474" s="91"/>
      <c r="L474" s="91"/>
      <c r="M474" s="91"/>
      <c r="N474" s="91"/>
      <c r="O474" s="91"/>
      <c r="P474" s="91"/>
      <c r="Q474" s="91"/>
      <c r="R474" s="91"/>
      <c r="S474" s="91"/>
      <c r="T474" s="91"/>
      <c r="U474" s="91"/>
      <c r="V474" s="91"/>
      <c r="W474" s="91"/>
      <c r="X474" s="91"/>
      <c r="Y474" s="91"/>
      <c r="Z474" s="91"/>
    </row>
    <row r="475" spans="1:26" ht="15.75" customHeight="1" x14ac:dyDescent="0.25">
      <c r="A475" s="9"/>
      <c r="B475" s="189"/>
      <c r="C475" s="91"/>
      <c r="D475" s="91"/>
      <c r="E475" s="91"/>
      <c r="F475" s="91"/>
      <c r="G475" s="91"/>
      <c r="H475" s="91"/>
      <c r="I475" s="91"/>
      <c r="J475" s="91"/>
      <c r="K475" s="91"/>
      <c r="L475" s="91"/>
      <c r="M475" s="91"/>
      <c r="N475" s="91"/>
      <c r="O475" s="91"/>
      <c r="P475" s="91"/>
      <c r="Q475" s="91"/>
      <c r="R475" s="91"/>
      <c r="S475" s="91"/>
      <c r="T475" s="91"/>
      <c r="U475" s="91"/>
      <c r="V475" s="91"/>
      <c r="W475" s="91"/>
      <c r="X475" s="91"/>
      <c r="Y475" s="91"/>
      <c r="Z475" s="91"/>
    </row>
    <row r="476" spans="1:26" ht="15.75" customHeight="1" x14ac:dyDescent="0.25">
      <c r="A476" s="9"/>
      <c r="B476" s="189"/>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row>
    <row r="477" spans="1:26" ht="15.75" customHeight="1" x14ac:dyDescent="0.25">
      <c r="A477" s="9"/>
      <c r="B477" s="189"/>
      <c r="C477" s="91"/>
      <c r="D477" s="91"/>
      <c r="E477" s="91"/>
      <c r="F477" s="91"/>
      <c r="G477" s="91"/>
      <c r="H477" s="91"/>
      <c r="I477" s="91"/>
      <c r="J477" s="91"/>
      <c r="K477" s="91"/>
      <c r="L477" s="91"/>
      <c r="M477" s="91"/>
      <c r="N477" s="91"/>
      <c r="O477" s="91"/>
      <c r="P477" s="91"/>
      <c r="Q477" s="91"/>
      <c r="R477" s="91"/>
      <c r="S477" s="91"/>
      <c r="T477" s="91"/>
      <c r="U477" s="91"/>
      <c r="V477" s="91"/>
      <c r="W477" s="91"/>
      <c r="X477" s="91"/>
      <c r="Y477" s="91"/>
      <c r="Z477" s="91"/>
    </row>
    <row r="478" spans="1:26" ht="15.75" customHeight="1" x14ac:dyDescent="0.25">
      <c r="A478" s="9"/>
      <c r="B478" s="189"/>
      <c r="C478" s="91"/>
      <c r="D478" s="91"/>
      <c r="E478" s="91"/>
      <c r="F478" s="91"/>
      <c r="G478" s="91"/>
      <c r="H478" s="91"/>
      <c r="I478" s="91"/>
      <c r="J478" s="91"/>
      <c r="K478" s="91"/>
      <c r="L478" s="91"/>
      <c r="M478" s="91"/>
      <c r="N478" s="91"/>
      <c r="O478" s="91"/>
      <c r="P478" s="91"/>
      <c r="Q478" s="91"/>
      <c r="R478" s="91"/>
      <c r="S478" s="91"/>
      <c r="T478" s="91"/>
      <c r="U478" s="91"/>
      <c r="V478" s="91"/>
      <c r="W478" s="91"/>
      <c r="X478" s="91"/>
      <c r="Y478" s="91"/>
      <c r="Z478" s="91"/>
    </row>
    <row r="479" spans="1:26" ht="15.75" customHeight="1" x14ac:dyDescent="0.25">
      <c r="A479" s="9"/>
      <c r="B479" s="189"/>
      <c r="C479" s="91"/>
      <c r="D479" s="91"/>
      <c r="E479" s="91"/>
      <c r="F479" s="91"/>
      <c r="G479" s="91"/>
      <c r="H479" s="91"/>
      <c r="I479" s="91"/>
      <c r="J479" s="91"/>
      <c r="K479" s="91"/>
      <c r="L479" s="91"/>
      <c r="M479" s="91"/>
      <c r="N479" s="91"/>
      <c r="O479" s="91"/>
      <c r="P479" s="91"/>
      <c r="Q479" s="91"/>
      <c r="R479" s="91"/>
      <c r="S479" s="91"/>
      <c r="T479" s="91"/>
      <c r="U479" s="91"/>
      <c r="V479" s="91"/>
      <c r="W479" s="91"/>
      <c r="X479" s="91"/>
      <c r="Y479" s="91"/>
      <c r="Z479" s="91"/>
    </row>
    <row r="480" spans="1:26" ht="15.75" customHeight="1" x14ac:dyDescent="0.25">
      <c r="A480" s="9"/>
      <c r="B480" s="189"/>
      <c r="C480" s="91"/>
      <c r="D480" s="91"/>
      <c r="E480" s="91"/>
      <c r="F480" s="91"/>
      <c r="G480" s="91"/>
      <c r="H480" s="91"/>
      <c r="I480" s="91"/>
      <c r="J480" s="91"/>
      <c r="K480" s="91"/>
      <c r="L480" s="91"/>
      <c r="M480" s="91"/>
      <c r="N480" s="91"/>
      <c r="O480" s="91"/>
      <c r="P480" s="91"/>
      <c r="Q480" s="91"/>
      <c r="R480" s="91"/>
      <c r="S480" s="91"/>
      <c r="T480" s="91"/>
      <c r="U480" s="91"/>
      <c r="V480" s="91"/>
      <c r="W480" s="91"/>
      <c r="X480" s="91"/>
      <c r="Y480" s="91"/>
      <c r="Z480" s="91"/>
    </row>
    <row r="481" spans="1:26" ht="15.75" customHeight="1" x14ac:dyDescent="0.25">
      <c r="A481" s="9"/>
      <c r="B481" s="189"/>
      <c r="C481" s="91"/>
      <c r="D481" s="91"/>
      <c r="E481" s="91"/>
      <c r="F481" s="91"/>
      <c r="G481" s="91"/>
      <c r="H481" s="91"/>
      <c r="I481" s="91"/>
      <c r="J481" s="91"/>
      <c r="K481" s="91"/>
      <c r="L481" s="91"/>
      <c r="M481" s="91"/>
      <c r="N481" s="91"/>
      <c r="O481" s="91"/>
      <c r="P481" s="91"/>
      <c r="Q481" s="91"/>
      <c r="R481" s="91"/>
      <c r="S481" s="91"/>
      <c r="T481" s="91"/>
      <c r="U481" s="91"/>
      <c r="V481" s="91"/>
      <c r="W481" s="91"/>
      <c r="X481" s="91"/>
      <c r="Y481" s="91"/>
      <c r="Z481" s="91"/>
    </row>
    <row r="482" spans="1:26" ht="15.75" customHeight="1" x14ac:dyDescent="0.25">
      <c r="A482" s="9"/>
      <c r="B482" s="189"/>
      <c r="C482" s="91"/>
      <c r="D482" s="91"/>
      <c r="E482" s="91"/>
      <c r="F482" s="91"/>
      <c r="G482" s="91"/>
      <c r="H482" s="91"/>
      <c r="I482" s="91"/>
      <c r="J482" s="91"/>
      <c r="K482" s="91"/>
      <c r="L482" s="91"/>
      <c r="M482" s="91"/>
      <c r="N482" s="91"/>
      <c r="O482" s="91"/>
      <c r="P482" s="91"/>
      <c r="Q482" s="91"/>
      <c r="R482" s="91"/>
      <c r="S482" s="91"/>
      <c r="T482" s="91"/>
      <c r="U482" s="91"/>
      <c r="V482" s="91"/>
      <c r="W482" s="91"/>
      <c r="X482" s="91"/>
      <c r="Y482" s="91"/>
      <c r="Z482" s="91"/>
    </row>
    <row r="483" spans="1:26" ht="15.75" customHeight="1" x14ac:dyDescent="0.25">
      <c r="A483" s="9"/>
      <c r="B483" s="189"/>
      <c r="C483" s="91"/>
      <c r="D483" s="91"/>
      <c r="E483" s="91"/>
      <c r="F483" s="91"/>
      <c r="G483" s="91"/>
      <c r="H483" s="91"/>
      <c r="I483" s="91"/>
      <c r="J483" s="91"/>
      <c r="K483" s="91"/>
      <c r="L483" s="91"/>
      <c r="M483" s="91"/>
      <c r="N483" s="91"/>
      <c r="O483" s="91"/>
      <c r="P483" s="91"/>
      <c r="Q483" s="91"/>
      <c r="R483" s="91"/>
      <c r="S483" s="91"/>
      <c r="T483" s="91"/>
      <c r="U483" s="91"/>
      <c r="V483" s="91"/>
      <c r="W483" s="91"/>
      <c r="X483" s="91"/>
      <c r="Y483" s="91"/>
      <c r="Z483" s="91"/>
    </row>
    <row r="484" spans="1:26" ht="15.75" customHeight="1" x14ac:dyDescent="0.25">
      <c r="A484" s="9"/>
      <c r="B484" s="189"/>
      <c r="C484" s="91"/>
      <c r="D484" s="91"/>
      <c r="E484" s="91"/>
      <c r="F484" s="91"/>
      <c r="G484" s="91"/>
      <c r="H484" s="91"/>
      <c r="I484" s="91"/>
      <c r="J484" s="91"/>
      <c r="K484" s="91"/>
      <c r="L484" s="91"/>
      <c r="M484" s="91"/>
      <c r="N484" s="91"/>
      <c r="O484" s="91"/>
      <c r="P484" s="91"/>
      <c r="Q484" s="91"/>
      <c r="R484" s="91"/>
      <c r="S484" s="91"/>
      <c r="T484" s="91"/>
      <c r="U484" s="91"/>
      <c r="V484" s="91"/>
      <c r="W484" s="91"/>
      <c r="X484" s="91"/>
      <c r="Y484" s="91"/>
      <c r="Z484" s="91"/>
    </row>
    <row r="485" spans="1:26" ht="15.75" customHeight="1" x14ac:dyDescent="0.25">
      <c r="A485" s="9"/>
      <c r="B485" s="189"/>
      <c r="C485" s="91"/>
      <c r="D485" s="91"/>
      <c r="E485" s="91"/>
      <c r="F485" s="91"/>
      <c r="G485" s="91"/>
      <c r="H485" s="91"/>
      <c r="I485" s="91"/>
      <c r="J485" s="91"/>
      <c r="K485" s="91"/>
      <c r="L485" s="91"/>
      <c r="M485" s="91"/>
      <c r="N485" s="91"/>
      <c r="O485" s="91"/>
      <c r="P485" s="91"/>
      <c r="Q485" s="91"/>
      <c r="R485" s="91"/>
      <c r="S485" s="91"/>
      <c r="T485" s="91"/>
      <c r="U485" s="91"/>
      <c r="V485" s="91"/>
      <c r="W485" s="91"/>
      <c r="X485" s="91"/>
      <c r="Y485" s="91"/>
      <c r="Z485" s="91"/>
    </row>
    <row r="486" spans="1:26" ht="15.75" customHeight="1" x14ac:dyDescent="0.25">
      <c r="A486" s="9"/>
      <c r="B486" s="189"/>
      <c r="C486" s="91"/>
      <c r="D486" s="91"/>
      <c r="E486" s="91"/>
      <c r="F486" s="91"/>
      <c r="G486" s="91"/>
      <c r="H486" s="91"/>
      <c r="I486" s="91"/>
      <c r="J486" s="91"/>
      <c r="K486" s="91"/>
      <c r="L486" s="91"/>
      <c r="M486" s="91"/>
      <c r="N486" s="91"/>
      <c r="O486" s="91"/>
      <c r="P486" s="91"/>
      <c r="Q486" s="91"/>
      <c r="R486" s="91"/>
      <c r="S486" s="91"/>
      <c r="T486" s="91"/>
      <c r="U486" s="91"/>
      <c r="V486" s="91"/>
      <c r="W486" s="91"/>
      <c r="X486" s="91"/>
      <c r="Y486" s="91"/>
      <c r="Z486" s="91"/>
    </row>
    <row r="487" spans="1:26" ht="15.75" customHeight="1" x14ac:dyDescent="0.25">
      <c r="A487" s="9"/>
      <c r="B487" s="189"/>
      <c r="C487" s="91"/>
      <c r="D487" s="91"/>
      <c r="E487" s="91"/>
      <c r="F487" s="91"/>
      <c r="G487" s="91"/>
      <c r="H487" s="91"/>
      <c r="I487" s="91"/>
      <c r="J487" s="91"/>
      <c r="K487" s="91"/>
      <c r="L487" s="91"/>
      <c r="M487" s="91"/>
      <c r="N487" s="91"/>
      <c r="O487" s="91"/>
      <c r="P487" s="91"/>
      <c r="Q487" s="91"/>
      <c r="R487" s="91"/>
      <c r="S487" s="91"/>
      <c r="T487" s="91"/>
      <c r="U487" s="91"/>
      <c r="V487" s="91"/>
      <c r="W487" s="91"/>
      <c r="X487" s="91"/>
      <c r="Y487" s="91"/>
      <c r="Z487" s="91"/>
    </row>
    <row r="488" spans="1:26" ht="15.75" customHeight="1" x14ac:dyDescent="0.25">
      <c r="A488" s="9"/>
      <c r="B488" s="189"/>
      <c r="C488" s="91"/>
      <c r="D488" s="91"/>
      <c r="E488" s="91"/>
      <c r="F488" s="91"/>
      <c r="G488" s="91"/>
      <c r="H488" s="91"/>
      <c r="I488" s="91"/>
      <c r="J488" s="91"/>
      <c r="K488" s="91"/>
      <c r="L488" s="91"/>
      <c r="M488" s="91"/>
      <c r="N488" s="91"/>
      <c r="O488" s="91"/>
      <c r="P488" s="91"/>
      <c r="Q488" s="91"/>
      <c r="R488" s="91"/>
      <c r="S488" s="91"/>
      <c r="T488" s="91"/>
      <c r="U488" s="91"/>
      <c r="V488" s="91"/>
      <c r="W488" s="91"/>
      <c r="X488" s="91"/>
      <c r="Y488" s="91"/>
      <c r="Z488" s="91"/>
    </row>
    <row r="489" spans="1:26" ht="15.75" customHeight="1" x14ac:dyDescent="0.25">
      <c r="A489" s="9"/>
      <c r="B489" s="189"/>
      <c r="C489" s="91"/>
      <c r="D489" s="91"/>
      <c r="E489" s="91"/>
      <c r="F489" s="91"/>
      <c r="G489" s="91"/>
      <c r="H489" s="91"/>
      <c r="I489" s="91"/>
      <c r="J489" s="91"/>
      <c r="K489" s="91"/>
      <c r="L489" s="91"/>
      <c r="M489" s="91"/>
      <c r="N489" s="91"/>
      <c r="O489" s="91"/>
      <c r="P489" s="91"/>
      <c r="Q489" s="91"/>
      <c r="R489" s="91"/>
      <c r="S489" s="91"/>
      <c r="T489" s="91"/>
      <c r="U489" s="91"/>
      <c r="V489" s="91"/>
      <c r="W489" s="91"/>
      <c r="X489" s="91"/>
      <c r="Y489" s="91"/>
      <c r="Z489" s="91"/>
    </row>
    <row r="490" spans="1:26" ht="15.75" customHeight="1" x14ac:dyDescent="0.25">
      <c r="A490" s="9"/>
      <c r="B490" s="189"/>
      <c r="C490" s="91"/>
      <c r="D490" s="91"/>
      <c r="E490" s="91"/>
      <c r="F490" s="91"/>
      <c r="G490" s="91"/>
      <c r="H490" s="91"/>
      <c r="I490" s="91"/>
      <c r="J490" s="91"/>
      <c r="K490" s="91"/>
      <c r="L490" s="91"/>
      <c r="M490" s="91"/>
      <c r="N490" s="91"/>
      <c r="O490" s="91"/>
      <c r="P490" s="91"/>
      <c r="Q490" s="91"/>
      <c r="R490" s="91"/>
      <c r="S490" s="91"/>
      <c r="T490" s="91"/>
      <c r="U490" s="91"/>
      <c r="V490" s="91"/>
      <c r="W490" s="91"/>
      <c r="X490" s="91"/>
      <c r="Y490" s="91"/>
      <c r="Z490" s="91"/>
    </row>
    <row r="491" spans="1:26" ht="15.75" customHeight="1" x14ac:dyDescent="0.25">
      <c r="A491" s="9"/>
      <c r="B491" s="189"/>
      <c r="C491" s="91"/>
      <c r="D491" s="91"/>
      <c r="E491" s="91"/>
      <c r="F491" s="91"/>
      <c r="G491" s="91"/>
      <c r="H491" s="91"/>
      <c r="I491" s="91"/>
      <c r="J491" s="91"/>
      <c r="K491" s="91"/>
      <c r="L491" s="91"/>
      <c r="M491" s="91"/>
      <c r="N491" s="91"/>
      <c r="O491" s="91"/>
      <c r="P491" s="91"/>
      <c r="Q491" s="91"/>
      <c r="R491" s="91"/>
      <c r="S491" s="91"/>
      <c r="T491" s="91"/>
      <c r="U491" s="91"/>
      <c r="V491" s="91"/>
      <c r="W491" s="91"/>
      <c r="X491" s="91"/>
      <c r="Y491" s="91"/>
      <c r="Z491" s="91"/>
    </row>
    <row r="492" spans="1:26" ht="15.75" customHeight="1" x14ac:dyDescent="0.25">
      <c r="A492" s="9"/>
      <c r="B492" s="189"/>
      <c r="C492" s="91"/>
      <c r="D492" s="91"/>
      <c r="E492" s="91"/>
      <c r="F492" s="91"/>
      <c r="G492" s="91"/>
      <c r="H492" s="91"/>
      <c r="I492" s="91"/>
      <c r="J492" s="91"/>
      <c r="K492" s="91"/>
      <c r="L492" s="91"/>
      <c r="M492" s="91"/>
      <c r="N492" s="91"/>
      <c r="O492" s="91"/>
      <c r="P492" s="91"/>
      <c r="Q492" s="91"/>
      <c r="R492" s="91"/>
      <c r="S492" s="91"/>
      <c r="T492" s="91"/>
      <c r="U492" s="91"/>
      <c r="V492" s="91"/>
      <c r="W492" s="91"/>
      <c r="X492" s="91"/>
      <c r="Y492" s="91"/>
      <c r="Z492" s="91"/>
    </row>
    <row r="493" spans="1:26" ht="15.75" customHeight="1" x14ac:dyDescent="0.25">
      <c r="A493" s="9"/>
      <c r="B493" s="189"/>
      <c r="C493" s="91"/>
      <c r="D493" s="91"/>
      <c r="E493" s="91"/>
      <c r="F493" s="91"/>
      <c r="G493" s="91"/>
      <c r="H493" s="91"/>
      <c r="I493" s="91"/>
      <c r="J493" s="91"/>
      <c r="K493" s="91"/>
      <c r="L493" s="91"/>
      <c r="M493" s="91"/>
      <c r="N493" s="91"/>
      <c r="O493" s="91"/>
      <c r="P493" s="91"/>
      <c r="Q493" s="91"/>
      <c r="R493" s="91"/>
      <c r="S493" s="91"/>
      <c r="T493" s="91"/>
      <c r="U493" s="91"/>
      <c r="V493" s="91"/>
      <c r="W493" s="91"/>
      <c r="X493" s="91"/>
      <c r="Y493" s="91"/>
      <c r="Z493" s="91"/>
    </row>
    <row r="494" spans="1:26" ht="15.75" customHeight="1" x14ac:dyDescent="0.25">
      <c r="A494" s="9"/>
      <c r="B494" s="189"/>
      <c r="C494" s="91"/>
      <c r="D494" s="91"/>
      <c r="E494" s="91"/>
      <c r="F494" s="91"/>
      <c r="G494" s="91"/>
      <c r="H494" s="91"/>
      <c r="I494" s="91"/>
      <c r="J494" s="91"/>
      <c r="K494" s="91"/>
      <c r="L494" s="91"/>
      <c r="M494" s="91"/>
      <c r="N494" s="91"/>
      <c r="O494" s="91"/>
      <c r="P494" s="91"/>
      <c r="Q494" s="91"/>
      <c r="R494" s="91"/>
      <c r="S494" s="91"/>
      <c r="T494" s="91"/>
      <c r="U494" s="91"/>
      <c r="V494" s="91"/>
      <c r="W494" s="91"/>
      <c r="X494" s="91"/>
      <c r="Y494" s="91"/>
      <c r="Z494" s="91"/>
    </row>
    <row r="495" spans="1:26" ht="15.75" customHeight="1" x14ac:dyDescent="0.25">
      <c r="A495" s="9"/>
      <c r="B495" s="189"/>
      <c r="C495" s="91"/>
      <c r="D495" s="91"/>
      <c r="E495" s="91"/>
      <c r="F495" s="91"/>
      <c r="G495" s="91"/>
      <c r="H495" s="91"/>
      <c r="I495" s="91"/>
      <c r="J495" s="91"/>
      <c r="K495" s="91"/>
      <c r="L495" s="91"/>
      <c r="M495" s="91"/>
      <c r="N495" s="91"/>
      <c r="O495" s="91"/>
      <c r="P495" s="91"/>
      <c r="Q495" s="91"/>
      <c r="R495" s="91"/>
      <c r="S495" s="91"/>
      <c r="T495" s="91"/>
      <c r="U495" s="91"/>
      <c r="V495" s="91"/>
      <c r="W495" s="91"/>
      <c r="X495" s="91"/>
      <c r="Y495" s="91"/>
      <c r="Z495" s="91"/>
    </row>
    <row r="496" spans="1:26" ht="15.75" customHeight="1" x14ac:dyDescent="0.25">
      <c r="A496" s="9"/>
      <c r="B496" s="189"/>
      <c r="C496" s="91"/>
      <c r="D496" s="91"/>
      <c r="E496" s="91"/>
      <c r="F496" s="91"/>
      <c r="G496" s="91"/>
      <c r="H496" s="91"/>
      <c r="I496" s="91"/>
      <c r="J496" s="91"/>
      <c r="K496" s="91"/>
      <c r="L496" s="91"/>
      <c r="M496" s="91"/>
      <c r="N496" s="91"/>
      <c r="O496" s="91"/>
      <c r="P496" s="91"/>
      <c r="Q496" s="91"/>
      <c r="R496" s="91"/>
      <c r="S496" s="91"/>
      <c r="T496" s="91"/>
      <c r="U496" s="91"/>
      <c r="V496" s="91"/>
      <c r="W496" s="91"/>
      <c r="X496" s="91"/>
      <c r="Y496" s="91"/>
      <c r="Z496" s="91"/>
    </row>
    <row r="497" spans="1:26" ht="15.75" customHeight="1" x14ac:dyDescent="0.25">
      <c r="A497" s="9"/>
      <c r="B497" s="189"/>
      <c r="C497" s="91"/>
      <c r="D497" s="91"/>
      <c r="E497" s="91"/>
      <c r="F497" s="91"/>
      <c r="G497" s="91"/>
      <c r="H497" s="91"/>
      <c r="I497" s="91"/>
      <c r="J497" s="91"/>
      <c r="K497" s="91"/>
      <c r="L497" s="91"/>
      <c r="M497" s="91"/>
      <c r="N497" s="91"/>
      <c r="O497" s="91"/>
      <c r="P497" s="91"/>
      <c r="Q497" s="91"/>
      <c r="R497" s="91"/>
      <c r="S497" s="91"/>
      <c r="T497" s="91"/>
      <c r="U497" s="91"/>
      <c r="V497" s="91"/>
      <c r="W497" s="91"/>
      <c r="X497" s="91"/>
      <c r="Y497" s="91"/>
      <c r="Z497" s="91"/>
    </row>
    <row r="498" spans="1:26" ht="15.75" customHeight="1" x14ac:dyDescent="0.25">
      <c r="A498" s="9"/>
      <c r="B498" s="189"/>
      <c r="C498" s="91"/>
      <c r="D498" s="91"/>
      <c r="E498" s="91"/>
      <c r="F498" s="91"/>
      <c r="G498" s="91"/>
      <c r="H498" s="91"/>
      <c r="I498" s="91"/>
      <c r="J498" s="91"/>
      <c r="K498" s="91"/>
      <c r="L498" s="91"/>
      <c r="M498" s="91"/>
      <c r="N498" s="91"/>
      <c r="O498" s="91"/>
      <c r="P498" s="91"/>
      <c r="Q498" s="91"/>
      <c r="R498" s="91"/>
      <c r="S498" s="91"/>
      <c r="T498" s="91"/>
      <c r="U498" s="91"/>
      <c r="V498" s="91"/>
      <c r="W498" s="91"/>
      <c r="X498" s="91"/>
      <c r="Y498" s="91"/>
      <c r="Z498" s="91"/>
    </row>
    <row r="499" spans="1:26" ht="15.75" customHeight="1" x14ac:dyDescent="0.25">
      <c r="A499" s="9"/>
      <c r="B499" s="189"/>
      <c r="C499" s="91"/>
      <c r="D499" s="91"/>
      <c r="E499" s="91"/>
      <c r="F499" s="91"/>
      <c r="G499" s="91"/>
      <c r="H499" s="91"/>
      <c r="I499" s="91"/>
      <c r="J499" s="91"/>
      <c r="K499" s="91"/>
      <c r="L499" s="91"/>
      <c r="M499" s="91"/>
      <c r="N499" s="91"/>
      <c r="O499" s="91"/>
      <c r="P499" s="91"/>
      <c r="Q499" s="91"/>
      <c r="R499" s="91"/>
      <c r="S499" s="91"/>
      <c r="T499" s="91"/>
      <c r="U499" s="91"/>
      <c r="V499" s="91"/>
      <c r="W499" s="91"/>
      <c r="X499" s="91"/>
      <c r="Y499" s="91"/>
      <c r="Z499" s="91"/>
    </row>
    <row r="500" spans="1:26" ht="15.75" customHeight="1" x14ac:dyDescent="0.25">
      <c r="A500" s="9"/>
      <c r="B500" s="189"/>
      <c r="C500" s="91"/>
      <c r="D500" s="91"/>
      <c r="E500" s="91"/>
      <c r="F500" s="91"/>
      <c r="G500" s="91"/>
      <c r="H500" s="91"/>
      <c r="I500" s="91"/>
      <c r="J500" s="91"/>
      <c r="K500" s="91"/>
      <c r="L500" s="91"/>
      <c r="M500" s="91"/>
      <c r="N500" s="91"/>
      <c r="O500" s="91"/>
      <c r="P500" s="91"/>
      <c r="Q500" s="91"/>
      <c r="R500" s="91"/>
      <c r="S500" s="91"/>
      <c r="T500" s="91"/>
      <c r="U500" s="91"/>
      <c r="V500" s="91"/>
      <c r="W500" s="91"/>
      <c r="X500" s="91"/>
      <c r="Y500" s="91"/>
      <c r="Z500" s="91"/>
    </row>
    <row r="501" spans="1:26" ht="15.75" customHeight="1" x14ac:dyDescent="0.25">
      <c r="A501" s="9"/>
      <c r="B501" s="189"/>
      <c r="C501" s="91"/>
      <c r="D501" s="91"/>
      <c r="E501" s="91"/>
      <c r="F501" s="91"/>
      <c r="G501" s="91"/>
      <c r="H501" s="91"/>
      <c r="I501" s="91"/>
      <c r="J501" s="91"/>
      <c r="K501" s="91"/>
      <c r="L501" s="91"/>
      <c r="M501" s="91"/>
      <c r="N501" s="91"/>
      <c r="O501" s="91"/>
      <c r="P501" s="91"/>
      <c r="Q501" s="91"/>
      <c r="R501" s="91"/>
      <c r="S501" s="91"/>
      <c r="T501" s="91"/>
      <c r="U501" s="91"/>
      <c r="V501" s="91"/>
      <c r="W501" s="91"/>
      <c r="X501" s="91"/>
      <c r="Y501" s="91"/>
      <c r="Z501" s="91"/>
    </row>
    <row r="502" spans="1:26" ht="15.75" customHeight="1" x14ac:dyDescent="0.25">
      <c r="A502" s="9"/>
      <c r="B502" s="189"/>
      <c r="C502" s="91"/>
      <c r="D502" s="91"/>
      <c r="E502" s="91"/>
      <c r="F502" s="91"/>
      <c r="G502" s="91"/>
      <c r="H502" s="91"/>
      <c r="I502" s="91"/>
      <c r="J502" s="91"/>
      <c r="K502" s="91"/>
      <c r="L502" s="91"/>
      <c r="M502" s="91"/>
      <c r="N502" s="91"/>
      <c r="O502" s="91"/>
      <c r="P502" s="91"/>
      <c r="Q502" s="91"/>
      <c r="R502" s="91"/>
      <c r="S502" s="91"/>
      <c r="T502" s="91"/>
      <c r="U502" s="91"/>
      <c r="V502" s="91"/>
      <c r="W502" s="91"/>
      <c r="X502" s="91"/>
      <c r="Y502" s="91"/>
      <c r="Z502" s="91"/>
    </row>
    <row r="503" spans="1:26" ht="15.75" customHeight="1" x14ac:dyDescent="0.25">
      <c r="A503" s="9"/>
      <c r="B503" s="189"/>
      <c r="C503" s="91"/>
      <c r="D503" s="91"/>
      <c r="E503" s="91"/>
      <c r="F503" s="91"/>
      <c r="G503" s="91"/>
      <c r="H503" s="91"/>
      <c r="I503" s="91"/>
      <c r="J503" s="91"/>
      <c r="K503" s="91"/>
      <c r="L503" s="91"/>
      <c r="M503" s="91"/>
      <c r="N503" s="91"/>
      <c r="O503" s="91"/>
      <c r="P503" s="91"/>
      <c r="Q503" s="91"/>
      <c r="R503" s="91"/>
      <c r="S503" s="91"/>
      <c r="T503" s="91"/>
      <c r="U503" s="91"/>
      <c r="V503" s="91"/>
      <c r="W503" s="91"/>
      <c r="X503" s="91"/>
      <c r="Y503" s="91"/>
      <c r="Z503" s="91"/>
    </row>
    <row r="504" spans="1:26" ht="15.75" customHeight="1" x14ac:dyDescent="0.25">
      <c r="A504" s="9"/>
      <c r="B504" s="189"/>
      <c r="C504" s="91"/>
      <c r="D504" s="91"/>
      <c r="E504" s="91"/>
      <c r="F504" s="91"/>
      <c r="G504" s="91"/>
      <c r="H504" s="91"/>
      <c r="I504" s="91"/>
      <c r="J504" s="91"/>
      <c r="K504" s="91"/>
      <c r="L504" s="91"/>
      <c r="M504" s="91"/>
      <c r="N504" s="91"/>
      <c r="O504" s="91"/>
      <c r="P504" s="91"/>
      <c r="Q504" s="91"/>
      <c r="R504" s="91"/>
      <c r="S504" s="91"/>
      <c r="T504" s="91"/>
      <c r="U504" s="91"/>
      <c r="V504" s="91"/>
      <c r="W504" s="91"/>
      <c r="X504" s="91"/>
      <c r="Y504" s="91"/>
      <c r="Z504" s="91"/>
    </row>
    <row r="505" spans="1:26" ht="15.75" customHeight="1" x14ac:dyDescent="0.25">
      <c r="A505" s="9"/>
      <c r="B505" s="189"/>
      <c r="C505" s="91"/>
      <c r="D505" s="91"/>
      <c r="E505" s="91"/>
      <c r="F505" s="91"/>
      <c r="G505" s="91"/>
      <c r="H505" s="91"/>
      <c r="I505" s="91"/>
      <c r="J505" s="91"/>
      <c r="K505" s="91"/>
      <c r="L505" s="91"/>
      <c r="M505" s="91"/>
      <c r="N505" s="91"/>
      <c r="O505" s="91"/>
      <c r="P505" s="91"/>
      <c r="Q505" s="91"/>
      <c r="R505" s="91"/>
      <c r="S505" s="91"/>
      <c r="T505" s="91"/>
      <c r="U505" s="91"/>
      <c r="V505" s="91"/>
      <c r="W505" s="91"/>
      <c r="X505" s="91"/>
      <c r="Y505" s="91"/>
      <c r="Z505" s="91"/>
    </row>
    <row r="506" spans="1:26" ht="15.75" customHeight="1" x14ac:dyDescent="0.25">
      <c r="A506" s="9"/>
      <c r="B506" s="189"/>
      <c r="C506" s="91"/>
      <c r="D506" s="91"/>
      <c r="E506" s="91"/>
      <c r="F506" s="91"/>
      <c r="G506" s="91"/>
      <c r="H506" s="91"/>
      <c r="I506" s="91"/>
      <c r="J506" s="91"/>
      <c r="K506" s="91"/>
      <c r="L506" s="91"/>
      <c r="M506" s="91"/>
      <c r="N506" s="91"/>
      <c r="O506" s="91"/>
      <c r="P506" s="91"/>
      <c r="Q506" s="91"/>
      <c r="R506" s="91"/>
      <c r="S506" s="91"/>
      <c r="T506" s="91"/>
      <c r="U506" s="91"/>
      <c r="V506" s="91"/>
      <c r="W506" s="91"/>
      <c r="X506" s="91"/>
      <c r="Y506" s="91"/>
      <c r="Z506" s="91"/>
    </row>
    <row r="507" spans="1:26" ht="15.75" customHeight="1" x14ac:dyDescent="0.25">
      <c r="A507" s="9"/>
      <c r="B507" s="189"/>
      <c r="C507" s="91"/>
      <c r="D507" s="91"/>
      <c r="E507" s="91"/>
      <c r="F507" s="91"/>
      <c r="G507" s="91"/>
      <c r="H507" s="91"/>
      <c r="I507" s="91"/>
      <c r="J507" s="91"/>
      <c r="K507" s="91"/>
      <c r="L507" s="91"/>
      <c r="M507" s="91"/>
      <c r="N507" s="91"/>
      <c r="O507" s="91"/>
      <c r="P507" s="91"/>
      <c r="Q507" s="91"/>
      <c r="R507" s="91"/>
      <c r="S507" s="91"/>
      <c r="T507" s="91"/>
      <c r="U507" s="91"/>
      <c r="V507" s="91"/>
      <c r="W507" s="91"/>
      <c r="X507" s="91"/>
      <c r="Y507" s="91"/>
      <c r="Z507" s="91"/>
    </row>
    <row r="508" spans="1:26" ht="15.75" customHeight="1" x14ac:dyDescent="0.25">
      <c r="A508" s="9"/>
      <c r="B508" s="189"/>
      <c r="C508" s="91"/>
      <c r="D508" s="91"/>
      <c r="E508" s="91"/>
      <c r="F508" s="91"/>
      <c r="G508" s="91"/>
      <c r="H508" s="91"/>
      <c r="I508" s="91"/>
      <c r="J508" s="91"/>
      <c r="K508" s="91"/>
      <c r="L508" s="91"/>
      <c r="M508" s="91"/>
      <c r="N508" s="91"/>
      <c r="O508" s="91"/>
      <c r="P508" s="91"/>
      <c r="Q508" s="91"/>
      <c r="R508" s="91"/>
      <c r="S508" s="91"/>
      <c r="T508" s="91"/>
      <c r="U508" s="91"/>
      <c r="V508" s="91"/>
      <c r="W508" s="91"/>
      <c r="X508" s="91"/>
      <c r="Y508" s="91"/>
      <c r="Z508" s="91"/>
    </row>
    <row r="509" spans="1:26" ht="15.75" customHeight="1" x14ac:dyDescent="0.25">
      <c r="A509" s="9"/>
      <c r="B509" s="189"/>
      <c r="C509" s="91"/>
      <c r="D509" s="91"/>
      <c r="E509" s="91"/>
      <c r="F509" s="91"/>
      <c r="G509" s="91"/>
      <c r="H509" s="91"/>
      <c r="I509" s="91"/>
      <c r="J509" s="91"/>
      <c r="K509" s="91"/>
      <c r="L509" s="91"/>
      <c r="M509" s="91"/>
      <c r="N509" s="91"/>
      <c r="O509" s="91"/>
      <c r="P509" s="91"/>
      <c r="Q509" s="91"/>
      <c r="R509" s="91"/>
      <c r="S509" s="91"/>
      <c r="T509" s="91"/>
      <c r="U509" s="91"/>
      <c r="V509" s="91"/>
      <c r="W509" s="91"/>
      <c r="X509" s="91"/>
      <c r="Y509" s="91"/>
      <c r="Z509" s="91"/>
    </row>
    <row r="510" spans="1:26" ht="15.75" customHeight="1" x14ac:dyDescent="0.25">
      <c r="A510" s="9"/>
      <c r="B510" s="189"/>
      <c r="C510" s="91"/>
      <c r="D510" s="91"/>
      <c r="E510" s="91"/>
      <c r="F510" s="91"/>
      <c r="G510" s="91"/>
      <c r="H510" s="91"/>
      <c r="I510" s="91"/>
      <c r="J510" s="91"/>
      <c r="K510" s="91"/>
      <c r="L510" s="91"/>
      <c r="M510" s="91"/>
      <c r="N510" s="91"/>
      <c r="O510" s="91"/>
      <c r="P510" s="91"/>
      <c r="Q510" s="91"/>
      <c r="R510" s="91"/>
      <c r="S510" s="91"/>
      <c r="T510" s="91"/>
      <c r="U510" s="91"/>
      <c r="V510" s="91"/>
      <c r="W510" s="91"/>
      <c r="X510" s="91"/>
      <c r="Y510" s="91"/>
      <c r="Z510" s="91"/>
    </row>
    <row r="511" spans="1:26" ht="15.75" customHeight="1" x14ac:dyDescent="0.25">
      <c r="A511" s="9"/>
      <c r="B511" s="189"/>
      <c r="C511" s="91"/>
      <c r="D511" s="91"/>
      <c r="E511" s="91"/>
      <c r="F511" s="91"/>
      <c r="G511" s="91"/>
      <c r="H511" s="91"/>
      <c r="I511" s="91"/>
      <c r="J511" s="91"/>
      <c r="K511" s="91"/>
      <c r="L511" s="91"/>
      <c r="M511" s="91"/>
      <c r="N511" s="91"/>
      <c r="O511" s="91"/>
      <c r="P511" s="91"/>
      <c r="Q511" s="91"/>
      <c r="R511" s="91"/>
      <c r="S511" s="91"/>
      <c r="T511" s="91"/>
      <c r="U511" s="91"/>
      <c r="V511" s="91"/>
      <c r="W511" s="91"/>
      <c r="X511" s="91"/>
      <c r="Y511" s="91"/>
      <c r="Z511" s="91"/>
    </row>
    <row r="512" spans="1:26" ht="15.75" customHeight="1" x14ac:dyDescent="0.25">
      <c r="A512" s="9"/>
      <c r="B512" s="189"/>
      <c r="C512" s="91"/>
      <c r="D512" s="91"/>
      <c r="E512" s="91"/>
      <c r="F512" s="91"/>
      <c r="G512" s="91"/>
      <c r="H512" s="91"/>
      <c r="I512" s="91"/>
      <c r="J512" s="91"/>
      <c r="K512" s="91"/>
      <c r="L512" s="91"/>
      <c r="M512" s="91"/>
      <c r="N512" s="91"/>
      <c r="O512" s="91"/>
      <c r="P512" s="91"/>
      <c r="Q512" s="91"/>
      <c r="R512" s="91"/>
      <c r="S512" s="91"/>
      <c r="T512" s="91"/>
      <c r="U512" s="91"/>
      <c r="V512" s="91"/>
      <c r="W512" s="91"/>
      <c r="X512" s="91"/>
      <c r="Y512" s="91"/>
      <c r="Z512" s="91"/>
    </row>
    <row r="513" spans="1:26" ht="15.75" customHeight="1" x14ac:dyDescent="0.25">
      <c r="A513" s="9"/>
      <c r="B513" s="189"/>
      <c r="C513" s="91"/>
      <c r="D513" s="91"/>
      <c r="E513" s="91"/>
      <c r="F513" s="91"/>
      <c r="G513" s="91"/>
      <c r="H513" s="91"/>
      <c r="I513" s="91"/>
      <c r="J513" s="91"/>
      <c r="K513" s="91"/>
      <c r="L513" s="91"/>
      <c r="M513" s="91"/>
      <c r="N513" s="91"/>
      <c r="O513" s="91"/>
      <c r="P513" s="91"/>
      <c r="Q513" s="91"/>
      <c r="R513" s="91"/>
      <c r="S513" s="91"/>
      <c r="T513" s="91"/>
      <c r="U513" s="91"/>
      <c r="V513" s="91"/>
      <c r="W513" s="91"/>
      <c r="X513" s="91"/>
      <c r="Y513" s="91"/>
      <c r="Z513" s="91"/>
    </row>
    <row r="514" spans="1:26" ht="15.75" customHeight="1" x14ac:dyDescent="0.25">
      <c r="A514" s="9"/>
      <c r="B514" s="189"/>
      <c r="C514" s="91"/>
      <c r="D514" s="91"/>
      <c r="E514" s="91"/>
      <c r="F514" s="91"/>
      <c r="G514" s="91"/>
      <c r="H514" s="91"/>
      <c r="I514" s="91"/>
      <c r="J514" s="91"/>
      <c r="K514" s="91"/>
      <c r="L514" s="91"/>
      <c r="M514" s="91"/>
      <c r="N514" s="91"/>
      <c r="O514" s="91"/>
      <c r="P514" s="91"/>
      <c r="Q514" s="91"/>
      <c r="R514" s="91"/>
      <c r="S514" s="91"/>
      <c r="T514" s="91"/>
      <c r="U514" s="91"/>
      <c r="V514" s="91"/>
      <c r="W514" s="91"/>
      <c r="X514" s="91"/>
      <c r="Y514" s="91"/>
      <c r="Z514" s="91"/>
    </row>
    <row r="515" spans="1:26" ht="15.75" customHeight="1" x14ac:dyDescent="0.25">
      <c r="A515" s="9"/>
      <c r="B515" s="189"/>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row>
    <row r="516" spans="1:26" ht="15.75" customHeight="1" x14ac:dyDescent="0.25">
      <c r="A516" s="9"/>
      <c r="B516" s="189"/>
      <c r="C516" s="91"/>
      <c r="D516" s="91"/>
      <c r="E516" s="91"/>
      <c r="F516" s="91"/>
      <c r="G516" s="91"/>
      <c r="H516" s="91"/>
      <c r="I516" s="91"/>
      <c r="J516" s="91"/>
      <c r="K516" s="91"/>
      <c r="L516" s="91"/>
      <c r="M516" s="91"/>
      <c r="N516" s="91"/>
      <c r="O516" s="91"/>
      <c r="P516" s="91"/>
      <c r="Q516" s="91"/>
      <c r="R516" s="91"/>
      <c r="S516" s="91"/>
      <c r="T516" s="91"/>
      <c r="U516" s="91"/>
      <c r="V516" s="91"/>
      <c r="W516" s="91"/>
      <c r="X516" s="91"/>
      <c r="Y516" s="91"/>
      <c r="Z516" s="91"/>
    </row>
    <row r="517" spans="1:26" ht="15.75" customHeight="1" x14ac:dyDescent="0.25">
      <c r="A517" s="9"/>
      <c r="B517" s="189"/>
      <c r="C517" s="91"/>
      <c r="D517" s="91"/>
      <c r="E517" s="91"/>
      <c r="F517" s="91"/>
      <c r="G517" s="91"/>
      <c r="H517" s="91"/>
      <c r="I517" s="91"/>
      <c r="J517" s="91"/>
      <c r="K517" s="91"/>
      <c r="L517" s="91"/>
      <c r="M517" s="91"/>
      <c r="N517" s="91"/>
      <c r="O517" s="91"/>
      <c r="P517" s="91"/>
      <c r="Q517" s="91"/>
      <c r="R517" s="91"/>
      <c r="S517" s="91"/>
      <c r="T517" s="91"/>
      <c r="U517" s="91"/>
      <c r="V517" s="91"/>
      <c r="W517" s="91"/>
      <c r="X517" s="91"/>
      <c r="Y517" s="91"/>
      <c r="Z517" s="91"/>
    </row>
    <row r="518" spans="1:26" ht="15.75" customHeight="1" x14ac:dyDescent="0.25">
      <c r="A518" s="9"/>
      <c r="B518" s="189"/>
      <c r="C518" s="91"/>
      <c r="D518" s="91"/>
      <c r="E518" s="91"/>
      <c r="F518" s="91"/>
      <c r="G518" s="91"/>
      <c r="H518" s="91"/>
      <c r="I518" s="91"/>
      <c r="J518" s="91"/>
      <c r="K518" s="91"/>
      <c r="L518" s="91"/>
      <c r="M518" s="91"/>
      <c r="N518" s="91"/>
      <c r="O518" s="91"/>
      <c r="P518" s="91"/>
      <c r="Q518" s="91"/>
      <c r="R518" s="91"/>
      <c r="S518" s="91"/>
      <c r="T518" s="91"/>
      <c r="U518" s="91"/>
      <c r="V518" s="91"/>
      <c r="W518" s="91"/>
      <c r="X518" s="91"/>
      <c r="Y518" s="91"/>
      <c r="Z518" s="91"/>
    </row>
    <row r="519" spans="1:26" ht="15.75" customHeight="1" x14ac:dyDescent="0.25">
      <c r="A519" s="9"/>
      <c r="B519" s="189"/>
      <c r="C519" s="91"/>
      <c r="D519" s="91"/>
      <c r="E519" s="91"/>
      <c r="F519" s="91"/>
      <c r="G519" s="91"/>
      <c r="H519" s="91"/>
      <c r="I519" s="91"/>
      <c r="J519" s="91"/>
      <c r="K519" s="91"/>
      <c r="L519" s="91"/>
      <c r="M519" s="91"/>
      <c r="N519" s="91"/>
      <c r="O519" s="91"/>
      <c r="P519" s="91"/>
      <c r="Q519" s="91"/>
      <c r="R519" s="91"/>
      <c r="S519" s="91"/>
      <c r="T519" s="91"/>
      <c r="U519" s="91"/>
      <c r="V519" s="91"/>
      <c r="W519" s="91"/>
      <c r="X519" s="91"/>
      <c r="Y519" s="91"/>
      <c r="Z519" s="91"/>
    </row>
    <row r="520" spans="1:26" ht="15.75" customHeight="1" x14ac:dyDescent="0.25">
      <c r="A520" s="9"/>
      <c r="B520" s="189"/>
      <c r="C520" s="91"/>
      <c r="D520" s="91"/>
      <c r="E520" s="91"/>
      <c r="F520" s="91"/>
      <c r="G520" s="91"/>
      <c r="H520" s="91"/>
      <c r="I520" s="91"/>
      <c r="J520" s="91"/>
      <c r="K520" s="91"/>
      <c r="L520" s="91"/>
      <c r="M520" s="91"/>
      <c r="N520" s="91"/>
      <c r="O520" s="91"/>
      <c r="P520" s="91"/>
      <c r="Q520" s="91"/>
      <c r="R520" s="91"/>
      <c r="S520" s="91"/>
      <c r="T520" s="91"/>
      <c r="U520" s="91"/>
      <c r="V520" s="91"/>
      <c r="W520" s="91"/>
      <c r="X520" s="91"/>
      <c r="Y520" s="91"/>
      <c r="Z520" s="91"/>
    </row>
    <row r="521" spans="1:26" ht="15.75" customHeight="1" x14ac:dyDescent="0.25">
      <c r="A521" s="9"/>
      <c r="B521" s="189"/>
      <c r="C521" s="91"/>
      <c r="D521" s="91"/>
      <c r="E521" s="91"/>
      <c r="F521" s="91"/>
      <c r="G521" s="91"/>
      <c r="H521" s="91"/>
      <c r="I521" s="91"/>
      <c r="J521" s="91"/>
      <c r="K521" s="91"/>
      <c r="L521" s="91"/>
      <c r="M521" s="91"/>
      <c r="N521" s="91"/>
      <c r="O521" s="91"/>
      <c r="P521" s="91"/>
      <c r="Q521" s="91"/>
      <c r="R521" s="91"/>
      <c r="S521" s="91"/>
      <c r="T521" s="91"/>
      <c r="U521" s="91"/>
      <c r="V521" s="91"/>
      <c r="W521" s="91"/>
      <c r="X521" s="91"/>
      <c r="Y521" s="91"/>
      <c r="Z521" s="91"/>
    </row>
    <row r="522" spans="1:26" ht="15.75" customHeight="1" x14ac:dyDescent="0.25">
      <c r="A522" s="9"/>
      <c r="B522" s="189"/>
      <c r="C522" s="91"/>
      <c r="D522" s="91"/>
      <c r="E522" s="91"/>
      <c r="F522" s="91"/>
      <c r="G522" s="91"/>
      <c r="H522" s="91"/>
      <c r="I522" s="91"/>
      <c r="J522" s="91"/>
      <c r="K522" s="91"/>
      <c r="L522" s="91"/>
      <c r="M522" s="91"/>
      <c r="N522" s="91"/>
      <c r="O522" s="91"/>
      <c r="P522" s="91"/>
      <c r="Q522" s="91"/>
      <c r="R522" s="91"/>
      <c r="S522" s="91"/>
      <c r="T522" s="91"/>
      <c r="U522" s="91"/>
      <c r="V522" s="91"/>
      <c r="W522" s="91"/>
      <c r="X522" s="91"/>
      <c r="Y522" s="91"/>
      <c r="Z522" s="91"/>
    </row>
    <row r="523" spans="1:26" ht="15.75" customHeight="1" x14ac:dyDescent="0.25">
      <c r="A523" s="9"/>
      <c r="B523" s="189"/>
      <c r="C523" s="91"/>
      <c r="D523" s="91"/>
      <c r="E523" s="91"/>
      <c r="F523" s="91"/>
      <c r="G523" s="91"/>
      <c r="H523" s="91"/>
      <c r="I523" s="91"/>
      <c r="J523" s="91"/>
      <c r="K523" s="91"/>
      <c r="L523" s="91"/>
      <c r="M523" s="91"/>
      <c r="N523" s="91"/>
      <c r="O523" s="91"/>
      <c r="P523" s="91"/>
      <c r="Q523" s="91"/>
      <c r="R523" s="91"/>
      <c r="S523" s="91"/>
      <c r="T523" s="91"/>
      <c r="U523" s="91"/>
      <c r="V523" s="91"/>
      <c r="W523" s="91"/>
      <c r="X523" s="91"/>
      <c r="Y523" s="91"/>
      <c r="Z523" s="91"/>
    </row>
    <row r="524" spans="1:26" ht="15.75" customHeight="1" x14ac:dyDescent="0.25">
      <c r="A524" s="9"/>
      <c r="B524" s="189"/>
      <c r="C524" s="91"/>
      <c r="D524" s="91"/>
      <c r="E524" s="91"/>
      <c r="F524" s="91"/>
      <c r="G524" s="91"/>
      <c r="H524" s="91"/>
      <c r="I524" s="91"/>
      <c r="J524" s="91"/>
      <c r="K524" s="91"/>
      <c r="L524" s="91"/>
      <c r="M524" s="91"/>
      <c r="N524" s="91"/>
      <c r="O524" s="91"/>
      <c r="P524" s="91"/>
      <c r="Q524" s="91"/>
      <c r="R524" s="91"/>
      <c r="S524" s="91"/>
      <c r="T524" s="91"/>
      <c r="U524" s="91"/>
      <c r="V524" s="91"/>
      <c r="W524" s="91"/>
      <c r="X524" s="91"/>
      <c r="Y524" s="91"/>
      <c r="Z524" s="91"/>
    </row>
    <row r="525" spans="1:26" ht="15.75" customHeight="1" x14ac:dyDescent="0.25">
      <c r="A525" s="9"/>
      <c r="B525" s="189"/>
      <c r="C525" s="91"/>
      <c r="D525" s="91"/>
      <c r="E525" s="91"/>
      <c r="F525" s="91"/>
      <c r="G525" s="91"/>
      <c r="H525" s="91"/>
      <c r="I525" s="91"/>
      <c r="J525" s="91"/>
      <c r="K525" s="91"/>
      <c r="L525" s="91"/>
      <c r="M525" s="91"/>
      <c r="N525" s="91"/>
      <c r="O525" s="91"/>
      <c r="P525" s="91"/>
      <c r="Q525" s="91"/>
      <c r="R525" s="91"/>
      <c r="S525" s="91"/>
      <c r="T525" s="91"/>
      <c r="U525" s="91"/>
      <c r="V525" s="91"/>
      <c r="W525" s="91"/>
      <c r="X525" s="91"/>
      <c r="Y525" s="91"/>
      <c r="Z525" s="91"/>
    </row>
    <row r="526" spans="1:26" ht="15.75" customHeight="1" x14ac:dyDescent="0.25">
      <c r="A526" s="9"/>
      <c r="B526" s="189"/>
      <c r="C526" s="91"/>
      <c r="D526" s="91"/>
      <c r="E526" s="91"/>
      <c r="F526" s="91"/>
      <c r="G526" s="91"/>
      <c r="H526" s="91"/>
      <c r="I526" s="91"/>
      <c r="J526" s="91"/>
      <c r="K526" s="91"/>
      <c r="L526" s="91"/>
      <c r="M526" s="91"/>
      <c r="N526" s="91"/>
      <c r="O526" s="91"/>
      <c r="P526" s="91"/>
      <c r="Q526" s="91"/>
      <c r="R526" s="91"/>
      <c r="S526" s="91"/>
      <c r="T526" s="91"/>
      <c r="U526" s="91"/>
      <c r="V526" s="91"/>
      <c r="W526" s="91"/>
      <c r="X526" s="91"/>
      <c r="Y526" s="91"/>
      <c r="Z526" s="91"/>
    </row>
    <row r="527" spans="1:26" ht="15.75" customHeight="1" x14ac:dyDescent="0.25">
      <c r="A527" s="9"/>
      <c r="B527" s="189"/>
      <c r="C527" s="91"/>
      <c r="D527" s="91"/>
      <c r="E527" s="91"/>
      <c r="F527" s="91"/>
      <c r="G527" s="91"/>
      <c r="H527" s="91"/>
      <c r="I527" s="91"/>
      <c r="J527" s="91"/>
      <c r="K527" s="91"/>
      <c r="L527" s="91"/>
      <c r="M527" s="91"/>
      <c r="N527" s="91"/>
      <c r="O527" s="91"/>
      <c r="P527" s="91"/>
      <c r="Q527" s="91"/>
      <c r="R527" s="91"/>
      <c r="S527" s="91"/>
      <c r="T527" s="91"/>
      <c r="U527" s="91"/>
      <c r="V527" s="91"/>
      <c r="W527" s="91"/>
      <c r="X527" s="91"/>
      <c r="Y527" s="91"/>
      <c r="Z527" s="91"/>
    </row>
    <row r="528" spans="1:26" ht="15.75" customHeight="1" x14ac:dyDescent="0.25">
      <c r="A528" s="9"/>
      <c r="B528" s="189"/>
      <c r="C528" s="91"/>
      <c r="D528" s="91"/>
      <c r="E528" s="91"/>
      <c r="F528" s="91"/>
      <c r="G528" s="91"/>
      <c r="H528" s="91"/>
      <c r="I528" s="91"/>
      <c r="J528" s="91"/>
      <c r="K528" s="91"/>
      <c r="L528" s="91"/>
      <c r="M528" s="91"/>
      <c r="N528" s="91"/>
      <c r="O528" s="91"/>
      <c r="P528" s="91"/>
      <c r="Q528" s="91"/>
      <c r="R528" s="91"/>
      <c r="S528" s="91"/>
      <c r="T528" s="91"/>
      <c r="U528" s="91"/>
      <c r="V528" s="91"/>
      <c r="W528" s="91"/>
      <c r="X528" s="91"/>
      <c r="Y528" s="91"/>
      <c r="Z528" s="91"/>
    </row>
    <row r="529" spans="1:26" ht="15.75" customHeight="1" x14ac:dyDescent="0.25">
      <c r="A529" s="9"/>
      <c r="B529" s="189"/>
      <c r="C529" s="91"/>
      <c r="D529" s="91"/>
      <c r="E529" s="91"/>
      <c r="F529" s="91"/>
      <c r="G529" s="91"/>
      <c r="H529" s="91"/>
      <c r="I529" s="91"/>
      <c r="J529" s="91"/>
      <c r="K529" s="91"/>
      <c r="L529" s="91"/>
      <c r="M529" s="91"/>
      <c r="N529" s="91"/>
      <c r="O529" s="91"/>
      <c r="P529" s="91"/>
      <c r="Q529" s="91"/>
      <c r="R529" s="91"/>
      <c r="S529" s="91"/>
      <c r="T529" s="91"/>
      <c r="U529" s="91"/>
      <c r="V529" s="91"/>
      <c r="W529" s="91"/>
      <c r="X529" s="91"/>
      <c r="Y529" s="91"/>
      <c r="Z529" s="91"/>
    </row>
    <row r="530" spans="1:26" ht="15.75" customHeight="1" x14ac:dyDescent="0.25">
      <c r="A530" s="9"/>
      <c r="B530" s="189"/>
      <c r="C530" s="91"/>
      <c r="D530" s="91"/>
      <c r="E530" s="91"/>
      <c r="F530" s="91"/>
      <c r="G530" s="91"/>
      <c r="H530" s="91"/>
      <c r="I530" s="91"/>
      <c r="J530" s="91"/>
      <c r="K530" s="91"/>
      <c r="L530" s="91"/>
      <c r="M530" s="91"/>
      <c r="N530" s="91"/>
      <c r="O530" s="91"/>
      <c r="P530" s="91"/>
      <c r="Q530" s="91"/>
      <c r="R530" s="91"/>
      <c r="S530" s="91"/>
      <c r="T530" s="91"/>
      <c r="U530" s="91"/>
      <c r="V530" s="91"/>
      <c r="W530" s="91"/>
      <c r="X530" s="91"/>
      <c r="Y530" s="91"/>
      <c r="Z530" s="91"/>
    </row>
    <row r="531" spans="1:26" ht="15.75" customHeight="1" x14ac:dyDescent="0.25">
      <c r="A531" s="9"/>
      <c r="B531" s="189"/>
      <c r="C531" s="91"/>
      <c r="D531" s="91"/>
      <c r="E531" s="91"/>
      <c r="F531" s="91"/>
      <c r="G531" s="91"/>
      <c r="H531" s="91"/>
      <c r="I531" s="91"/>
      <c r="J531" s="91"/>
      <c r="K531" s="91"/>
      <c r="L531" s="91"/>
      <c r="M531" s="91"/>
      <c r="N531" s="91"/>
      <c r="O531" s="91"/>
      <c r="P531" s="91"/>
      <c r="Q531" s="91"/>
      <c r="R531" s="91"/>
      <c r="S531" s="91"/>
      <c r="T531" s="91"/>
      <c r="U531" s="91"/>
      <c r="V531" s="91"/>
      <c r="W531" s="91"/>
      <c r="X531" s="91"/>
      <c r="Y531" s="91"/>
      <c r="Z531" s="91"/>
    </row>
    <row r="532" spans="1:26" ht="15.75" customHeight="1" x14ac:dyDescent="0.25">
      <c r="A532" s="9"/>
      <c r="B532" s="189"/>
      <c r="C532" s="91"/>
      <c r="D532" s="91"/>
      <c r="E532" s="91"/>
      <c r="F532" s="91"/>
      <c r="G532" s="91"/>
      <c r="H532" s="91"/>
      <c r="I532" s="91"/>
      <c r="J532" s="91"/>
      <c r="K532" s="91"/>
      <c r="L532" s="91"/>
      <c r="M532" s="91"/>
      <c r="N532" s="91"/>
      <c r="O532" s="91"/>
      <c r="P532" s="91"/>
      <c r="Q532" s="91"/>
      <c r="R532" s="91"/>
      <c r="S532" s="91"/>
      <c r="T532" s="91"/>
      <c r="U532" s="91"/>
      <c r="V532" s="91"/>
      <c r="W532" s="91"/>
      <c r="X532" s="91"/>
      <c r="Y532" s="91"/>
      <c r="Z532" s="91"/>
    </row>
    <row r="533" spans="1:26" ht="15.75" customHeight="1" x14ac:dyDescent="0.25">
      <c r="A533" s="9"/>
      <c r="B533" s="189"/>
      <c r="C533" s="91"/>
      <c r="D533" s="91"/>
      <c r="E533" s="91"/>
      <c r="F533" s="91"/>
      <c r="G533" s="91"/>
      <c r="H533" s="91"/>
      <c r="I533" s="91"/>
      <c r="J533" s="91"/>
      <c r="K533" s="91"/>
      <c r="L533" s="91"/>
      <c r="M533" s="91"/>
      <c r="N533" s="91"/>
      <c r="O533" s="91"/>
      <c r="P533" s="91"/>
      <c r="Q533" s="91"/>
      <c r="R533" s="91"/>
      <c r="S533" s="91"/>
      <c r="T533" s="91"/>
      <c r="U533" s="91"/>
      <c r="V533" s="91"/>
      <c r="W533" s="91"/>
      <c r="X533" s="91"/>
      <c r="Y533" s="91"/>
      <c r="Z533" s="91"/>
    </row>
    <row r="534" spans="1:26" ht="15.75" customHeight="1" x14ac:dyDescent="0.25">
      <c r="A534" s="9"/>
      <c r="B534" s="189"/>
      <c r="C534" s="91"/>
      <c r="D534" s="91"/>
      <c r="E534" s="91"/>
      <c r="F534" s="91"/>
      <c r="G534" s="91"/>
      <c r="H534" s="91"/>
      <c r="I534" s="91"/>
      <c r="J534" s="91"/>
      <c r="K534" s="91"/>
      <c r="L534" s="91"/>
      <c r="M534" s="91"/>
      <c r="N534" s="91"/>
      <c r="O534" s="91"/>
      <c r="P534" s="91"/>
      <c r="Q534" s="91"/>
      <c r="R534" s="91"/>
      <c r="S534" s="91"/>
      <c r="T534" s="91"/>
      <c r="U534" s="91"/>
      <c r="V534" s="91"/>
      <c r="W534" s="91"/>
      <c r="X534" s="91"/>
      <c r="Y534" s="91"/>
      <c r="Z534" s="91"/>
    </row>
    <row r="535" spans="1:26" ht="15.75" customHeight="1" x14ac:dyDescent="0.25">
      <c r="A535" s="9"/>
      <c r="B535" s="189"/>
      <c r="C535" s="91"/>
      <c r="D535" s="91"/>
      <c r="E535" s="91"/>
      <c r="F535" s="91"/>
      <c r="G535" s="91"/>
      <c r="H535" s="91"/>
      <c r="I535" s="91"/>
      <c r="J535" s="91"/>
      <c r="K535" s="91"/>
      <c r="L535" s="91"/>
      <c r="M535" s="91"/>
      <c r="N535" s="91"/>
      <c r="O535" s="91"/>
      <c r="P535" s="91"/>
      <c r="Q535" s="91"/>
      <c r="R535" s="91"/>
      <c r="S535" s="91"/>
      <c r="T535" s="91"/>
      <c r="U535" s="91"/>
      <c r="V535" s="91"/>
      <c r="W535" s="91"/>
      <c r="X535" s="91"/>
      <c r="Y535" s="91"/>
      <c r="Z535" s="91"/>
    </row>
    <row r="536" spans="1:26" ht="15.75" customHeight="1" x14ac:dyDescent="0.25">
      <c r="A536" s="9"/>
      <c r="B536" s="189"/>
      <c r="C536" s="91"/>
      <c r="D536" s="91"/>
      <c r="E536" s="91"/>
      <c r="F536" s="91"/>
      <c r="G536" s="91"/>
      <c r="H536" s="91"/>
      <c r="I536" s="91"/>
      <c r="J536" s="91"/>
      <c r="K536" s="91"/>
      <c r="L536" s="91"/>
      <c r="M536" s="91"/>
      <c r="N536" s="91"/>
      <c r="O536" s="91"/>
      <c r="P536" s="91"/>
      <c r="Q536" s="91"/>
      <c r="R536" s="91"/>
      <c r="S536" s="91"/>
      <c r="T536" s="91"/>
      <c r="U536" s="91"/>
      <c r="V536" s="91"/>
      <c r="W536" s="91"/>
      <c r="X536" s="91"/>
      <c r="Y536" s="91"/>
      <c r="Z536" s="91"/>
    </row>
    <row r="537" spans="1:26" ht="15.75" customHeight="1" x14ac:dyDescent="0.25">
      <c r="A537" s="9"/>
      <c r="B537" s="189"/>
      <c r="C537" s="91"/>
      <c r="D537" s="91"/>
      <c r="E537" s="91"/>
      <c r="F537" s="91"/>
      <c r="G537" s="91"/>
      <c r="H537" s="91"/>
      <c r="I537" s="91"/>
      <c r="J537" s="91"/>
      <c r="K537" s="91"/>
      <c r="L537" s="91"/>
      <c r="M537" s="91"/>
      <c r="N537" s="91"/>
      <c r="O537" s="91"/>
      <c r="P537" s="91"/>
      <c r="Q537" s="91"/>
      <c r="R537" s="91"/>
      <c r="S537" s="91"/>
      <c r="T537" s="91"/>
      <c r="U537" s="91"/>
      <c r="V537" s="91"/>
      <c r="W537" s="91"/>
      <c r="X537" s="91"/>
      <c r="Y537" s="91"/>
      <c r="Z537" s="91"/>
    </row>
    <row r="538" spans="1:26" ht="15.75" customHeight="1" x14ac:dyDescent="0.25">
      <c r="A538" s="9"/>
      <c r="B538" s="189"/>
      <c r="C538" s="91"/>
      <c r="D538" s="91"/>
      <c r="E538" s="91"/>
      <c r="F538" s="91"/>
      <c r="G538" s="91"/>
      <c r="H538" s="91"/>
      <c r="I538" s="91"/>
      <c r="J538" s="91"/>
      <c r="K538" s="91"/>
      <c r="L538" s="91"/>
      <c r="M538" s="91"/>
      <c r="N538" s="91"/>
      <c r="O538" s="91"/>
      <c r="P538" s="91"/>
      <c r="Q538" s="91"/>
      <c r="R538" s="91"/>
      <c r="S538" s="91"/>
      <c r="T538" s="91"/>
      <c r="U538" s="91"/>
      <c r="V538" s="91"/>
      <c r="W538" s="91"/>
      <c r="X538" s="91"/>
      <c r="Y538" s="91"/>
      <c r="Z538" s="91"/>
    </row>
    <row r="539" spans="1:26" ht="15.75" customHeight="1" x14ac:dyDescent="0.25">
      <c r="A539" s="9"/>
      <c r="B539" s="189"/>
      <c r="C539" s="91"/>
      <c r="D539" s="91"/>
      <c r="E539" s="91"/>
      <c r="F539" s="91"/>
      <c r="G539" s="91"/>
      <c r="H539" s="91"/>
      <c r="I539" s="91"/>
      <c r="J539" s="91"/>
      <c r="K539" s="91"/>
      <c r="L539" s="91"/>
      <c r="M539" s="91"/>
      <c r="N539" s="91"/>
      <c r="O539" s="91"/>
      <c r="P539" s="91"/>
      <c r="Q539" s="91"/>
      <c r="R539" s="91"/>
      <c r="S539" s="91"/>
      <c r="T539" s="91"/>
      <c r="U539" s="91"/>
      <c r="V539" s="91"/>
      <c r="W539" s="91"/>
      <c r="X539" s="91"/>
      <c r="Y539" s="91"/>
      <c r="Z539" s="91"/>
    </row>
    <row r="540" spans="1:26" ht="15.75" customHeight="1" x14ac:dyDescent="0.25">
      <c r="A540" s="9"/>
      <c r="B540" s="189"/>
      <c r="C540" s="91"/>
      <c r="D540" s="91"/>
      <c r="E540" s="91"/>
      <c r="F540" s="91"/>
      <c r="G540" s="91"/>
      <c r="H540" s="91"/>
      <c r="I540" s="91"/>
      <c r="J540" s="91"/>
      <c r="K540" s="91"/>
      <c r="L540" s="91"/>
      <c r="M540" s="91"/>
      <c r="N540" s="91"/>
      <c r="O540" s="91"/>
      <c r="P540" s="91"/>
      <c r="Q540" s="91"/>
      <c r="R540" s="91"/>
      <c r="S540" s="91"/>
      <c r="T540" s="91"/>
      <c r="U540" s="91"/>
      <c r="V540" s="91"/>
      <c r="W540" s="91"/>
      <c r="X540" s="91"/>
      <c r="Y540" s="91"/>
      <c r="Z540" s="91"/>
    </row>
    <row r="541" spans="1:26" ht="15.75" customHeight="1" x14ac:dyDescent="0.25">
      <c r="A541" s="9"/>
      <c r="B541" s="189"/>
      <c r="C541" s="91"/>
      <c r="D541" s="91"/>
      <c r="E541" s="91"/>
      <c r="F541" s="91"/>
      <c r="G541" s="91"/>
      <c r="H541" s="91"/>
      <c r="I541" s="91"/>
      <c r="J541" s="91"/>
      <c r="K541" s="91"/>
      <c r="L541" s="91"/>
      <c r="M541" s="91"/>
      <c r="N541" s="91"/>
      <c r="O541" s="91"/>
      <c r="P541" s="91"/>
      <c r="Q541" s="91"/>
      <c r="R541" s="91"/>
      <c r="S541" s="91"/>
      <c r="T541" s="91"/>
      <c r="U541" s="91"/>
      <c r="V541" s="91"/>
      <c r="W541" s="91"/>
      <c r="X541" s="91"/>
      <c r="Y541" s="91"/>
      <c r="Z541" s="91"/>
    </row>
    <row r="542" spans="1:26" ht="15.75" customHeight="1" x14ac:dyDescent="0.25">
      <c r="A542" s="9"/>
      <c r="B542" s="189"/>
      <c r="C542" s="91"/>
      <c r="D542" s="91"/>
      <c r="E542" s="91"/>
      <c r="F542" s="91"/>
      <c r="G542" s="91"/>
      <c r="H542" s="91"/>
      <c r="I542" s="91"/>
      <c r="J542" s="91"/>
      <c r="K542" s="91"/>
      <c r="L542" s="91"/>
      <c r="M542" s="91"/>
      <c r="N542" s="91"/>
      <c r="O542" s="91"/>
      <c r="P542" s="91"/>
      <c r="Q542" s="91"/>
      <c r="R542" s="91"/>
      <c r="S542" s="91"/>
      <c r="T542" s="91"/>
      <c r="U542" s="91"/>
      <c r="V542" s="91"/>
      <c r="W542" s="91"/>
      <c r="X542" s="91"/>
      <c r="Y542" s="91"/>
      <c r="Z542" s="91"/>
    </row>
    <row r="543" spans="1:26" ht="15.75" customHeight="1" x14ac:dyDescent="0.25">
      <c r="A543" s="9"/>
      <c r="B543" s="189"/>
      <c r="C543" s="91"/>
      <c r="D543" s="91"/>
      <c r="E543" s="91"/>
      <c r="F543" s="91"/>
      <c r="G543" s="91"/>
      <c r="H543" s="91"/>
      <c r="I543" s="91"/>
      <c r="J543" s="91"/>
      <c r="K543" s="91"/>
      <c r="L543" s="91"/>
      <c r="M543" s="91"/>
      <c r="N543" s="91"/>
      <c r="O543" s="91"/>
      <c r="P543" s="91"/>
      <c r="Q543" s="91"/>
      <c r="R543" s="91"/>
      <c r="S543" s="91"/>
      <c r="T543" s="91"/>
      <c r="U543" s="91"/>
      <c r="V543" s="91"/>
      <c r="W543" s="91"/>
      <c r="X543" s="91"/>
      <c r="Y543" s="91"/>
      <c r="Z543" s="91"/>
    </row>
    <row r="544" spans="1:26" ht="15.75" customHeight="1" x14ac:dyDescent="0.25">
      <c r="A544" s="9"/>
      <c r="B544" s="189"/>
      <c r="C544" s="91"/>
      <c r="D544" s="91"/>
      <c r="E544" s="91"/>
      <c r="F544" s="91"/>
      <c r="G544" s="91"/>
      <c r="H544" s="91"/>
      <c r="I544" s="91"/>
      <c r="J544" s="91"/>
      <c r="K544" s="91"/>
      <c r="L544" s="91"/>
      <c r="M544" s="91"/>
      <c r="N544" s="91"/>
      <c r="O544" s="91"/>
      <c r="P544" s="91"/>
      <c r="Q544" s="91"/>
      <c r="R544" s="91"/>
      <c r="S544" s="91"/>
      <c r="T544" s="91"/>
      <c r="U544" s="91"/>
      <c r="V544" s="91"/>
      <c r="W544" s="91"/>
      <c r="X544" s="91"/>
      <c r="Y544" s="91"/>
      <c r="Z544" s="91"/>
    </row>
    <row r="545" spans="1:26" ht="15.75" customHeight="1" x14ac:dyDescent="0.25">
      <c r="A545" s="9"/>
      <c r="B545" s="189"/>
      <c r="C545" s="91"/>
      <c r="D545" s="91"/>
      <c r="E545" s="91"/>
      <c r="F545" s="91"/>
      <c r="G545" s="91"/>
      <c r="H545" s="91"/>
      <c r="I545" s="91"/>
      <c r="J545" s="91"/>
      <c r="K545" s="91"/>
      <c r="L545" s="91"/>
      <c r="M545" s="91"/>
      <c r="N545" s="91"/>
      <c r="O545" s="91"/>
      <c r="P545" s="91"/>
      <c r="Q545" s="91"/>
      <c r="R545" s="91"/>
      <c r="S545" s="91"/>
      <c r="T545" s="91"/>
      <c r="U545" s="91"/>
      <c r="V545" s="91"/>
      <c r="W545" s="91"/>
      <c r="X545" s="91"/>
      <c r="Y545" s="91"/>
      <c r="Z545" s="91"/>
    </row>
    <row r="546" spans="1:26" ht="15.75" customHeight="1" x14ac:dyDescent="0.25">
      <c r="A546" s="9"/>
      <c r="B546" s="189"/>
      <c r="C546" s="91"/>
      <c r="D546" s="91"/>
      <c r="E546" s="91"/>
      <c r="F546" s="91"/>
      <c r="G546" s="91"/>
      <c r="H546" s="91"/>
      <c r="I546" s="91"/>
      <c r="J546" s="91"/>
      <c r="K546" s="91"/>
      <c r="L546" s="91"/>
      <c r="M546" s="91"/>
      <c r="N546" s="91"/>
      <c r="O546" s="91"/>
      <c r="P546" s="91"/>
      <c r="Q546" s="91"/>
      <c r="R546" s="91"/>
      <c r="S546" s="91"/>
      <c r="T546" s="91"/>
      <c r="U546" s="91"/>
      <c r="V546" s="91"/>
      <c r="W546" s="91"/>
      <c r="X546" s="91"/>
      <c r="Y546" s="91"/>
      <c r="Z546" s="91"/>
    </row>
    <row r="547" spans="1:26" ht="15.75" customHeight="1" x14ac:dyDescent="0.25">
      <c r="A547" s="9"/>
      <c r="B547" s="189"/>
      <c r="C547" s="91"/>
      <c r="D547" s="91"/>
      <c r="E547" s="91"/>
      <c r="F547" s="91"/>
      <c r="G547" s="91"/>
      <c r="H547" s="91"/>
      <c r="I547" s="91"/>
      <c r="J547" s="91"/>
      <c r="K547" s="91"/>
      <c r="L547" s="91"/>
      <c r="M547" s="91"/>
      <c r="N547" s="91"/>
      <c r="O547" s="91"/>
      <c r="P547" s="91"/>
      <c r="Q547" s="91"/>
      <c r="R547" s="91"/>
      <c r="S547" s="91"/>
      <c r="T547" s="91"/>
      <c r="U547" s="91"/>
      <c r="V547" s="91"/>
      <c r="W547" s="91"/>
      <c r="X547" s="91"/>
      <c r="Y547" s="91"/>
      <c r="Z547" s="91"/>
    </row>
    <row r="548" spans="1:26" ht="15.75" customHeight="1" x14ac:dyDescent="0.25">
      <c r="A548" s="9"/>
      <c r="B548" s="189"/>
      <c r="C548" s="91"/>
      <c r="D548" s="91"/>
      <c r="E548" s="91"/>
      <c r="F548" s="91"/>
      <c r="G548" s="91"/>
      <c r="H548" s="91"/>
      <c r="I548" s="91"/>
      <c r="J548" s="91"/>
      <c r="K548" s="91"/>
      <c r="L548" s="91"/>
      <c r="M548" s="91"/>
      <c r="N548" s="91"/>
      <c r="O548" s="91"/>
      <c r="P548" s="91"/>
      <c r="Q548" s="91"/>
      <c r="R548" s="91"/>
      <c r="S548" s="91"/>
      <c r="T548" s="91"/>
      <c r="U548" s="91"/>
      <c r="V548" s="91"/>
      <c r="W548" s="91"/>
      <c r="X548" s="91"/>
      <c r="Y548" s="91"/>
      <c r="Z548" s="91"/>
    </row>
    <row r="549" spans="1:26" ht="15.75" customHeight="1" x14ac:dyDescent="0.25">
      <c r="A549" s="9"/>
      <c r="B549" s="189"/>
      <c r="C549" s="91"/>
      <c r="D549" s="91"/>
      <c r="E549" s="91"/>
      <c r="F549" s="91"/>
      <c r="G549" s="91"/>
      <c r="H549" s="91"/>
      <c r="I549" s="91"/>
      <c r="J549" s="91"/>
      <c r="K549" s="91"/>
      <c r="L549" s="91"/>
      <c r="M549" s="91"/>
      <c r="N549" s="91"/>
      <c r="O549" s="91"/>
      <c r="P549" s="91"/>
      <c r="Q549" s="91"/>
      <c r="R549" s="91"/>
      <c r="S549" s="91"/>
      <c r="T549" s="91"/>
      <c r="U549" s="91"/>
      <c r="V549" s="91"/>
      <c r="W549" s="91"/>
      <c r="X549" s="91"/>
      <c r="Y549" s="91"/>
      <c r="Z549" s="91"/>
    </row>
    <row r="550" spans="1:26" ht="15.75" customHeight="1" x14ac:dyDescent="0.25">
      <c r="A550" s="9"/>
      <c r="B550" s="189"/>
      <c r="C550" s="91"/>
      <c r="D550" s="91"/>
      <c r="E550" s="91"/>
      <c r="F550" s="91"/>
      <c r="G550" s="91"/>
      <c r="H550" s="91"/>
      <c r="I550" s="91"/>
      <c r="J550" s="91"/>
      <c r="K550" s="91"/>
      <c r="L550" s="91"/>
      <c r="M550" s="91"/>
      <c r="N550" s="91"/>
      <c r="O550" s="91"/>
      <c r="P550" s="91"/>
      <c r="Q550" s="91"/>
      <c r="R550" s="91"/>
      <c r="S550" s="91"/>
      <c r="T550" s="91"/>
      <c r="U550" s="91"/>
      <c r="V550" s="91"/>
      <c r="W550" s="91"/>
      <c r="X550" s="91"/>
      <c r="Y550" s="91"/>
      <c r="Z550" s="91"/>
    </row>
    <row r="551" spans="1:26" ht="15.75" customHeight="1" x14ac:dyDescent="0.25">
      <c r="A551" s="9"/>
      <c r="B551" s="189"/>
      <c r="C551" s="91"/>
      <c r="D551" s="91"/>
      <c r="E551" s="91"/>
      <c r="F551" s="91"/>
      <c r="G551" s="91"/>
      <c r="H551" s="91"/>
      <c r="I551" s="91"/>
      <c r="J551" s="91"/>
      <c r="K551" s="91"/>
      <c r="L551" s="91"/>
      <c r="M551" s="91"/>
      <c r="N551" s="91"/>
      <c r="O551" s="91"/>
      <c r="P551" s="91"/>
      <c r="Q551" s="91"/>
      <c r="R551" s="91"/>
      <c r="S551" s="91"/>
      <c r="T551" s="91"/>
      <c r="U551" s="91"/>
      <c r="V551" s="91"/>
      <c r="W551" s="91"/>
      <c r="X551" s="91"/>
      <c r="Y551" s="91"/>
      <c r="Z551" s="91"/>
    </row>
    <row r="552" spans="1:26" ht="15.75" customHeight="1" x14ac:dyDescent="0.25">
      <c r="A552" s="9"/>
      <c r="B552" s="189"/>
      <c r="C552" s="91"/>
      <c r="D552" s="91"/>
      <c r="E552" s="91"/>
      <c r="F552" s="91"/>
      <c r="G552" s="91"/>
      <c r="H552" s="91"/>
      <c r="I552" s="91"/>
      <c r="J552" s="91"/>
      <c r="K552" s="91"/>
      <c r="L552" s="91"/>
      <c r="M552" s="91"/>
      <c r="N552" s="91"/>
      <c r="O552" s="91"/>
      <c r="P552" s="91"/>
      <c r="Q552" s="91"/>
      <c r="R552" s="91"/>
      <c r="S552" s="91"/>
      <c r="T552" s="91"/>
      <c r="U552" s="91"/>
      <c r="V552" s="91"/>
      <c r="W552" s="91"/>
      <c r="X552" s="91"/>
      <c r="Y552" s="91"/>
      <c r="Z552" s="91"/>
    </row>
    <row r="553" spans="1:26" ht="15.75" customHeight="1" x14ac:dyDescent="0.25">
      <c r="A553" s="9"/>
      <c r="B553" s="189"/>
      <c r="C553" s="91"/>
      <c r="D553" s="91"/>
      <c r="E553" s="91"/>
      <c r="F553" s="91"/>
      <c r="G553" s="91"/>
      <c r="H553" s="91"/>
      <c r="I553" s="91"/>
      <c r="J553" s="91"/>
      <c r="K553" s="91"/>
      <c r="L553" s="91"/>
      <c r="M553" s="91"/>
      <c r="N553" s="91"/>
      <c r="O553" s="91"/>
      <c r="P553" s="91"/>
      <c r="Q553" s="91"/>
      <c r="R553" s="91"/>
      <c r="S553" s="91"/>
      <c r="T553" s="91"/>
      <c r="U553" s="91"/>
      <c r="V553" s="91"/>
      <c r="W553" s="91"/>
      <c r="X553" s="91"/>
      <c r="Y553" s="91"/>
      <c r="Z553" s="91"/>
    </row>
    <row r="554" spans="1:26" ht="15.75" customHeight="1" x14ac:dyDescent="0.25">
      <c r="A554" s="9"/>
      <c r="B554" s="189"/>
      <c r="C554" s="91"/>
      <c r="D554" s="91"/>
      <c r="E554" s="91"/>
      <c r="F554" s="91"/>
      <c r="G554" s="91"/>
      <c r="H554" s="91"/>
      <c r="I554" s="91"/>
      <c r="J554" s="91"/>
      <c r="K554" s="91"/>
      <c r="L554" s="91"/>
      <c r="M554" s="91"/>
      <c r="N554" s="91"/>
      <c r="O554" s="91"/>
      <c r="P554" s="91"/>
      <c r="Q554" s="91"/>
      <c r="R554" s="91"/>
      <c r="S554" s="91"/>
      <c r="T554" s="91"/>
      <c r="U554" s="91"/>
      <c r="V554" s="91"/>
      <c r="W554" s="91"/>
      <c r="X554" s="91"/>
      <c r="Y554" s="91"/>
      <c r="Z554" s="91"/>
    </row>
    <row r="555" spans="1:26" ht="15.75" customHeight="1" x14ac:dyDescent="0.25">
      <c r="A555" s="9"/>
      <c r="B555" s="189"/>
      <c r="C555" s="91"/>
      <c r="D555" s="91"/>
      <c r="E555" s="91"/>
      <c r="F555" s="91"/>
      <c r="G555" s="91"/>
      <c r="H555" s="91"/>
      <c r="I555" s="91"/>
      <c r="J555" s="91"/>
      <c r="K555" s="91"/>
      <c r="L555" s="91"/>
      <c r="M555" s="91"/>
      <c r="N555" s="91"/>
      <c r="O555" s="91"/>
      <c r="P555" s="91"/>
      <c r="Q555" s="91"/>
      <c r="R555" s="91"/>
      <c r="S555" s="91"/>
      <c r="T555" s="91"/>
      <c r="U555" s="91"/>
      <c r="V555" s="91"/>
      <c r="W555" s="91"/>
      <c r="X555" s="91"/>
      <c r="Y555" s="91"/>
      <c r="Z555" s="91"/>
    </row>
    <row r="556" spans="1:26" ht="15.75" customHeight="1" x14ac:dyDescent="0.25">
      <c r="A556" s="9"/>
      <c r="B556" s="189"/>
      <c r="C556" s="91"/>
      <c r="D556" s="91"/>
      <c r="E556" s="91"/>
      <c r="F556" s="91"/>
      <c r="G556" s="91"/>
      <c r="H556" s="91"/>
      <c r="I556" s="91"/>
      <c r="J556" s="91"/>
      <c r="K556" s="91"/>
      <c r="L556" s="91"/>
      <c r="M556" s="91"/>
      <c r="N556" s="91"/>
      <c r="O556" s="91"/>
      <c r="P556" s="91"/>
      <c r="Q556" s="91"/>
      <c r="R556" s="91"/>
      <c r="S556" s="91"/>
      <c r="T556" s="91"/>
      <c r="U556" s="91"/>
      <c r="V556" s="91"/>
      <c r="W556" s="91"/>
      <c r="X556" s="91"/>
      <c r="Y556" s="91"/>
      <c r="Z556" s="91"/>
    </row>
    <row r="557" spans="1:26" ht="15.75" customHeight="1" x14ac:dyDescent="0.25">
      <c r="A557" s="9"/>
      <c r="B557" s="189"/>
      <c r="C557" s="91"/>
      <c r="D557" s="91"/>
      <c r="E557" s="91"/>
      <c r="F557" s="91"/>
      <c r="G557" s="91"/>
      <c r="H557" s="91"/>
      <c r="I557" s="91"/>
      <c r="J557" s="91"/>
      <c r="K557" s="91"/>
      <c r="L557" s="91"/>
      <c r="M557" s="91"/>
      <c r="N557" s="91"/>
      <c r="O557" s="91"/>
      <c r="P557" s="91"/>
      <c r="Q557" s="91"/>
      <c r="R557" s="91"/>
      <c r="S557" s="91"/>
      <c r="T557" s="91"/>
      <c r="U557" s="91"/>
      <c r="V557" s="91"/>
      <c r="W557" s="91"/>
      <c r="X557" s="91"/>
      <c r="Y557" s="91"/>
      <c r="Z557" s="91"/>
    </row>
    <row r="558" spans="1:26" ht="15.75" customHeight="1" x14ac:dyDescent="0.25">
      <c r="A558" s="9"/>
      <c r="B558" s="189"/>
      <c r="C558" s="91"/>
      <c r="D558" s="91"/>
      <c r="E558" s="91"/>
      <c r="F558" s="91"/>
      <c r="G558" s="91"/>
      <c r="H558" s="91"/>
      <c r="I558" s="91"/>
      <c r="J558" s="91"/>
      <c r="K558" s="91"/>
      <c r="L558" s="91"/>
      <c r="M558" s="91"/>
      <c r="N558" s="91"/>
      <c r="O558" s="91"/>
      <c r="P558" s="91"/>
      <c r="Q558" s="91"/>
      <c r="R558" s="91"/>
      <c r="S558" s="91"/>
      <c r="T558" s="91"/>
      <c r="U558" s="91"/>
      <c r="V558" s="91"/>
      <c r="W558" s="91"/>
      <c r="X558" s="91"/>
      <c r="Y558" s="91"/>
      <c r="Z558" s="91"/>
    </row>
    <row r="559" spans="1:26" ht="15.75" customHeight="1" x14ac:dyDescent="0.25">
      <c r="A559" s="9"/>
      <c r="B559" s="189"/>
      <c r="C559" s="91"/>
      <c r="D559" s="91"/>
      <c r="E559" s="91"/>
      <c r="F559" s="91"/>
      <c r="G559" s="91"/>
      <c r="H559" s="91"/>
      <c r="I559" s="91"/>
      <c r="J559" s="91"/>
      <c r="K559" s="91"/>
      <c r="L559" s="91"/>
      <c r="M559" s="91"/>
      <c r="N559" s="91"/>
      <c r="O559" s="91"/>
      <c r="P559" s="91"/>
      <c r="Q559" s="91"/>
      <c r="R559" s="91"/>
      <c r="S559" s="91"/>
      <c r="T559" s="91"/>
      <c r="U559" s="91"/>
      <c r="V559" s="91"/>
      <c r="W559" s="91"/>
      <c r="X559" s="91"/>
      <c r="Y559" s="91"/>
      <c r="Z559" s="91"/>
    </row>
    <row r="560" spans="1:26" ht="15.75" customHeight="1" x14ac:dyDescent="0.25">
      <c r="A560" s="9"/>
      <c r="B560" s="189"/>
      <c r="C560" s="91"/>
      <c r="D560" s="91"/>
      <c r="E560" s="91"/>
      <c r="F560" s="91"/>
      <c r="G560" s="91"/>
      <c r="H560" s="91"/>
      <c r="I560" s="91"/>
      <c r="J560" s="91"/>
      <c r="K560" s="91"/>
      <c r="L560" s="91"/>
      <c r="M560" s="91"/>
      <c r="N560" s="91"/>
      <c r="O560" s="91"/>
      <c r="P560" s="91"/>
      <c r="Q560" s="91"/>
      <c r="R560" s="91"/>
      <c r="S560" s="91"/>
      <c r="T560" s="91"/>
      <c r="U560" s="91"/>
      <c r="V560" s="91"/>
      <c r="W560" s="91"/>
      <c r="X560" s="91"/>
      <c r="Y560" s="91"/>
      <c r="Z560" s="91"/>
    </row>
    <row r="561" spans="1:26" ht="15.75" customHeight="1" x14ac:dyDescent="0.25">
      <c r="A561" s="9"/>
      <c r="B561" s="189"/>
      <c r="C561" s="91"/>
      <c r="D561" s="91"/>
      <c r="E561" s="91"/>
      <c r="F561" s="91"/>
      <c r="G561" s="91"/>
      <c r="H561" s="91"/>
      <c r="I561" s="91"/>
      <c r="J561" s="91"/>
      <c r="K561" s="91"/>
      <c r="L561" s="91"/>
      <c r="M561" s="91"/>
      <c r="N561" s="91"/>
      <c r="O561" s="91"/>
      <c r="P561" s="91"/>
      <c r="Q561" s="91"/>
      <c r="R561" s="91"/>
      <c r="S561" s="91"/>
      <c r="T561" s="91"/>
      <c r="U561" s="91"/>
      <c r="V561" s="91"/>
      <c r="W561" s="91"/>
      <c r="X561" s="91"/>
      <c r="Y561" s="91"/>
      <c r="Z561" s="91"/>
    </row>
    <row r="562" spans="1:26" ht="15.75" customHeight="1" x14ac:dyDescent="0.25">
      <c r="A562" s="9"/>
      <c r="B562" s="189"/>
      <c r="C562" s="91"/>
      <c r="D562" s="91"/>
      <c r="E562" s="91"/>
      <c r="F562" s="91"/>
      <c r="G562" s="91"/>
      <c r="H562" s="91"/>
      <c r="I562" s="91"/>
      <c r="J562" s="91"/>
      <c r="K562" s="91"/>
      <c r="L562" s="91"/>
      <c r="M562" s="91"/>
      <c r="N562" s="91"/>
      <c r="O562" s="91"/>
      <c r="P562" s="91"/>
      <c r="Q562" s="91"/>
      <c r="R562" s="91"/>
      <c r="S562" s="91"/>
      <c r="T562" s="91"/>
      <c r="U562" s="91"/>
      <c r="V562" s="91"/>
      <c r="W562" s="91"/>
      <c r="X562" s="91"/>
      <c r="Y562" s="91"/>
      <c r="Z562" s="91"/>
    </row>
    <row r="563" spans="1:26" ht="15.75" customHeight="1" x14ac:dyDescent="0.25">
      <c r="A563" s="9"/>
      <c r="B563" s="189"/>
      <c r="C563" s="91"/>
      <c r="D563" s="91"/>
      <c r="E563" s="91"/>
      <c r="F563" s="91"/>
      <c r="G563" s="91"/>
      <c r="H563" s="91"/>
      <c r="I563" s="91"/>
      <c r="J563" s="91"/>
      <c r="K563" s="91"/>
      <c r="L563" s="91"/>
      <c r="M563" s="91"/>
      <c r="N563" s="91"/>
      <c r="O563" s="91"/>
      <c r="P563" s="91"/>
      <c r="Q563" s="91"/>
      <c r="R563" s="91"/>
      <c r="S563" s="91"/>
      <c r="T563" s="91"/>
      <c r="U563" s="91"/>
      <c r="V563" s="91"/>
      <c r="W563" s="91"/>
      <c r="X563" s="91"/>
      <c r="Y563" s="91"/>
      <c r="Z563" s="91"/>
    </row>
    <row r="564" spans="1:26" ht="15.75" customHeight="1" x14ac:dyDescent="0.25">
      <c r="A564" s="9"/>
      <c r="B564" s="189"/>
      <c r="C564" s="91"/>
      <c r="D564" s="91"/>
      <c r="E564" s="91"/>
      <c r="F564" s="91"/>
      <c r="G564" s="91"/>
      <c r="H564" s="91"/>
      <c r="I564" s="91"/>
      <c r="J564" s="91"/>
      <c r="K564" s="91"/>
      <c r="L564" s="91"/>
      <c r="M564" s="91"/>
      <c r="N564" s="91"/>
      <c r="O564" s="91"/>
      <c r="P564" s="91"/>
      <c r="Q564" s="91"/>
      <c r="R564" s="91"/>
      <c r="S564" s="91"/>
      <c r="T564" s="91"/>
      <c r="U564" s="91"/>
      <c r="V564" s="91"/>
      <c r="W564" s="91"/>
      <c r="X564" s="91"/>
      <c r="Y564" s="91"/>
      <c r="Z564" s="91"/>
    </row>
    <row r="565" spans="1:26" ht="15.75" customHeight="1" x14ac:dyDescent="0.25">
      <c r="A565" s="9"/>
      <c r="B565" s="189"/>
      <c r="C565" s="91"/>
      <c r="D565" s="91"/>
      <c r="E565" s="91"/>
      <c r="F565" s="91"/>
      <c r="G565" s="91"/>
      <c r="H565" s="91"/>
      <c r="I565" s="91"/>
      <c r="J565" s="91"/>
      <c r="K565" s="91"/>
      <c r="L565" s="91"/>
      <c r="M565" s="91"/>
      <c r="N565" s="91"/>
      <c r="O565" s="91"/>
      <c r="P565" s="91"/>
      <c r="Q565" s="91"/>
      <c r="R565" s="91"/>
      <c r="S565" s="91"/>
      <c r="T565" s="91"/>
      <c r="U565" s="91"/>
      <c r="V565" s="91"/>
      <c r="W565" s="91"/>
      <c r="X565" s="91"/>
      <c r="Y565" s="91"/>
      <c r="Z565" s="91"/>
    </row>
    <row r="566" spans="1:26" ht="15.75" customHeight="1" x14ac:dyDescent="0.25">
      <c r="A566" s="9"/>
      <c r="B566" s="189"/>
      <c r="C566" s="91"/>
      <c r="D566" s="91"/>
      <c r="E566" s="91"/>
      <c r="F566" s="91"/>
      <c r="G566" s="91"/>
      <c r="H566" s="91"/>
      <c r="I566" s="91"/>
      <c r="J566" s="91"/>
      <c r="K566" s="91"/>
      <c r="L566" s="91"/>
      <c r="M566" s="91"/>
      <c r="N566" s="91"/>
      <c r="O566" s="91"/>
      <c r="P566" s="91"/>
      <c r="Q566" s="91"/>
      <c r="R566" s="91"/>
      <c r="S566" s="91"/>
      <c r="T566" s="91"/>
      <c r="U566" s="91"/>
      <c r="V566" s="91"/>
      <c r="W566" s="91"/>
      <c r="X566" s="91"/>
      <c r="Y566" s="91"/>
      <c r="Z566" s="91"/>
    </row>
    <row r="567" spans="1:26" ht="15.75" customHeight="1" x14ac:dyDescent="0.25">
      <c r="A567" s="9"/>
      <c r="B567" s="189"/>
      <c r="C567" s="91"/>
      <c r="D567" s="91"/>
      <c r="E567" s="91"/>
      <c r="F567" s="91"/>
      <c r="G567" s="91"/>
      <c r="H567" s="91"/>
      <c r="I567" s="91"/>
      <c r="J567" s="91"/>
      <c r="K567" s="91"/>
      <c r="L567" s="91"/>
      <c r="M567" s="91"/>
      <c r="N567" s="91"/>
      <c r="O567" s="91"/>
      <c r="P567" s="91"/>
      <c r="Q567" s="91"/>
      <c r="R567" s="91"/>
      <c r="S567" s="91"/>
      <c r="T567" s="91"/>
      <c r="U567" s="91"/>
      <c r="V567" s="91"/>
      <c r="W567" s="91"/>
      <c r="X567" s="91"/>
      <c r="Y567" s="91"/>
      <c r="Z567" s="91"/>
    </row>
    <row r="568" spans="1:26" ht="15.75" customHeight="1" x14ac:dyDescent="0.25">
      <c r="A568" s="9"/>
      <c r="B568" s="189"/>
      <c r="C568" s="91"/>
      <c r="D568" s="91"/>
      <c r="E568" s="91"/>
      <c r="F568" s="91"/>
      <c r="G568" s="91"/>
      <c r="H568" s="91"/>
      <c r="I568" s="91"/>
      <c r="J568" s="91"/>
      <c r="K568" s="91"/>
      <c r="L568" s="91"/>
      <c r="M568" s="91"/>
      <c r="N568" s="91"/>
      <c r="O568" s="91"/>
      <c r="P568" s="91"/>
      <c r="Q568" s="91"/>
      <c r="R568" s="91"/>
      <c r="S568" s="91"/>
      <c r="T568" s="91"/>
      <c r="U568" s="91"/>
      <c r="V568" s="91"/>
      <c r="W568" s="91"/>
      <c r="X568" s="91"/>
      <c r="Y568" s="91"/>
      <c r="Z568" s="91"/>
    </row>
    <row r="569" spans="1:26" ht="15.75" customHeight="1" x14ac:dyDescent="0.25">
      <c r="A569" s="9"/>
      <c r="B569" s="189"/>
      <c r="C569" s="91"/>
      <c r="D569" s="91"/>
      <c r="E569" s="91"/>
      <c r="F569" s="91"/>
      <c r="G569" s="91"/>
      <c r="H569" s="91"/>
      <c r="I569" s="91"/>
      <c r="J569" s="91"/>
      <c r="K569" s="91"/>
      <c r="L569" s="91"/>
      <c r="M569" s="91"/>
      <c r="N569" s="91"/>
      <c r="O569" s="91"/>
      <c r="P569" s="91"/>
      <c r="Q569" s="91"/>
      <c r="R569" s="91"/>
      <c r="S569" s="91"/>
      <c r="T569" s="91"/>
      <c r="U569" s="91"/>
      <c r="V569" s="91"/>
      <c r="W569" s="91"/>
      <c r="X569" s="91"/>
      <c r="Y569" s="91"/>
      <c r="Z569" s="91"/>
    </row>
    <row r="570" spans="1:26" ht="15.75" customHeight="1" x14ac:dyDescent="0.25">
      <c r="A570" s="9"/>
      <c r="B570" s="189"/>
      <c r="C570" s="91"/>
      <c r="D570" s="91"/>
      <c r="E570" s="91"/>
      <c r="F570" s="91"/>
      <c r="G570" s="91"/>
      <c r="H570" s="91"/>
      <c r="I570" s="91"/>
      <c r="J570" s="91"/>
      <c r="K570" s="91"/>
      <c r="L570" s="91"/>
      <c r="M570" s="91"/>
      <c r="N570" s="91"/>
      <c r="O570" s="91"/>
      <c r="P570" s="91"/>
      <c r="Q570" s="91"/>
      <c r="R570" s="91"/>
      <c r="S570" s="91"/>
      <c r="T570" s="91"/>
      <c r="U570" s="91"/>
      <c r="V570" s="91"/>
      <c r="W570" s="91"/>
      <c r="X570" s="91"/>
      <c r="Y570" s="91"/>
      <c r="Z570" s="91"/>
    </row>
    <row r="571" spans="1:26" ht="15.75" customHeight="1" x14ac:dyDescent="0.25">
      <c r="A571" s="9"/>
      <c r="B571" s="189"/>
      <c r="C571" s="91"/>
      <c r="D571" s="91"/>
      <c r="E571" s="91"/>
      <c r="F571" s="91"/>
      <c r="G571" s="91"/>
      <c r="H571" s="91"/>
      <c r="I571" s="91"/>
      <c r="J571" s="91"/>
      <c r="K571" s="91"/>
      <c r="L571" s="91"/>
      <c r="M571" s="91"/>
      <c r="N571" s="91"/>
      <c r="O571" s="91"/>
      <c r="P571" s="91"/>
      <c r="Q571" s="91"/>
      <c r="R571" s="91"/>
      <c r="S571" s="91"/>
      <c r="T571" s="91"/>
      <c r="U571" s="91"/>
      <c r="V571" s="91"/>
      <c r="W571" s="91"/>
      <c r="X571" s="91"/>
      <c r="Y571" s="91"/>
      <c r="Z571" s="91"/>
    </row>
    <row r="572" spans="1:26" ht="15.75" customHeight="1" x14ac:dyDescent="0.25">
      <c r="A572" s="9"/>
      <c r="B572" s="189"/>
      <c r="C572" s="91"/>
      <c r="D572" s="91"/>
      <c r="E572" s="91"/>
      <c r="F572" s="91"/>
      <c r="G572" s="91"/>
      <c r="H572" s="91"/>
      <c r="I572" s="91"/>
      <c r="J572" s="91"/>
      <c r="K572" s="91"/>
      <c r="L572" s="91"/>
      <c r="M572" s="91"/>
      <c r="N572" s="91"/>
      <c r="O572" s="91"/>
      <c r="P572" s="91"/>
      <c r="Q572" s="91"/>
      <c r="R572" s="91"/>
      <c r="S572" s="91"/>
      <c r="T572" s="91"/>
      <c r="U572" s="91"/>
      <c r="V572" s="91"/>
      <c r="W572" s="91"/>
      <c r="X572" s="91"/>
      <c r="Y572" s="91"/>
      <c r="Z572" s="91"/>
    </row>
    <row r="573" spans="1:26" ht="15.75" customHeight="1" x14ac:dyDescent="0.25">
      <c r="A573" s="9"/>
      <c r="B573" s="189"/>
      <c r="C573" s="91"/>
      <c r="D573" s="91"/>
      <c r="E573" s="91"/>
      <c r="F573" s="91"/>
      <c r="G573" s="91"/>
      <c r="H573" s="91"/>
      <c r="I573" s="91"/>
      <c r="J573" s="91"/>
      <c r="K573" s="91"/>
      <c r="L573" s="91"/>
      <c r="M573" s="91"/>
      <c r="N573" s="91"/>
      <c r="O573" s="91"/>
      <c r="P573" s="91"/>
      <c r="Q573" s="91"/>
      <c r="R573" s="91"/>
      <c r="S573" s="91"/>
      <c r="T573" s="91"/>
      <c r="U573" s="91"/>
      <c r="V573" s="91"/>
      <c r="W573" s="91"/>
      <c r="X573" s="91"/>
      <c r="Y573" s="91"/>
      <c r="Z573" s="91"/>
    </row>
    <row r="574" spans="1:26" ht="15.75" customHeight="1" x14ac:dyDescent="0.25">
      <c r="A574" s="9"/>
      <c r="B574" s="189"/>
      <c r="C574" s="91"/>
      <c r="D574" s="91"/>
      <c r="E574" s="91"/>
      <c r="F574" s="91"/>
      <c r="G574" s="91"/>
      <c r="H574" s="91"/>
      <c r="I574" s="91"/>
      <c r="J574" s="91"/>
      <c r="K574" s="91"/>
      <c r="L574" s="91"/>
      <c r="M574" s="91"/>
      <c r="N574" s="91"/>
      <c r="O574" s="91"/>
      <c r="P574" s="91"/>
      <c r="Q574" s="91"/>
      <c r="R574" s="91"/>
      <c r="S574" s="91"/>
      <c r="T574" s="91"/>
      <c r="U574" s="91"/>
      <c r="V574" s="91"/>
      <c r="W574" s="91"/>
      <c r="X574" s="91"/>
      <c r="Y574" s="91"/>
      <c r="Z574" s="91"/>
    </row>
    <row r="575" spans="1:26" ht="15.75" customHeight="1" x14ac:dyDescent="0.25">
      <c r="A575" s="9"/>
      <c r="B575" s="189"/>
      <c r="C575" s="91"/>
      <c r="D575" s="91"/>
      <c r="E575" s="91"/>
      <c r="F575" s="91"/>
      <c r="G575" s="91"/>
      <c r="H575" s="91"/>
      <c r="I575" s="91"/>
      <c r="J575" s="91"/>
      <c r="K575" s="91"/>
      <c r="L575" s="91"/>
      <c r="M575" s="91"/>
      <c r="N575" s="91"/>
      <c r="O575" s="91"/>
      <c r="P575" s="91"/>
      <c r="Q575" s="91"/>
      <c r="R575" s="91"/>
      <c r="S575" s="91"/>
      <c r="T575" s="91"/>
      <c r="U575" s="91"/>
      <c r="V575" s="91"/>
      <c r="W575" s="91"/>
      <c r="X575" s="91"/>
      <c r="Y575" s="91"/>
      <c r="Z575" s="91"/>
    </row>
    <row r="576" spans="1:26" ht="15.75" customHeight="1" x14ac:dyDescent="0.25">
      <c r="A576" s="9"/>
      <c r="B576" s="189"/>
      <c r="C576" s="91"/>
      <c r="D576" s="91"/>
      <c r="E576" s="91"/>
      <c r="F576" s="91"/>
      <c r="G576" s="91"/>
      <c r="H576" s="91"/>
      <c r="I576" s="91"/>
      <c r="J576" s="91"/>
      <c r="K576" s="91"/>
      <c r="L576" s="91"/>
      <c r="M576" s="91"/>
      <c r="N576" s="91"/>
      <c r="O576" s="91"/>
      <c r="P576" s="91"/>
      <c r="Q576" s="91"/>
      <c r="R576" s="91"/>
      <c r="S576" s="91"/>
      <c r="T576" s="91"/>
      <c r="U576" s="91"/>
      <c r="V576" s="91"/>
      <c r="W576" s="91"/>
      <c r="X576" s="91"/>
      <c r="Y576" s="91"/>
      <c r="Z576" s="91"/>
    </row>
    <row r="577" spans="1:26" ht="15.75" customHeight="1" x14ac:dyDescent="0.25">
      <c r="A577" s="9"/>
      <c r="B577" s="189"/>
      <c r="C577" s="91"/>
      <c r="D577" s="91"/>
      <c r="E577" s="91"/>
      <c r="F577" s="91"/>
      <c r="G577" s="91"/>
      <c r="H577" s="91"/>
      <c r="I577" s="91"/>
      <c r="J577" s="91"/>
      <c r="K577" s="91"/>
      <c r="L577" s="91"/>
      <c r="M577" s="91"/>
      <c r="N577" s="91"/>
      <c r="O577" s="91"/>
      <c r="P577" s="91"/>
      <c r="Q577" s="91"/>
      <c r="R577" s="91"/>
      <c r="S577" s="91"/>
      <c r="T577" s="91"/>
      <c r="U577" s="91"/>
      <c r="V577" s="91"/>
      <c r="W577" s="91"/>
      <c r="X577" s="91"/>
      <c r="Y577" s="91"/>
      <c r="Z577" s="91"/>
    </row>
    <row r="578" spans="1:26" ht="15.75" customHeight="1" x14ac:dyDescent="0.25">
      <c r="A578" s="9"/>
      <c r="B578" s="189"/>
      <c r="C578" s="91"/>
      <c r="D578" s="91"/>
      <c r="E578" s="91"/>
      <c r="F578" s="91"/>
      <c r="G578" s="91"/>
      <c r="H578" s="91"/>
      <c r="I578" s="91"/>
      <c r="J578" s="91"/>
      <c r="K578" s="91"/>
      <c r="L578" s="91"/>
      <c r="M578" s="91"/>
      <c r="N578" s="91"/>
      <c r="O578" s="91"/>
      <c r="P578" s="91"/>
      <c r="Q578" s="91"/>
      <c r="R578" s="91"/>
      <c r="S578" s="91"/>
      <c r="T578" s="91"/>
      <c r="U578" s="91"/>
      <c r="V578" s="91"/>
      <c r="W578" s="91"/>
      <c r="X578" s="91"/>
      <c r="Y578" s="91"/>
      <c r="Z578" s="91"/>
    </row>
    <row r="579" spans="1:26" ht="15.75" customHeight="1" x14ac:dyDescent="0.25">
      <c r="A579" s="9"/>
      <c r="B579" s="189"/>
      <c r="C579" s="91"/>
      <c r="D579" s="91"/>
      <c r="E579" s="91"/>
      <c r="F579" s="91"/>
      <c r="G579" s="91"/>
      <c r="H579" s="91"/>
      <c r="I579" s="91"/>
      <c r="J579" s="91"/>
      <c r="K579" s="91"/>
      <c r="L579" s="91"/>
      <c r="M579" s="91"/>
      <c r="N579" s="91"/>
      <c r="O579" s="91"/>
      <c r="P579" s="91"/>
      <c r="Q579" s="91"/>
      <c r="R579" s="91"/>
      <c r="S579" s="91"/>
      <c r="T579" s="91"/>
      <c r="U579" s="91"/>
      <c r="V579" s="91"/>
      <c r="W579" s="91"/>
      <c r="X579" s="91"/>
      <c r="Y579" s="91"/>
      <c r="Z579" s="91"/>
    </row>
    <row r="580" spans="1:26" ht="15.75" customHeight="1" x14ac:dyDescent="0.25">
      <c r="A580" s="9"/>
      <c r="B580" s="189"/>
      <c r="C580" s="91"/>
      <c r="D580" s="91"/>
      <c r="E580" s="91"/>
      <c r="F580" s="91"/>
      <c r="G580" s="91"/>
      <c r="H580" s="91"/>
      <c r="I580" s="91"/>
      <c r="J580" s="91"/>
      <c r="K580" s="91"/>
      <c r="L580" s="91"/>
      <c r="M580" s="91"/>
      <c r="N580" s="91"/>
      <c r="O580" s="91"/>
      <c r="P580" s="91"/>
      <c r="Q580" s="91"/>
      <c r="R580" s="91"/>
      <c r="S580" s="91"/>
      <c r="T580" s="91"/>
      <c r="U580" s="91"/>
      <c r="V580" s="91"/>
      <c r="W580" s="91"/>
      <c r="X580" s="91"/>
      <c r="Y580" s="91"/>
      <c r="Z580" s="91"/>
    </row>
    <row r="581" spans="1:26" ht="15.75" customHeight="1" x14ac:dyDescent="0.25">
      <c r="A581" s="9"/>
      <c r="B581" s="189"/>
      <c r="C581" s="91"/>
      <c r="D581" s="91"/>
      <c r="E581" s="91"/>
      <c r="F581" s="91"/>
      <c r="G581" s="91"/>
      <c r="H581" s="91"/>
      <c r="I581" s="91"/>
      <c r="J581" s="91"/>
      <c r="K581" s="91"/>
      <c r="L581" s="91"/>
      <c r="M581" s="91"/>
      <c r="N581" s="91"/>
      <c r="O581" s="91"/>
      <c r="P581" s="91"/>
      <c r="Q581" s="91"/>
      <c r="R581" s="91"/>
      <c r="S581" s="91"/>
      <c r="T581" s="91"/>
      <c r="U581" s="91"/>
      <c r="V581" s="91"/>
      <c r="W581" s="91"/>
      <c r="X581" s="91"/>
      <c r="Y581" s="91"/>
      <c r="Z581" s="91"/>
    </row>
    <row r="582" spans="1:26" ht="15.75" customHeight="1" x14ac:dyDescent="0.25">
      <c r="A582" s="9"/>
      <c r="B582" s="189"/>
      <c r="C582" s="91"/>
      <c r="D582" s="91"/>
      <c r="E582" s="91"/>
      <c r="F582" s="91"/>
      <c r="G582" s="91"/>
      <c r="H582" s="91"/>
      <c r="I582" s="91"/>
      <c r="J582" s="91"/>
      <c r="K582" s="91"/>
      <c r="L582" s="91"/>
      <c r="M582" s="91"/>
      <c r="N582" s="91"/>
      <c r="O582" s="91"/>
      <c r="P582" s="91"/>
      <c r="Q582" s="91"/>
      <c r="R582" s="91"/>
      <c r="S582" s="91"/>
      <c r="T582" s="91"/>
      <c r="U582" s="91"/>
      <c r="V582" s="91"/>
      <c r="W582" s="91"/>
      <c r="X582" s="91"/>
      <c r="Y582" s="91"/>
      <c r="Z582" s="91"/>
    </row>
    <row r="583" spans="1:26" ht="15.75" customHeight="1" x14ac:dyDescent="0.25">
      <c r="A583" s="9"/>
      <c r="B583" s="189"/>
      <c r="C583" s="91"/>
      <c r="D583" s="91"/>
      <c r="E583" s="91"/>
      <c r="F583" s="91"/>
      <c r="G583" s="91"/>
      <c r="H583" s="91"/>
      <c r="I583" s="91"/>
      <c r="J583" s="91"/>
      <c r="K583" s="91"/>
      <c r="L583" s="91"/>
      <c r="M583" s="91"/>
      <c r="N583" s="91"/>
      <c r="O583" s="91"/>
      <c r="P583" s="91"/>
      <c r="Q583" s="91"/>
      <c r="R583" s="91"/>
      <c r="S583" s="91"/>
      <c r="T583" s="91"/>
      <c r="U583" s="91"/>
      <c r="V583" s="91"/>
      <c r="W583" s="91"/>
      <c r="X583" s="91"/>
      <c r="Y583" s="91"/>
      <c r="Z583" s="91"/>
    </row>
    <row r="584" spans="1:26" ht="15.75" customHeight="1" x14ac:dyDescent="0.25">
      <c r="A584" s="9"/>
      <c r="B584" s="189"/>
      <c r="C584" s="91"/>
      <c r="D584" s="91"/>
      <c r="E584" s="91"/>
      <c r="F584" s="91"/>
      <c r="G584" s="91"/>
      <c r="H584" s="91"/>
      <c r="I584" s="91"/>
      <c r="J584" s="91"/>
      <c r="K584" s="91"/>
      <c r="L584" s="91"/>
      <c r="M584" s="91"/>
      <c r="N584" s="91"/>
      <c r="O584" s="91"/>
      <c r="P584" s="91"/>
      <c r="Q584" s="91"/>
      <c r="R584" s="91"/>
      <c r="S584" s="91"/>
      <c r="T584" s="91"/>
      <c r="U584" s="91"/>
      <c r="V584" s="91"/>
      <c r="W584" s="91"/>
      <c r="X584" s="91"/>
      <c r="Y584" s="91"/>
      <c r="Z584" s="91"/>
    </row>
    <row r="585" spans="1:26" ht="15.75" customHeight="1" x14ac:dyDescent="0.25">
      <c r="A585" s="9"/>
      <c r="B585" s="189"/>
      <c r="C585" s="91"/>
      <c r="D585" s="91"/>
      <c r="E585" s="91"/>
      <c r="F585" s="91"/>
      <c r="G585" s="91"/>
      <c r="H585" s="91"/>
      <c r="I585" s="91"/>
      <c r="J585" s="91"/>
      <c r="K585" s="91"/>
      <c r="L585" s="91"/>
      <c r="M585" s="91"/>
      <c r="N585" s="91"/>
      <c r="O585" s="91"/>
      <c r="P585" s="91"/>
      <c r="Q585" s="91"/>
      <c r="R585" s="91"/>
      <c r="S585" s="91"/>
      <c r="T585" s="91"/>
      <c r="U585" s="91"/>
      <c r="V585" s="91"/>
      <c r="W585" s="91"/>
      <c r="X585" s="91"/>
      <c r="Y585" s="91"/>
      <c r="Z585" s="91"/>
    </row>
    <row r="586" spans="1:26" ht="15.75" customHeight="1" x14ac:dyDescent="0.25">
      <c r="A586" s="9"/>
      <c r="B586" s="189"/>
      <c r="C586" s="91"/>
      <c r="D586" s="91"/>
      <c r="E586" s="91"/>
      <c r="F586" s="91"/>
      <c r="G586" s="91"/>
      <c r="H586" s="91"/>
      <c r="I586" s="91"/>
      <c r="J586" s="91"/>
      <c r="K586" s="91"/>
      <c r="L586" s="91"/>
      <c r="M586" s="91"/>
      <c r="N586" s="91"/>
      <c r="O586" s="91"/>
      <c r="P586" s="91"/>
      <c r="Q586" s="91"/>
      <c r="R586" s="91"/>
      <c r="S586" s="91"/>
      <c r="T586" s="91"/>
      <c r="U586" s="91"/>
      <c r="V586" s="91"/>
      <c r="W586" s="91"/>
      <c r="X586" s="91"/>
      <c r="Y586" s="91"/>
      <c r="Z586" s="91"/>
    </row>
    <row r="587" spans="1:26" ht="15.75" customHeight="1" x14ac:dyDescent="0.25">
      <c r="A587" s="9"/>
      <c r="B587" s="189"/>
      <c r="C587" s="91"/>
      <c r="D587" s="91"/>
      <c r="E587" s="91"/>
      <c r="F587" s="91"/>
      <c r="G587" s="91"/>
      <c r="H587" s="91"/>
      <c r="I587" s="91"/>
      <c r="J587" s="91"/>
      <c r="K587" s="91"/>
      <c r="L587" s="91"/>
      <c r="M587" s="91"/>
      <c r="N587" s="91"/>
      <c r="O587" s="91"/>
      <c r="P587" s="91"/>
      <c r="Q587" s="91"/>
      <c r="R587" s="91"/>
      <c r="S587" s="91"/>
      <c r="T587" s="91"/>
      <c r="U587" s="91"/>
      <c r="V587" s="91"/>
      <c r="W587" s="91"/>
      <c r="X587" s="91"/>
      <c r="Y587" s="91"/>
      <c r="Z587" s="91"/>
    </row>
    <row r="588" spans="1:26" ht="15.75" customHeight="1" x14ac:dyDescent="0.25">
      <c r="A588" s="9"/>
      <c r="B588" s="189"/>
      <c r="C588" s="91"/>
      <c r="D588" s="91"/>
      <c r="E588" s="91"/>
      <c r="F588" s="91"/>
      <c r="G588" s="91"/>
      <c r="H588" s="91"/>
      <c r="I588" s="91"/>
      <c r="J588" s="91"/>
      <c r="K588" s="91"/>
      <c r="L588" s="91"/>
      <c r="M588" s="91"/>
      <c r="N588" s="91"/>
      <c r="O588" s="91"/>
      <c r="P588" s="91"/>
      <c r="Q588" s="91"/>
      <c r="R588" s="91"/>
      <c r="S588" s="91"/>
      <c r="T588" s="91"/>
      <c r="U588" s="91"/>
      <c r="V588" s="91"/>
      <c r="W588" s="91"/>
      <c r="X588" s="91"/>
      <c r="Y588" s="91"/>
      <c r="Z588" s="91"/>
    </row>
    <row r="589" spans="1:26" ht="15.75" customHeight="1" x14ac:dyDescent="0.25">
      <c r="A589" s="9"/>
      <c r="B589" s="189"/>
      <c r="C589" s="91"/>
      <c r="D589" s="91"/>
      <c r="E589" s="91"/>
      <c r="F589" s="91"/>
      <c r="G589" s="91"/>
      <c r="H589" s="91"/>
      <c r="I589" s="91"/>
      <c r="J589" s="91"/>
      <c r="K589" s="91"/>
      <c r="L589" s="91"/>
      <c r="M589" s="91"/>
      <c r="N589" s="91"/>
      <c r="O589" s="91"/>
      <c r="P589" s="91"/>
      <c r="Q589" s="91"/>
      <c r="R589" s="91"/>
      <c r="S589" s="91"/>
      <c r="T589" s="91"/>
      <c r="U589" s="91"/>
      <c r="V589" s="91"/>
      <c r="W589" s="91"/>
      <c r="X589" s="91"/>
      <c r="Y589" s="91"/>
      <c r="Z589" s="91"/>
    </row>
    <row r="590" spans="1:26" ht="15.75" customHeight="1" x14ac:dyDescent="0.25">
      <c r="A590" s="9"/>
      <c r="B590" s="189"/>
      <c r="C590" s="91"/>
      <c r="D590" s="91"/>
      <c r="E590" s="91"/>
      <c r="F590" s="91"/>
      <c r="G590" s="91"/>
      <c r="H590" s="91"/>
      <c r="I590" s="91"/>
      <c r="J590" s="91"/>
      <c r="K590" s="91"/>
      <c r="L590" s="91"/>
      <c r="M590" s="91"/>
      <c r="N590" s="91"/>
      <c r="O590" s="91"/>
      <c r="P590" s="91"/>
      <c r="Q590" s="91"/>
      <c r="R590" s="91"/>
      <c r="S590" s="91"/>
      <c r="T590" s="91"/>
      <c r="U590" s="91"/>
      <c r="V590" s="91"/>
      <c r="W590" s="91"/>
      <c r="X590" s="91"/>
      <c r="Y590" s="91"/>
      <c r="Z590" s="91"/>
    </row>
    <row r="591" spans="1:26" ht="15.75" customHeight="1" x14ac:dyDescent="0.25">
      <c r="A591" s="9"/>
      <c r="B591" s="189"/>
      <c r="C591" s="91"/>
      <c r="D591" s="91"/>
      <c r="E591" s="91"/>
      <c r="F591" s="91"/>
      <c r="G591" s="91"/>
      <c r="H591" s="91"/>
      <c r="I591" s="91"/>
      <c r="J591" s="91"/>
      <c r="K591" s="91"/>
      <c r="L591" s="91"/>
      <c r="M591" s="91"/>
      <c r="N591" s="91"/>
      <c r="O591" s="91"/>
      <c r="P591" s="91"/>
      <c r="Q591" s="91"/>
      <c r="R591" s="91"/>
      <c r="S591" s="91"/>
      <c r="T591" s="91"/>
      <c r="U591" s="91"/>
      <c r="V591" s="91"/>
      <c r="W591" s="91"/>
      <c r="X591" s="91"/>
      <c r="Y591" s="91"/>
      <c r="Z591" s="91"/>
    </row>
    <row r="592" spans="1:26" ht="15.75" customHeight="1" x14ac:dyDescent="0.25">
      <c r="A592" s="9"/>
      <c r="B592" s="189"/>
      <c r="C592" s="91"/>
      <c r="D592" s="91"/>
      <c r="E592" s="91"/>
      <c r="F592" s="91"/>
      <c r="G592" s="91"/>
      <c r="H592" s="91"/>
      <c r="I592" s="91"/>
      <c r="J592" s="91"/>
      <c r="K592" s="91"/>
      <c r="L592" s="91"/>
      <c r="M592" s="91"/>
      <c r="N592" s="91"/>
      <c r="O592" s="91"/>
      <c r="P592" s="91"/>
      <c r="Q592" s="91"/>
      <c r="R592" s="91"/>
      <c r="S592" s="91"/>
      <c r="T592" s="91"/>
      <c r="U592" s="91"/>
      <c r="V592" s="91"/>
      <c r="W592" s="91"/>
      <c r="X592" s="91"/>
      <c r="Y592" s="91"/>
      <c r="Z592" s="91"/>
    </row>
    <row r="593" spans="1:26" ht="15.75" customHeight="1" x14ac:dyDescent="0.25">
      <c r="A593" s="9"/>
      <c r="B593" s="189"/>
      <c r="C593" s="91"/>
      <c r="D593" s="91"/>
      <c r="E593" s="91"/>
      <c r="F593" s="91"/>
      <c r="G593" s="91"/>
      <c r="H593" s="91"/>
      <c r="I593" s="91"/>
      <c r="J593" s="91"/>
      <c r="K593" s="91"/>
      <c r="L593" s="91"/>
      <c r="M593" s="91"/>
      <c r="N593" s="91"/>
      <c r="O593" s="91"/>
      <c r="P593" s="91"/>
      <c r="Q593" s="91"/>
      <c r="R593" s="91"/>
      <c r="S593" s="91"/>
      <c r="T593" s="91"/>
      <c r="U593" s="91"/>
      <c r="V593" s="91"/>
      <c r="W593" s="91"/>
      <c r="X593" s="91"/>
      <c r="Y593" s="91"/>
      <c r="Z593" s="91"/>
    </row>
    <row r="594" spans="1:26" ht="15.75" customHeight="1" x14ac:dyDescent="0.25">
      <c r="A594" s="9"/>
      <c r="B594" s="189"/>
      <c r="C594" s="91"/>
      <c r="D594" s="91"/>
      <c r="E594" s="91"/>
      <c r="F594" s="91"/>
      <c r="G594" s="91"/>
      <c r="H594" s="91"/>
      <c r="I594" s="91"/>
      <c r="J594" s="91"/>
      <c r="K594" s="91"/>
      <c r="L594" s="91"/>
      <c r="M594" s="91"/>
      <c r="N594" s="91"/>
      <c r="O594" s="91"/>
      <c r="P594" s="91"/>
      <c r="Q594" s="91"/>
      <c r="R594" s="91"/>
      <c r="S594" s="91"/>
      <c r="T594" s="91"/>
      <c r="U594" s="91"/>
      <c r="V594" s="91"/>
      <c r="W594" s="91"/>
      <c r="X594" s="91"/>
      <c r="Y594" s="91"/>
      <c r="Z594" s="91"/>
    </row>
    <row r="595" spans="1:26" ht="15.75" customHeight="1" x14ac:dyDescent="0.25">
      <c r="A595" s="9"/>
      <c r="B595" s="189"/>
      <c r="C595" s="91"/>
      <c r="D595" s="91"/>
      <c r="E595" s="91"/>
      <c r="F595" s="91"/>
      <c r="G595" s="91"/>
      <c r="H595" s="91"/>
      <c r="I595" s="91"/>
      <c r="J595" s="91"/>
      <c r="K595" s="91"/>
      <c r="L595" s="91"/>
      <c r="M595" s="91"/>
      <c r="N595" s="91"/>
      <c r="O595" s="91"/>
      <c r="P595" s="91"/>
      <c r="Q595" s="91"/>
      <c r="R595" s="91"/>
      <c r="S595" s="91"/>
      <c r="T595" s="91"/>
      <c r="U595" s="91"/>
      <c r="V595" s="91"/>
      <c r="W595" s="91"/>
      <c r="X595" s="91"/>
      <c r="Y595" s="91"/>
      <c r="Z595" s="91"/>
    </row>
    <row r="596" spans="1:26" ht="15.75" customHeight="1" x14ac:dyDescent="0.25">
      <c r="A596" s="9"/>
      <c r="B596" s="189"/>
      <c r="C596" s="91"/>
      <c r="D596" s="91"/>
      <c r="E596" s="91"/>
      <c r="F596" s="91"/>
      <c r="G596" s="91"/>
      <c r="H596" s="91"/>
      <c r="I596" s="91"/>
      <c r="J596" s="91"/>
      <c r="K596" s="91"/>
      <c r="L596" s="91"/>
      <c r="M596" s="91"/>
      <c r="N596" s="91"/>
      <c r="O596" s="91"/>
      <c r="P596" s="91"/>
      <c r="Q596" s="91"/>
      <c r="R596" s="91"/>
      <c r="S596" s="91"/>
      <c r="T596" s="91"/>
      <c r="U596" s="91"/>
      <c r="V596" s="91"/>
      <c r="W596" s="91"/>
      <c r="X596" s="91"/>
      <c r="Y596" s="91"/>
      <c r="Z596" s="91"/>
    </row>
    <row r="597" spans="1:26" ht="15.75" customHeight="1" x14ac:dyDescent="0.25">
      <c r="A597" s="9"/>
      <c r="B597" s="189"/>
      <c r="C597" s="91"/>
      <c r="D597" s="91"/>
      <c r="E597" s="91"/>
      <c r="F597" s="91"/>
      <c r="G597" s="91"/>
      <c r="H597" s="91"/>
      <c r="I597" s="91"/>
      <c r="J597" s="91"/>
      <c r="K597" s="91"/>
      <c r="L597" s="91"/>
      <c r="M597" s="91"/>
      <c r="N597" s="91"/>
      <c r="O597" s="91"/>
      <c r="P597" s="91"/>
      <c r="Q597" s="91"/>
      <c r="R597" s="91"/>
      <c r="S597" s="91"/>
      <c r="T597" s="91"/>
      <c r="U597" s="91"/>
      <c r="V597" s="91"/>
      <c r="W597" s="91"/>
      <c r="X597" s="91"/>
      <c r="Y597" s="91"/>
      <c r="Z597" s="91"/>
    </row>
    <row r="598" spans="1:26" ht="15.75" customHeight="1" x14ac:dyDescent="0.25">
      <c r="A598" s="9"/>
      <c r="B598" s="189"/>
      <c r="C598" s="91"/>
      <c r="D598" s="91"/>
      <c r="E598" s="91"/>
      <c r="F598" s="91"/>
      <c r="G598" s="91"/>
      <c r="H598" s="91"/>
      <c r="I598" s="91"/>
      <c r="J598" s="91"/>
      <c r="K598" s="91"/>
      <c r="L598" s="91"/>
      <c r="M598" s="91"/>
      <c r="N598" s="91"/>
      <c r="O598" s="91"/>
      <c r="P598" s="91"/>
      <c r="Q598" s="91"/>
      <c r="R598" s="91"/>
      <c r="S598" s="91"/>
      <c r="T598" s="91"/>
      <c r="U598" s="91"/>
      <c r="V598" s="91"/>
      <c r="W598" s="91"/>
      <c r="X598" s="91"/>
      <c r="Y598" s="91"/>
      <c r="Z598" s="91"/>
    </row>
    <row r="599" spans="1:26" ht="15.75" customHeight="1" x14ac:dyDescent="0.25">
      <c r="A599" s="9"/>
      <c r="B599" s="189"/>
      <c r="C599" s="91"/>
      <c r="D599" s="91"/>
      <c r="E599" s="91"/>
      <c r="F599" s="91"/>
      <c r="G599" s="91"/>
      <c r="H599" s="91"/>
      <c r="I599" s="91"/>
      <c r="J599" s="91"/>
      <c r="K599" s="91"/>
      <c r="L599" s="91"/>
      <c r="M599" s="91"/>
      <c r="N599" s="91"/>
      <c r="O599" s="91"/>
      <c r="P599" s="91"/>
      <c r="Q599" s="91"/>
      <c r="R599" s="91"/>
      <c r="S599" s="91"/>
      <c r="T599" s="91"/>
      <c r="U599" s="91"/>
      <c r="V599" s="91"/>
      <c r="W599" s="91"/>
      <c r="X599" s="91"/>
      <c r="Y599" s="91"/>
      <c r="Z599" s="91"/>
    </row>
    <row r="600" spans="1:26" ht="15.75" customHeight="1" x14ac:dyDescent="0.25">
      <c r="A600" s="9"/>
      <c r="B600" s="189"/>
      <c r="C600" s="91"/>
      <c r="D600" s="91"/>
      <c r="E600" s="91"/>
      <c r="F600" s="91"/>
      <c r="G600" s="91"/>
      <c r="H600" s="91"/>
      <c r="I600" s="91"/>
      <c r="J600" s="91"/>
      <c r="K600" s="91"/>
      <c r="L600" s="91"/>
      <c r="M600" s="91"/>
      <c r="N600" s="91"/>
      <c r="O600" s="91"/>
      <c r="P600" s="91"/>
      <c r="Q600" s="91"/>
      <c r="R600" s="91"/>
      <c r="S600" s="91"/>
      <c r="T600" s="91"/>
      <c r="U600" s="91"/>
      <c r="V600" s="91"/>
      <c r="W600" s="91"/>
      <c r="X600" s="91"/>
      <c r="Y600" s="91"/>
      <c r="Z600" s="91"/>
    </row>
    <row r="601" spans="1:26" ht="15.75" customHeight="1" x14ac:dyDescent="0.25">
      <c r="A601" s="9"/>
      <c r="B601" s="189"/>
      <c r="C601" s="91"/>
      <c r="D601" s="91"/>
      <c r="E601" s="91"/>
      <c r="F601" s="91"/>
      <c r="G601" s="91"/>
      <c r="H601" s="91"/>
      <c r="I601" s="91"/>
      <c r="J601" s="91"/>
      <c r="K601" s="91"/>
      <c r="L601" s="91"/>
      <c r="M601" s="91"/>
      <c r="N601" s="91"/>
      <c r="O601" s="91"/>
      <c r="P601" s="91"/>
      <c r="Q601" s="91"/>
      <c r="R601" s="91"/>
      <c r="S601" s="91"/>
      <c r="T601" s="91"/>
      <c r="U601" s="91"/>
      <c r="V601" s="91"/>
      <c r="W601" s="91"/>
      <c r="X601" s="91"/>
      <c r="Y601" s="91"/>
      <c r="Z601" s="91"/>
    </row>
    <row r="602" spans="1:26" ht="15.75" customHeight="1" x14ac:dyDescent="0.25">
      <c r="A602" s="9"/>
      <c r="B602" s="189"/>
      <c r="C602" s="91"/>
      <c r="D602" s="91"/>
      <c r="E602" s="91"/>
      <c r="F602" s="91"/>
      <c r="G602" s="91"/>
      <c r="H602" s="91"/>
      <c r="I602" s="91"/>
      <c r="J602" s="91"/>
      <c r="K602" s="91"/>
      <c r="L602" s="91"/>
      <c r="M602" s="91"/>
      <c r="N602" s="91"/>
      <c r="O602" s="91"/>
      <c r="P602" s="91"/>
      <c r="Q602" s="91"/>
      <c r="R602" s="91"/>
      <c r="S602" s="91"/>
      <c r="T602" s="91"/>
      <c r="U602" s="91"/>
      <c r="V602" s="91"/>
      <c r="W602" s="91"/>
      <c r="X602" s="91"/>
      <c r="Y602" s="91"/>
      <c r="Z602" s="91"/>
    </row>
    <row r="603" spans="1:26" ht="15.75" customHeight="1" x14ac:dyDescent="0.25">
      <c r="A603" s="9"/>
      <c r="B603" s="189"/>
      <c r="C603" s="91"/>
      <c r="D603" s="91"/>
      <c r="E603" s="91"/>
      <c r="F603" s="91"/>
      <c r="G603" s="91"/>
      <c r="H603" s="91"/>
      <c r="I603" s="91"/>
      <c r="J603" s="91"/>
      <c r="K603" s="91"/>
      <c r="L603" s="91"/>
      <c r="M603" s="91"/>
      <c r="N603" s="91"/>
      <c r="O603" s="91"/>
      <c r="P603" s="91"/>
      <c r="Q603" s="91"/>
      <c r="R603" s="91"/>
      <c r="S603" s="91"/>
      <c r="T603" s="91"/>
      <c r="U603" s="91"/>
      <c r="V603" s="91"/>
      <c r="W603" s="91"/>
      <c r="X603" s="91"/>
      <c r="Y603" s="91"/>
      <c r="Z603" s="91"/>
    </row>
    <row r="604" spans="1:26" ht="15.75" customHeight="1" x14ac:dyDescent="0.25">
      <c r="A604" s="9"/>
      <c r="B604" s="189"/>
      <c r="C604" s="91"/>
      <c r="D604" s="91"/>
      <c r="E604" s="91"/>
      <c r="F604" s="91"/>
      <c r="G604" s="91"/>
      <c r="H604" s="91"/>
      <c r="I604" s="91"/>
      <c r="J604" s="91"/>
      <c r="K604" s="91"/>
      <c r="L604" s="91"/>
      <c r="M604" s="91"/>
      <c r="N604" s="91"/>
      <c r="O604" s="91"/>
      <c r="P604" s="91"/>
      <c r="Q604" s="91"/>
      <c r="R604" s="91"/>
      <c r="S604" s="91"/>
      <c r="T604" s="91"/>
      <c r="U604" s="91"/>
      <c r="V604" s="91"/>
      <c r="W604" s="91"/>
      <c r="X604" s="91"/>
      <c r="Y604" s="91"/>
      <c r="Z604" s="91"/>
    </row>
    <row r="605" spans="1:26" ht="15.75" customHeight="1" x14ac:dyDescent="0.25">
      <c r="A605" s="9"/>
      <c r="B605" s="189"/>
      <c r="C605" s="91"/>
      <c r="D605" s="91"/>
      <c r="E605" s="91"/>
      <c r="F605" s="91"/>
      <c r="G605" s="91"/>
      <c r="H605" s="91"/>
      <c r="I605" s="91"/>
      <c r="J605" s="91"/>
      <c r="K605" s="91"/>
      <c r="L605" s="91"/>
      <c r="M605" s="91"/>
      <c r="N605" s="91"/>
      <c r="O605" s="91"/>
      <c r="P605" s="91"/>
      <c r="Q605" s="91"/>
      <c r="R605" s="91"/>
      <c r="S605" s="91"/>
      <c r="T605" s="91"/>
      <c r="U605" s="91"/>
      <c r="V605" s="91"/>
      <c r="W605" s="91"/>
      <c r="X605" s="91"/>
      <c r="Y605" s="91"/>
      <c r="Z605" s="91"/>
    </row>
    <row r="606" spans="1:26" ht="15.75" customHeight="1" x14ac:dyDescent="0.25">
      <c r="A606" s="9"/>
      <c r="B606" s="189"/>
      <c r="C606" s="91"/>
      <c r="D606" s="91"/>
      <c r="E606" s="91"/>
      <c r="F606" s="91"/>
      <c r="G606" s="91"/>
      <c r="H606" s="91"/>
      <c r="I606" s="91"/>
      <c r="J606" s="91"/>
      <c r="K606" s="91"/>
      <c r="L606" s="91"/>
      <c r="M606" s="91"/>
      <c r="N606" s="91"/>
      <c r="O606" s="91"/>
      <c r="P606" s="91"/>
      <c r="Q606" s="91"/>
      <c r="R606" s="91"/>
      <c r="S606" s="91"/>
      <c r="T606" s="91"/>
      <c r="U606" s="91"/>
      <c r="V606" s="91"/>
      <c r="W606" s="91"/>
      <c r="X606" s="91"/>
      <c r="Y606" s="91"/>
      <c r="Z606" s="91"/>
    </row>
    <row r="607" spans="1:26" ht="15.75" customHeight="1" x14ac:dyDescent="0.25">
      <c r="A607" s="9"/>
      <c r="B607" s="189"/>
      <c r="C607" s="91"/>
      <c r="D607" s="91"/>
      <c r="E607" s="91"/>
      <c r="F607" s="91"/>
      <c r="G607" s="91"/>
      <c r="H607" s="91"/>
      <c r="I607" s="91"/>
      <c r="J607" s="91"/>
      <c r="K607" s="91"/>
      <c r="L607" s="91"/>
      <c r="M607" s="91"/>
      <c r="N607" s="91"/>
      <c r="O607" s="91"/>
      <c r="P607" s="91"/>
      <c r="Q607" s="91"/>
      <c r="R607" s="91"/>
      <c r="S607" s="91"/>
      <c r="T607" s="91"/>
      <c r="U607" s="91"/>
      <c r="V607" s="91"/>
      <c r="W607" s="91"/>
      <c r="X607" s="91"/>
      <c r="Y607" s="91"/>
      <c r="Z607" s="91"/>
    </row>
    <row r="608" spans="1:26" ht="15.75" customHeight="1" x14ac:dyDescent="0.25">
      <c r="A608" s="9"/>
      <c r="B608" s="189"/>
      <c r="C608" s="91"/>
      <c r="D608" s="91"/>
      <c r="E608" s="91"/>
      <c r="F608" s="91"/>
      <c r="G608" s="91"/>
      <c r="H608" s="91"/>
      <c r="I608" s="91"/>
      <c r="J608" s="91"/>
      <c r="K608" s="91"/>
      <c r="L608" s="91"/>
      <c r="M608" s="91"/>
      <c r="N608" s="91"/>
      <c r="O608" s="91"/>
      <c r="P608" s="91"/>
      <c r="Q608" s="91"/>
      <c r="R608" s="91"/>
      <c r="S608" s="91"/>
      <c r="T608" s="91"/>
      <c r="U608" s="91"/>
      <c r="V608" s="91"/>
      <c r="W608" s="91"/>
      <c r="X608" s="91"/>
      <c r="Y608" s="91"/>
      <c r="Z608" s="91"/>
    </row>
    <row r="609" spans="1:26" ht="15.75" customHeight="1" x14ac:dyDescent="0.25">
      <c r="A609" s="9"/>
      <c r="B609" s="189"/>
      <c r="C609" s="91"/>
      <c r="D609" s="91"/>
      <c r="E609" s="91"/>
      <c r="F609" s="91"/>
      <c r="G609" s="91"/>
      <c r="H609" s="91"/>
      <c r="I609" s="91"/>
      <c r="J609" s="91"/>
      <c r="K609" s="91"/>
      <c r="L609" s="91"/>
      <c r="M609" s="91"/>
      <c r="N609" s="91"/>
      <c r="O609" s="91"/>
      <c r="P609" s="91"/>
      <c r="Q609" s="91"/>
      <c r="R609" s="91"/>
      <c r="S609" s="91"/>
      <c r="T609" s="91"/>
      <c r="U609" s="91"/>
      <c r="V609" s="91"/>
      <c r="W609" s="91"/>
      <c r="X609" s="91"/>
      <c r="Y609" s="91"/>
      <c r="Z609" s="91"/>
    </row>
    <row r="610" spans="1:26" ht="15.75" customHeight="1" x14ac:dyDescent="0.25">
      <c r="A610" s="9"/>
      <c r="B610" s="189"/>
      <c r="C610" s="91"/>
      <c r="D610" s="91"/>
      <c r="E610" s="91"/>
      <c r="F610" s="91"/>
      <c r="G610" s="91"/>
      <c r="H610" s="91"/>
      <c r="I610" s="91"/>
      <c r="J610" s="91"/>
      <c r="K610" s="91"/>
      <c r="L610" s="91"/>
      <c r="M610" s="91"/>
      <c r="N610" s="91"/>
      <c r="O610" s="91"/>
      <c r="P610" s="91"/>
      <c r="Q610" s="91"/>
      <c r="R610" s="91"/>
      <c r="S610" s="91"/>
      <c r="T610" s="91"/>
      <c r="U610" s="91"/>
      <c r="V610" s="91"/>
      <c r="W610" s="91"/>
      <c r="X610" s="91"/>
      <c r="Y610" s="91"/>
      <c r="Z610" s="91"/>
    </row>
    <row r="611" spans="1:26" ht="15.75" customHeight="1" x14ac:dyDescent="0.25">
      <c r="A611" s="9"/>
      <c r="B611" s="189"/>
      <c r="C611" s="91"/>
      <c r="D611" s="91"/>
      <c r="E611" s="91"/>
      <c r="F611" s="91"/>
      <c r="G611" s="91"/>
      <c r="H611" s="91"/>
      <c r="I611" s="91"/>
      <c r="J611" s="91"/>
      <c r="K611" s="91"/>
      <c r="L611" s="91"/>
      <c r="M611" s="91"/>
      <c r="N611" s="91"/>
      <c r="O611" s="91"/>
      <c r="P611" s="91"/>
      <c r="Q611" s="91"/>
      <c r="R611" s="91"/>
      <c r="S611" s="91"/>
      <c r="T611" s="91"/>
      <c r="U611" s="91"/>
      <c r="V611" s="91"/>
      <c r="W611" s="91"/>
      <c r="X611" s="91"/>
      <c r="Y611" s="91"/>
      <c r="Z611" s="91"/>
    </row>
    <row r="612" spans="1:26" ht="15.75" customHeight="1" x14ac:dyDescent="0.25">
      <c r="A612" s="9"/>
      <c r="B612" s="189"/>
      <c r="C612" s="91"/>
      <c r="D612" s="91"/>
      <c r="E612" s="91"/>
      <c r="F612" s="91"/>
      <c r="G612" s="91"/>
      <c r="H612" s="91"/>
      <c r="I612" s="91"/>
      <c r="J612" s="91"/>
      <c r="K612" s="91"/>
      <c r="L612" s="91"/>
      <c r="M612" s="91"/>
      <c r="N612" s="91"/>
      <c r="O612" s="91"/>
      <c r="P612" s="91"/>
      <c r="Q612" s="91"/>
      <c r="R612" s="91"/>
      <c r="S612" s="91"/>
      <c r="T612" s="91"/>
      <c r="U612" s="91"/>
      <c r="V612" s="91"/>
      <c r="W612" s="91"/>
      <c r="X612" s="91"/>
      <c r="Y612" s="91"/>
      <c r="Z612" s="91"/>
    </row>
    <row r="613" spans="1:26" ht="15.75" customHeight="1" x14ac:dyDescent="0.25">
      <c r="A613" s="9"/>
      <c r="B613" s="189"/>
      <c r="C613" s="91"/>
      <c r="D613" s="91"/>
      <c r="E613" s="91"/>
      <c r="F613" s="91"/>
      <c r="G613" s="91"/>
      <c r="H613" s="91"/>
      <c r="I613" s="91"/>
      <c r="J613" s="91"/>
      <c r="K613" s="91"/>
      <c r="L613" s="91"/>
      <c r="M613" s="91"/>
      <c r="N613" s="91"/>
      <c r="O613" s="91"/>
      <c r="P613" s="91"/>
      <c r="Q613" s="91"/>
      <c r="R613" s="91"/>
      <c r="S613" s="91"/>
      <c r="T613" s="91"/>
      <c r="U613" s="91"/>
      <c r="V613" s="91"/>
      <c r="W613" s="91"/>
      <c r="X613" s="91"/>
      <c r="Y613" s="91"/>
      <c r="Z613" s="91"/>
    </row>
    <row r="614" spans="1:26" ht="15.75" customHeight="1" x14ac:dyDescent="0.25">
      <c r="A614" s="9"/>
      <c r="B614" s="189"/>
      <c r="C614" s="91"/>
      <c r="D614" s="91"/>
      <c r="E614" s="91"/>
      <c r="F614" s="91"/>
      <c r="G614" s="91"/>
      <c r="H614" s="91"/>
      <c r="I614" s="91"/>
      <c r="J614" s="91"/>
      <c r="K614" s="91"/>
      <c r="L614" s="91"/>
      <c r="M614" s="91"/>
      <c r="N614" s="91"/>
      <c r="O614" s="91"/>
      <c r="P614" s="91"/>
      <c r="Q614" s="91"/>
      <c r="R614" s="91"/>
      <c r="S614" s="91"/>
      <c r="T614" s="91"/>
      <c r="U614" s="91"/>
      <c r="V614" s="91"/>
      <c r="W614" s="91"/>
      <c r="X614" s="91"/>
      <c r="Y614" s="91"/>
      <c r="Z614" s="91"/>
    </row>
    <row r="615" spans="1:26" ht="15.75" customHeight="1" x14ac:dyDescent="0.25">
      <c r="A615" s="9"/>
      <c r="B615" s="189"/>
      <c r="C615" s="91"/>
      <c r="D615" s="91"/>
      <c r="E615" s="91"/>
      <c r="F615" s="91"/>
      <c r="G615" s="91"/>
      <c r="H615" s="91"/>
      <c r="I615" s="91"/>
      <c r="J615" s="91"/>
      <c r="K615" s="91"/>
      <c r="L615" s="91"/>
      <c r="M615" s="91"/>
      <c r="N615" s="91"/>
      <c r="O615" s="91"/>
      <c r="P615" s="91"/>
      <c r="Q615" s="91"/>
      <c r="R615" s="91"/>
      <c r="S615" s="91"/>
      <c r="T615" s="91"/>
      <c r="U615" s="91"/>
      <c r="V615" s="91"/>
      <c r="W615" s="91"/>
      <c r="X615" s="91"/>
      <c r="Y615" s="91"/>
      <c r="Z615" s="91"/>
    </row>
    <row r="616" spans="1:26" ht="15.75" customHeight="1" x14ac:dyDescent="0.25">
      <c r="A616" s="9"/>
      <c r="B616" s="189"/>
      <c r="C616" s="91"/>
      <c r="D616" s="91"/>
      <c r="E616" s="91"/>
      <c r="F616" s="91"/>
      <c r="G616" s="91"/>
      <c r="H616" s="91"/>
      <c r="I616" s="91"/>
      <c r="J616" s="91"/>
      <c r="K616" s="91"/>
      <c r="L616" s="91"/>
      <c r="M616" s="91"/>
      <c r="N616" s="91"/>
      <c r="O616" s="91"/>
      <c r="P616" s="91"/>
      <c r="Q616" s="91"/>
      <c r="R616" s="91"/>
      <c r="S616" s="91"/>
      <c r="T616" s="91"/>
      <c r="U616" s="91"/>
      <c r="V616" s="91"/>
      <c r="W616" s="91"/>
      <c r="X616" s="91"/>
      <c r="Y616" s="91"/>
      <c r="Z616" s="91"/>
    </row>
    <row r="617" spans="1:26" ht="15.75" customHeight="1" x14ac:dyDescent="0.25">
      <c r="A617" s="9"/>
      <c r="B617" s="189"/>
      <c r="C617" s="91"/>
      <c r="D617" s="91"/>
      <c r="E617" s="91"/>
      <c r="F617" s="91"/>
      <c r="G617" s="91"/>
      <c r="H617" s="91"/>
      <c r="I617" s="91"/>
      <c r="J617" s="91"/>
      <c r="K617" s="91"/>
      <c r="L617" s="91"/>
      <c r="M617" s="91"/>
      <c r="N617" s="91"/>
      <c r="O617" s="91"/>
      <c r="P617" s="91"/>
      <c r="Q617" s="91"/>
      <c r="R617" s="91"/>
      <c r="S617" s="91"/>
      <c r="T617" s="91"/>
      <c r="U617" s="91"/>
      <c r="V617" s="91"/>
      <c r="W617" s="91"/>
      <c r="X617" s="91"/>
      <c r="Y617" s="91"/>
      <c r="Z617" s="91"/>
    </row>
    <row r="618" spans="1:26" ht="15.75" customHeight="1" x14ac:dyDescent="0.25">
      <c r="A618" s="9"/>
      <c r="B618" s="189"/>
      <c r="C618" s="91"/>
      <c r="D618" s="91"/>
      <c r="E618" s="91"/>
      <c r="F618" s="91"/>
      <c r="G618" s="91"/>
      <c r="H618" s="91"/>
      <c r="I618" s="91"/>
      <c r="J618" s="91"/>
      <c r="K618" s="91"/>
      <c r="L618" s="91"/>
      <c r="M618" s="91"/>
      <c r="N618" s="91"/>
      <c r="O618" s="91"/>
      <c r="P618" s="91"/>
      <c r="Q618" s="91"/>
      <c r="R618" s="91"/>
      <c r="S618" s="91"/>
      <c r="T618" s="91"/>
      <c r="U618" s="91"/>
      <c r="V618" s="91"/>
      <c r="W618" s="91"/>
      <c r="X618" s="91"/>
      <c r="Y618" s="91"/>
      <c r="Z618" s="91"/>
    </row>
    <row r="619" spans="1:26" ht="15.75" customHeight="1" x14ac:dyDescent="0.25">
      <c r="A619" s="9"/>
      <c r="B619" s="189"/>
      <c r="C619" s="91"/>
      <c r="D619" s="91"/>
      <c r="E619" s="91"/>
      <c r="F619" s="91"/>
      <c r="G619" s="91"/>
      <c r="H619" s="91"/>
      <c r="I619" s="91"/>
      <c r="J619" s="91"/>
      <c r="K619" s="91"/>
      <c r="L619" s="91"/>
      <c r="M619" s="91"/>
      <c r="N619" s="91"/>
      <c r="O619" s="91"/>
      <c r="P619" s="91"/>
      <c r="Q619" s="91"/>
      <c r="R619" s="91"/>
      <c r="S619" s="91"/>
      <c r="T619" s="91"/>
      <c r="U619" s="91"/>
      <c r="V619" s="91"/>
      <c r="W619" s="91"/>
      <c r="X619" s="91"/>
      <c r="Y619" s="91"/>
      <c r="Z619" s="91"/>
    </row>
    <row r="620" spans="1:26" ht="15.75" customHeight="1" x14ac:dyDescent="0.25">
      <c r="A620" s="9"/>
      <c r="B620" s="189"/>
      <c r="C620" s="91"/>
      <c r="D620" s="91"/>
      <c r="E620" s="91"/>
      <c r="F620" s="91"/>
      <c r="G620" s="91"/>
      <c r="H620" s="91"/>
      <c r="I620" s="91"/>
      <c r="J620" s="91"/>
      <c r="K620" s="91"/>
      <c r="L620" s="91"/>
      <c r="M620" s="91"/>
      <c r="N620" s="91"/>
      <c r="O620" s="91"/>
      <c r="P620" s="91"/>
      <c r="Q620" s="91"/>
      <c r="R620" s="91"/>
      <c r="S620" s="91"/>
      <c r="T620" s="91"/>
      <c r="U620" s="91"/>
      <c r="V620" s="91"/>
      <c r="W620" s="91"/>
      <c r="X620" s="91"/>
      <c r="Y620" s="91"/>
      <c r="Z620" s="91"/>
    </row>
    <row r="621" spans="1:26" ht="15.75" customHeight="1" x14ac:dyDescent="0.25">
      <c r="A621" s="9"/>
      <c r="B621" s="189"/>
      <c r="C621" s="91"/>
      <c r="D621" s="91"/>
      <c r="E621" s="91"/>
      <c r="F621" s="91"/>
      <c r="G621" s="91"/>
      <c r="H621" s="91"/>
      <c r="I621" s="91"/>
      <c r="J621" s="91"/>
      <c r="K621" s="91"/>
      <c r="L621" s="91"/>
      <c r="M621" s="91"/>
      <c r="N621" s="91"/>
      <c r="O621" s="91"/>
      <c r="P621" s="91"/>
      <c r="Q621" s="91"/>
      <c r="R621" s="91"/>
      <c r="S621" s="91"/>
      <c r="T621" s="91"/>
      <c r="U621" s="91"/>
      <c r="V621" s="91"/>
      <c r="W621" s="91"/>
      <c r="X621" s="91"/>
      <c r="Y621" s="91"/>
      <c r="Z621" s="91"/>
    </row>
    <row r="622" spans="1:26" ht="15.75" customHeight="1" x14ac:dyDescent="0.25">
      <c r="A622" s="9"/>
      <c r="B622" s="189"/>
      <c r="C622" s="91"/>
      <c r="D622" s="91"/>
      <c r="E622" s="91"/>
      <c r="F622" s="91"/>
      <c r="G622" s="91"/>
      <c r="H622" s="91"/>
      <c r="I622" s="91"/>
      <c r="J622" s="91"/>
      <c r="K622" s="91"/>
      <c r="L622" s="91"/>
      <c r="M622" s="91"/>
      <c r="N622" s="91"/>
      <c r="O622" s="91"/>
      <c r="P622" s="91"/>
      <c r="Q622" s="91"/>
      <c r="R622" s="91"/>
      <c r="S622" s="91"/>
      <c r="T622" s="91"/>
      <c r="U622" s="91"/>
      <c r="V622" s="91"/>
      <c r="W622" s="91"/>
      <c r="X622" s="91"/>
      <c r="Y622" s="91"/>
      <c r="Z622" s="91"/>
    </row>
    <row r="623" spans="1:26" ht="15.75" customHeight="1" x14ac:dyDescent="0.25">
      <c r="A623" s="9"/>
      <c r="B623" s="189"/>
      <c r="C623" s="91"/>
      <c r="D623" s="91"/>
      <c r="E623" s="91"/>
      <c r="F623" s="91"/>
      <c r="G623" s="91"/>
      <c r="H623" s="91"/>
      <c r="I623" s="91"/>
      <c r="J623" s="91"/>
      <c r="K623" s="91"/>
      <c r="L623" s="91"/>
      <c r="M623" s="91"/>
      <c r="N623" s="91"/>
      <c r="O623" s="91"/>
      <c r="P623" s="91"/>
      <c r="Q623" s="91"/>
      <c r="R623" s="91"/>
      <c r="S623" s="91"/>
      <c r="T623" s="91"/>
      <c r="U623" s="91"/>
      <c r="V623" s="91"/>
      <c r="W623" s="91"/>
      <c r="X623" s="91"/>
      <c r="Y623" s="91"/>
      <c r="Z623" s="91"/>
    </row>
    <row r="624" spans="1:26" ht="15.75" customHeight="1" x14ac:dyDescent="0.25">
      <c r="A624" s="9"/>
      <c r="B624" s="189"/>
      <c r="C624" s="91"/>
      <c r="D624" s="91"/>
      <c r="E624" s="91"/>
      <c r="F624" s="91"/>
      <c r="G624" s="91"/>
      <c r="H624" s="91"/>
      <c r="I624" s="91"/>
      <c r="J624" s="91"/>
      <c r="K624" s="91"/>
      <c r="L624" s="91"/>
      <c r="M624" s="91"/>
      <c r="N624" s="91"/>
      <c r="O624" s="91"/>
      <c r="P624" s="91"/>
      <c r="Q624" s="91"/>
      <c r="R624" s="91"/>
      <c r="S624" s="91"/>
      <c r="T624" s="91"/>
      <c r="U624" s="91"/>
      <c r="V624" s="91"/>
      <c r="W624" s="91"/>
      <c r="X624" s="91"/>
      <c r="Y624" s="91"/>
      <c r="Z624" s="91"/>
    </row>
    <row r="625" spans="1:26" ht="15.75" customHeight="1" x14ac:dyDescent="0.25">
      <c r="A625" s="9"/>
      <c r="B625" s="189"/>
      <c r="C625" s="91"/>
      <c r="D625" s="91"/>
      <c r="E625" s="91"/>
      <c r="F625" s="91"/>
      <c r="G625" s="91"/>
      <c r="H625" s="91"/>
      <c r="I625" s="91"/>
      <c r="J625" s="91"/>
      <c r="K625" s="91"/>
      <c r="L625" s="91"/>
      <c r="M625" s="91"/>
      <c r="N625" s="91"/>
      <c r="O625" s="91"/>
      <c r="P625" s="91"/>
      <c r="Q625" s="91"/>
      <c r="R625" s="91"/>
      <c r="S625" s="91"/>
      <c r="T625" s="91"/>
      <c r="U625" s="91"/>
      <c r="V625" s="91"/>
      <c r="W625" s="91"/>
      <c r="X625" s="91"/>
      <c r="Y625" s="91"/>
      <c r="Z625" s="91"/>
    </row>
    <row r="626" spans="1:26" ht="15.75" customHeight="1" x14ac:dyDescent="0.25">
      <c r="A626" s="9"/>
      <c r="B626" s="189"/>
      <c r="C626" s="91"/>
      <c r="D626" s="91"/>
      <c r="E626" s="91"/>
      <c r="F626" s="91"/>
      <c r="G626" s="91"/>
      <c r="H626" s="91"/>
      <c r="I626" s="91"/>
      <c r="J626" s="91"/>
      <c r="K626" s="91"/>
      <c r="L626" s="91"/>
      <c r="M626" s="91"/>
      <c r="N626" s="91"/>
      <c r="O626" s="91"/>
      <c r="P626" s="91"/>
      <c r="Q626" s="91"/>
      <c r="R626" s="91"/>
      <c r="S626" s="91"/>
      <c r="T626" s="91"/>
      <c r="U626" s="91"/>
      <c r="V626" s="91"/>
      <c r="W626" s="91"/>
      <c r="X626" s="91"/>
      <c r="Y626" s="91"/>
      <c r="Z626" s="91"/>
    </row>
    <row r="627" spans="1:26" ht="15.75" customHeight="1" x14ac:dyDescent="0.25">
      <c r="A627" s="9"/>
      <c r="B627" s="189"/>
      <c r="C627" s="91"/>
      <c r="D627" s="91"/>
      <c r="E627" s="91"/>
      <c r="F627" s="91"/>
      <c r="G627" s="91"/>
      <c r="H627" s="91"/>
      <c r="I627" s="91"/>
      <c r="J627" s="91"/>
      <c r="K627" s="91"/>
      <c r="L627" s="91"/>
      <c r="M627" s="91"/>
      <c r="N627" s="91"/>
      <c r="O627" s="91"/>
      <c r="P627" s="91"/>
      <c r="Q627" s="91"/>
      <c r="R627" s="91"/>
      <c r="S627" s="91"/>
      <c r="T627" s="91"/>
      <c r="U627" s="91"/>
      <c r="V627" s="91"/>
      <c r="W627" s="91"/>
      <c r="X627" s="91"/>
      <c r="Y627" s="91"/>
      <c r="Z627" s="91"/>
    </row>
    <row r="628" spans="1:26" ht="15.75" customHeight="1" x14ac:dyDescent="0.25">
      <c r="A628" s="9"/>
      <c r="B628" s="189"/>
      <c r="C628" s="91"/>
      <c r="D628" s="91"/>
      <c r="E628" s="91"/>
      <c r="F628" s="91"/>
      <c r="G628" s="91"/>
      <c r="H628" s="91"/>
      <c r="I628" s="91"/>
      <c r="J628" s="91"/>
      <c r="K628" s="91"/>
      <c r="L628" s="91"/>
      <c r="M628" s="91"/>
      <c r="N628" s="91"/>
      <c r="O628" s="91"/>
      <c r="P628" s="91"/>
      <c r="Q628" s="91"/>
      <c r="R628" s="91"/>
      <c r="S628" s="91"/>
      <c r="T628" s="91"/>
      <c r="U628" s="91"/>
      <c r="V628" s="91"/>
      <c r="W628" s="91"/>
      <c r="X628" s="91"/>
      <c r="Y628" s="91"/>
      <c r="Z628" s="91"/>
    </row>
    <row r="629" spans="1:26" ht="15.75" customHeight="1" x14ac:dyDescent="0.25">
      <c r="A629" s="9"/>
      <c r="B629" s="189"/>
      <c r="C629" s="91"/>
      <c r="D629" s="91"/>
      <c r="E629" s="91"/>
      <c r="F629" s="91"/>
      <c r="G629" s="91"/>
      <c r="H629" s="91"/>
      <c r="I629" s="91"/>
      <c r="J629" s="91"/>
      <c r="K629" s="91"/>
      <c r="L629" s="91"/>
      <c r="M629" s="91"/>
      <c r="N629" s="91"/>
      <c r="O629" s="91"/>
      <c r="P629" s="91"/>
      <c r="Q629" s="91"/>
      <c r="R629" s="91"/>
      <c r="S629" s="91"/>
      <c r="T629" s="91"/>
      <c r="U629" s="91"/>
      <c r="V629" s="91"/>
      <c r="W629" s="91"/>
      <c r="X629" s="91"/>
      <c r="Y629" s="91"/>
      <c r="Z629" s="91"/>
    </row>
    <row r="630" spans="1:26" ht="15.75" customHeight="1" x14ac:dyDescent="0.25">
      <c r="A630" s="9"/>
      <c r="B630" s="189"/>
      <c r="C630" s="91"/>
      <c r="D630" s="91"/>
      <c r="E630" s="91"/>
      <c r="F630" s="91"/>
      <c r="G630" s="91"/>
      <c r="H630" s="91"/>
      <c r="I630" s="91"/>
      <c r="J630" s="91"/>
      <c r="K630" s="91"/>
      <c r="L630" s="91"/>
      <c r="M630" s="91"/>
      <c r="N630" s="91"/>
      <c r="O630" s="91"/>
      <c r="P630" s="91"/>
      <c r="Q630" s="91"/>
      <c r="R630" s="91"/>
      <c r="S630" s="91"/>
      <c r="T630" s="91"/>
      <c r="U630" s="91"/>
      <c r="V630" s="91"/>
      <c r="W630" s="91"/>
      <c r="X630" s="91"/>
      <c r="Y630" s="91"/>
      <c r="Z630" s="91"/>
    </row>
    <row r="631" spans="1:26" ht="15.75" customHeight="1" x14ac:dyDescent="0.25">
      <c r="A631" s="9"/>
      <c r="B631" s="189"/>
      <c r="C631" s="91"/>
      <c r="D631" s="91"/>
      <c r="E631" s="91"/>
      <c r="F631" s="91"/>
      <c r="G631" s="91"/>
      <c r="H631" s="91"/>
      <c r="I631" s="91"/>
      <c r="J631" s="91"/>
      <c r="K631" s="91"/>
      <c r="L631" s="91"/>
      <c r="M631" s="91"/>
      <c r="N631" s="91"/>
      <c r="O631" s="91"/>
      <c r="P631" s="91"/>
      <c r="Q631" s="91"/>
      <c r="R631" s="91"/>
      <c r="S631" s="91"/>
      <c r="T631" s="91"/>
      <c r="U631" s="91"/>
      <c r="V631" s="91"/>
      <c r="W631" s="91"/>
      <c r="X631" s="91"/>
      <c r="Y631" s="91"/>
      <c r="Z631" s="91"/>
    </row>
    <row r="632" spans="1:26" ht="15.75" customHeight="1" x14ac:dyDescent="0.25">
      <c r="A632" s="9"/>
      <c r="B632" s="189"/>
      <c r="C632" s="91"/>
      <c r="D632" s="91"/>
      <c r="E632" s="91"/>
      <c r="F632" s="91"/>
      <c r="G632" s="91"/>
      <c r="H632" s="91"/>
      <c r="I632" s="91"/>
      <c r="J632" s="91"/>
      <c r="K632" s="91"/>
      <c r="L632" s="91"/>
      <c r="M632" s="91"/>
      <c r="N632" s="91"/>
      <c r="O632" s="91"/>
      <c r="P632" s="91"/>
      <c r="Q632" s="91"/>
      <c r="R632" s="91"/>
      <c r="S632" s="91"/>
      <c r="T632" s="91"/>
      <c r="U632" s="91"/>
      <c r="V632" s="91"/>
      <c r="W632" s="91"/>
      <c r="X632" s="91"/>
      <c r="Y632" s="91"/>
      <c r="Z632" s="91"/>
    </row>
    <row r="633" spans="1:26" ht="15.75" customHeight="1" x14ac:dyDescent="0.25">
      <c r="A633" s="9"/>
      <c r="B633" s="189"/>
      <c r="C633" s="91"/>
      <c r="D633" s="91"/>
      <c r="E633" s="91"/>
      <c r="F633" s="91"/>
      <c r="G633" s="91"/>
      <c r="H633" s="91"/>
      <c r="I633" s="91"/>
      <c r="J633" s="91"/>
      <c r="K633" s="91"/>
      <c r="L633" s="91"/>
      <c r="M633" s="91"/>
      <c r="N633" s="91"/>
      <c r="O633" s="91"/>
      <c r="P633" s="91"/>
      <c r="Q633" s="91"/>
      <c r="R633" s="91"/>
      <c r="S633" s="91"/>
      <c r="T633" s="91"/>
      <c r="U633" s="91"/>
      <c r="V633" s="91"/>
      <c r="W633" s="91"/>
      <c r="X633" s="91"/>
      <c r="Y633" s="91"/>
      <c r="Z633" s="91"/>
    </row>
    <row r="634" spans="1:26" ht="15.75" customHeight="1" x14ac:dyDescent="0.25">
      <c r="A634" s="9"/>
      <c r="B634" s="189"/>
      <c r="C634" s="91"/>
      <c r="D634" s="91"/>
      <c r="E634" s="91"/>
      <c r="F634" s="91"/>
      <c r="G634" s="91"/>
      <c r="H634" s="91"/>
      <c r="I634" s="91"/>
      <c r="J634" s="91"/>
      <c r="K634" s="91"/>
      <c r="L634" s="91"/>
      <c r="M634" s="91"/>
      <c r="N634" s="91"/>
      <c r="O634" s="91"/>
      <c r="P634" s="91"/>
      <c r="Q634" s="91"/>
      <c r="R634" s="91"/>
      <c r="S634" s="91"/>
      <c r="T634" s="91"/>
      <c r="U634" s="91"/>
      <c r="V634" s="91"/>
      <c r="W634" s="91"/>
      <c r="X634" s="91"/>
      <c r="Y634" s="91"/>
      <c r="Z634" s="91"/>
    </row>
    <row r="635" spans="1:26" ht="15.75" customHeight="1" x14ac:dyDescent="0.25">
      <c r="A635" s="9"/>
      <c r="B635" s="189"/>
      <c r="C635" s="91"/>
      <c r="D635" s="91"/>
      <c r="E635" s="91"/>
      <c r="F635" s="91"/>
      <c r="G635" s="91"/>
      <c r="H635" s="91"/>
      <c r="I635" s="91"/>
      <c r="J635" s="91"/>
      <c r="K635" s="91"/>
      <c r="L635" s="91"/>
      <c r="M635" s="91"/>
      <c r="N635" s="91"/>
      <c r="O635" s="91"/>
      <c r="P635" s="91"/>
      <c r="Q635" s="91"/>
      <c r="R635" s="91"/>
      <c r="S635" s="91"/>
      <c r="T635" s="91"/>
      <c r="U635" s="91"/>
      <c r="V635" s="91"/>
      <c r="W635" s="91"/>
      <c r="X635" s="91"/>
      <c r="Y635" s="91"/>
      <c r="Z635" s="91"/>
    </row>
    <row r="636" spans="1:26" ht="15.75" customHeight="1" x14ac:dyDescent="0.25">
      <c r="A636" s="9"/>
      <c r="B636" s="189"/>
      <c r="C636" s="91"/>
      <c r="D636" s="91"/>
      <c r="E636" s="91"/>
      <c r="F636" s="91"/>
      <c r="G636" s="91"/>
      <c r="H636" s="91"/>
      <c r="I636" s="91"/>
      <c r="J636" s="91"/>
      <c r="K636" s="91"/>
      <c r="L636" s="91"/>
      <c r="M636" s="91"/>
      <c r="N636" s="91"/>
      <c r="O636" s="91"/>
      <c r="P636" s="91"/>
      <c r="Q636" s="91"/>
      <c r="R636" s="91"/>
      <c r="S636" s="91"/>
      <c r="T636" s="91"/>
      <c r="U636" s="91"/>
      <c r="V636" s="91"/>
      <c r="W636" s="91"/>
      <c r="X636" s="91"/>
      <c r="Y636" s="91"/>
      <c r="Z636" s="91"/>
    </row>
    <row r="637" spans="1:26" ht="15.75" customHeight="1" x14ac:dyDescent="0.25">
      <c r="A637" s="9"/>
      <c r="B637" s="189"/>
      <c r="C637" s="91"/>
      <c r="D637" s="91"/>
      <c r="E637" s="91"/>
      <c r="F637" s="91"/>
      <c r="G637" s="91"/>
      <c r="H637" s="91"/>
      <c r="I637" s="91"/>
      <c r="J637" s="91"/>
      <c r="K637" s="91"/>
      <c r="L637" s="91"/>
      <c r="M637" s="91"/>
      <c r="N637" s="91"/>
      <c r="O637" s="91"/>
      <c r="P637" s="91"/>
      <c r="Q637" s="91"/>
      <c r="R637" s="91"/>
      <c r="S637" s="91"/>
      <c r="T637" s="91"/>
      <c r="U637" s="91"/>
      <c r="V637" s="91"/>
      <c r="W637" s="91"/>
      <c r="X637" s="91"/>
      <c r="Y637" s="91"/>
      <c r="Z637" s="91"/>
    </row>
    <row r="638" spans="1:26" ht="15.75" customHeight="1" x14ac:dyDescent="0.25">
      <c r="A638" s="9"/>
      <c r="B638" s="189"/>
      <c r="C638" s="91"/>
      <c r="D638" s="91"/>
      <c r="E638" s="91"/>
      <c r="F638" s="91"/>
      <c r="G638" s="91"/>
      <c r="H638" s="91"/>
      <c r="I638" s="91"/>
      <c r="J638" s="91"/>
      <c r="K638" s="91"/>
      <c r="L638" s="91"/>
      <c r="M638" s="91"/>
      <c r="N638" s="91"/>
      <c r="O638" s="91"/>
      <c r="P638" s="91"/>
      <c r="Q638" s="91"/>
      <c r="R638" s="91"/>
      <c r="S638" s="91"/>
      <c r="T638" s="91"/>
      <c r="U638" s="91"/>
      <c r="V638" s="91"/>
      <c r="W638" s="91"/>
      <c r="X638" s="91"/>
      <c r="Y638" s="91"/>
      <c r="Z638" s="91"/>
    </row>
    <row r="639" spans="1:26" ht="15.75" customHeight="1" x14ac:dyDescent="0.25">
      <c r="A639" s="9"/>
      <c r="B639" s="189"/>
      <c r="C639" s="91"/>
      <c r="D639" s="91"/>
      <c r="E639" s="91"/>
      <c r="F639" s="91"/>
      <c r="G639" s="91"/>
      <c r="H639" s="91"/>
      <c r="I639" s="91"/>
      <c r="J639" s="91"/>
      <c r="K639" s="91"/>
      <c r="L639" s="91"/>
      <c r="M639" s="91"/>
      <c r="N639" s="91"/>
      <c r="O639" s="91"/>
      <c r="P639" s="91"/>
      <c r="Q639" s="91"/>
      <c r="R639" s="91"/>
      <c r="S639" s="91"/>
      <c r="T639" s="91"/>
      <c r="U639" s="91"/>
      <c r="V639" s="91"/>
      <c r="W639" s="91"/>
      <c r="X639" s="91"/>
      <c r="Y639" s="91"/>
      <c r="Z639" s="91"/>
    </row>
    <row r="640" spans="1:26" ht="15.75" customHeight="1" x14ac:dyDescent="0.25">
      <c r="A640" s="9"/>
      <c r="B640" s="189"/>
      <c r="C640" s="91"/>
      <c r="D640" s="91"/>
      <c r="E640" s="91"/>
      <c r="F640" s="91"/>
      <c r="G640" s="91"/>
      <c r="H640" s="91"/>
      <c r="I640" s="91"/>
      <c r="J640" s="91"/>
      <c r="K640" s="91"/>
      <c r="L640" s="91"/>
      <c r="M640" s="91"/>
      <c r="N640" s="91"/>
      <c r="O640" s="91"/>
      <c r="P640" s="91"/>
      <c r="Q640" s="91"/>
      <c r="R640" s="91"/>
      <c r="S640" s="91"/>
      <c r="T640" s="91"/>
      <c r="U640" s="91"/>
      <c r="V640" s="91"/>
      <c r="W640" s="91"/>
      <c r="X640" s="91"/>
      <c r="Y640" s="91"/>
      <c r="Z640" s="91"/>
    </row>
    <row r="641" spans="1:26" ht="15.75" customHeight="1" x14ac:dyDescent="0.25">
      <c r="A641" s="9"/>
      <c r="B641" s="189"/>
      <c r="C641" s="91"/>
      <c r="D641" s="91"/>
      <c r="E641" s="91"/>
      <c r="F641" s="91"/>
      <c r="G641" s="91"/>
      <c r="H641" s="91"/>
      <c r="I641" s="91"/>
      <c r="J641" s="91"/>
      <c r="K641" s="91"/>
      <c r="L641" s="91"/>
      <c r="M641" s="91"/>
      <c r="N641" s="91"/>
      <c r="O641" s="91"/>
      <c r="P641" s="91"/>
      <c r="Q641" s="91"/>
      <c r="R641" s="91"/>
      <c r="S641" s="91"/>
      <c r="T641" s="91"/>
      <c r="U641" s="91"/>
      <c r="V641" s="91"/>
      <c r="W641" s="91"/>
      <c r="X641" s="91"/>
      <c r="Y641" s="91"/>
      <c r="Z641" s="91"/>
    </row>
    <row r="642" spans="1:26" ht="15.75" customHeight="1" x14ac:dyDescent="0.25">
      <c r="A642" s="9"/>
      <c r="B642" s="189"/>
      <c r="C642" s="91"/>
      <c r="D642" s="91"/>
      <c r="E642" s="91"/>
      <c r="F642" s="91"/>
      <c r="G642" s="91"/>
      <c r="H642" s="91"/>
      <c r="I642" s="91"/>
      <c r="J642" s="91"/>
      <c r="K642" s="91"/>
      <c r="L642" s="91"/>
      <c r="M642" s="91"/>
      <c r="N642" s="91"/>
      <c r="O642" s="91"/>
      <c r="P642" s="91"/>
      <c r="Q642" s="91"/>
      <c r="R642" s="91"/>
      <c r="S642" s="91"/>
      <c r="T642" s="91"/>
      <c r="U642" s="91"/>
      <c r="V642" s="91"/>
      <c r="W642" s="91"/>
      <c r="X642" s="91"/>
      <c r="Y642" s="91"/>
      <c r="Z642" s="91"/>
    </row>
    <row r="643" spans="1:26" ht="15.75" customHeight="1" x14ac:dyDescent="0.25">
      <c r="A643" s="9"/>
      <c r="B643" s="189"/>
      <c r="C643" s="91"/>
      <c r="D643" s="91"/>
      <c r="E643" s="91"/>
      <c r="F643" s="91"/>
      <c r="G643" s="91"/>
      <c r="H643" s="91"/>
      <c r="I643" s="91"/>
      <c r="J643" s="91"/>
      <c r="K643" s="91"/>
      <c r="L643" s="91"/>
      <c r="M643" s="91"/>
      <c r="N643" s="91"/>
      <c r="O643" s="91"/>
      <c r="P643" s="91"/>
      <c r="Q643" s="91"/>
      <c r="R643" s="91"/>
      <c r="S643" s="91"/>
      <c r="T643" s="91"/>
      <c r="U643" s="91"/>
      <c r="V643" s="91"/>
      <c r="W643" s="91"/>
      <c r="X643" s="91"/>
      <c r="Y643" s="91"/>
      <c r="Z643" s="91"/>
    </row>
    <row r="644" spans="1:26" ht="15.75" customHeight="1" x14ac:dyDescent="0.25">
      <c r="A644" s="9"/>
      <c r="B644" s="189"/>
      <c r="C644" s="91"/>
      <c r="D644" s="91"/>
      <c r="E644" s="91"/>
      <c r="F644" s="91"/>
      <c r="G644" s="91"/>
      <c r="H644" s="91"/>
      <c r="I644" s="91"/>
      <c r="J644" s="91"/>
      <c r="K644" s="91"/>
      <c r="L644" s="91"/>
      <c r="M644" s="91"/>
      <c r="N644" s="91"/>
      <c r="O644" s="91"/>
      <c r="P644" s="91"/>
      <c r="Q644" s="91"/>
      <c r="R644" s="91"/>
      <c r="S644" s="91"/>
      <c r="T644" s="91"/>
      <c r="U644" s="91"/>
      <c r="V644" s="91"/>
      <c r="W644" s="91"/>
      <c r="X644" s="91"/>
      <c r="Y644" s="91"/>
      <c r="Z644" s="91"/>
    </row>
    <row r="645" spans="1:26" ht="15.75" customHeight="1" x14ac:dyDescent="0.25">
      <c r="A645" s="9"/>
      <c r="B645" s="189"/>
      <c r="C645" s="91"/>
      <c r="D645" s="91"/>
      <c r="E645" s="91"/>
      <c r="F645" s="91"/>
      <c r="G645" s="91"/>
      <c r="H645" s="91"/>
      <c r="I645" s="91"/>
      <c r="J645" s="91"/>
      <c r="K645" s="91"/>
      <c r="L645" s="91"/>
      <c r="M645" s="91"/>
      <c r="N645" s="91"/>
      <c r="O645" s="91"/>
      <c r="P645" s="91"/>
      <c r="Q645" s="91"/>
      <c r="R645" s="91"/>
      <c r="S645" s="91"/>
      <c r="T645" s="91"/>
      <c r="U645" s="91"/>
      <c r="V645" s="91"/>
      <c r="W645" s="91"/>
      <c r="X645" s="91"/>
      <c r="Y645" s="91"/>
      <c r="Z645" s="91"/>
    </row>
    <row r="646" spans="1:26" ht="15.75" customHeight="1" x14ac:dyDescent="0.25">
      <c r="A646" s="9"/>
      <c r="B646" s="189"/>
      <c r="C646" s="91"/>
      <c r="D646" s="91"/>
      <c r="E646" s="91"/>
      <c r="F646" s="91"/>
      <c r="G646" s="91"/>
      <c r="H646" s="91"/>
      <c r="I646" s="91"/>
      <c r="J646" s="91"/>
      <c r="K646" s="91"/>
      <c r="L646" s="91"/>
      <c r="M646" s="91"/>
      <c r="N646" s="91"/>
      <c r="O646" s="91"/>
      <c r="P646" s="91"/>
      <c r="Q646" s="91"/>
      <c r="R646" s="91"/>
      <c r="S646" s="91"/>
      <c r="T646" s="91"/>
      <c r="U646" s="91"/>
      <c r="V646" s="91"/>
      <c r="W646" s="91"/>
      <c r="X646" s="91"/>
      <c r="Y646" s="91"/>
      <c r="Z646" s="91"/>
    </row>
    <row r="647" spans="1:26" ht="15.75" customHeight="1" x14ac:dyDescent="0.25">
      <c r="A647" s="9"/>
      <c r="B647" s="189"/>
      <c r="C647" s="91"/>
      <c r="D647" s="91"/>
      <c r="E647" s="91"/>
      <c r="F647" s="91"/>
      <c r="G647" s="91"/>
      <c r="H647" s="91"/>
      <c r="I647" s="91"/>
      <c r="J647" s="91"/>
      <c r="K647" s="91"/>
      <c r="L647" s="91"/>
      <c r="M647" s="91"/>
      <c r="N647" s="91"/>
      <c r="O647" s="91"/>
      <c r="P647" s="91"/>
      <c r="Q647" s="91"/>
      <c r="R647" s="91"/>
      <c r="S647" s="91"/>
      <c r="T647" s="91"/>
      <c r="U647" s="91"/>
      <c r="V647" s="91"/>
      <c r="W647" s="91"/>
      <c r="X647" s="91"/>
      <c r="Y647" s="91"/>
      <c r="Z647" s="91"/>
    </row>
    <row r="648" spans="1:26" ht="15.75" customHeight="1" x14ac:dyDescent="0.25">
      <c r="A648" s="9"/>
      <c r="B648" s="189"/>
      <c r="C648" s="91"/>
      <c r="D648" s="91"/>
      <c r="E648" s="91"/>
      <c r="F648" s="91"/>
      <c r="G648" s="91"/>
      <c r="H648" s="91"/>
      <c r="I648" s="91"/>
      <c r="J648" s="91"/>
      <c r="K648" s="91"/>
      <c r="L648" s="91"/>
      <c r="M648" s="91"/>
      <c r="N648" s="91"/>
      <c r="O648" s="91"/>
      <c r="P648" s="91"/>
      <c r="Q648" s="91"/>
      <c r="R648" s="91"/>
      <c r="S648" s="91"/>
      <c r="T648" s="91"/>
      <c r="U648" s="91"/>
      <c r="V648" s="91"/>
      <c r="W648" s="91"/>
      <c r="X648" s="91"/>
      <c r="Y648" s="91"/>
      <c r="Z648" s="91"/>
    </row>
    <row r="649" spans="1:26" ht="15.75" customHeight="1" x14ac:dyDescent="0.25">
      <c r="A649" s="9"/>
      <c r="B649" s="189"/>
      <c r="C649" s="91"/>
      <c r="D649" s="91"/>
      <c r="E649" s="91"/>
      <c r="F649" s="91"/>
      <c r="G649" s="91"/>
      <c r="H649" s="91"/>
      <c r="I649" s="91"/>
      <c r="J649" s="91"/>
      <c r="K649" s="91"/>
      <c r="L649" s="91"/>
      <c r="M649" s="91"/>
      <c r="N649" s="91"/>
      <c r="O649" s="91"/>
      <c r="P649" s="91"/>
      <c r="Q649" s="91"/>
      <c r="R649" s="91"/>
      <c r="S649" s="91"/>
      <c r="T649" s="91"/>
      <c r="U649" s="91"/>
      <c r="V649" s="91"/>
      <c r="W649" s="91"/>
      <c r="X649" s="91"/>
      <c r="Y649" s="91"/>
      <c r="Z649" s="91"/>
    </row>
    <row r="650" spans="1:26" ht="15.75" customHeight="1" x14ac:dyDescent="0.25">
      <c r="A650" s="9"/>
      <c r="B650" s="189"/>
      <c r="C650" s="91"/>
      <c r="D650" s="91"/>
      <c r="E650" s="91"/>
      <c r="F650" s="91"/>
      <c r="G650" s="91"/>
      <c r="H650" s="91"/>
      <c r="I650" s="91"/>
      <c r="J650" s="91"/>
      <c r="K650" s="91"/>
      <c r="L650" s="91"/>
      <c r="M650" s="91"/>
      <c r="N650" s="91"/>
      <c r="O650" s="91"/>
      <c r="P650" s="91"/>
      <c r="Q650" s="91"/>
      <c r="R650" s="91"/>
      <c r="S650" s="91"/>
      <c r="T650" s="91"/>
      <c r="U650" s="91"/>
      <c r="V650" s="91"/>
      <c r="W650" s="91"/>
      <c r="X650" s="91"/>
      <c r="Y650" s="91"/>
      <c r="Z650" s="91"/>
    </row>
    <row r="651" spans="1:26" ht="15.75" customHeight="1" x14ac:dyDescent="0.25">
      <c r="A651" s="9"/>
      <c r="B651" s="189"/>
      <c r="C651" s="91"/>
      <c r="D651" s="91"/>
      <c r="E651" s="91"/>
      <c r="F651" s="91"/>
      <c r="G651" s="91"/>
      <c r="H651" s="91"/>
      <c r="I651" s="91"/>
      <c r="J651" s="91"/>
      <c r="K651" s="91"/>
      <c r="L651" s="91"/>
      <c r="M651" s="91"/>
      <c r="N651" s="91"/>
      <c r="O651" s="91"/>
      <c r="P651" s="91"/>
      <c r="Q651" s="91"/>
      <c r="R651" s="91"/>
      <c r="S651" s="91"/>
      <c r="T651" s="91"/>
      <c r="U651" s="91"/>
      <c r="V651" s="91"/>
      <c r="W651" s="91"/>
      <c r="X651" s="91"/>
      <c r="Y651" s="91"/>
      <c r="Z651" s="91"/>
    </row>
    <row r="652" spans="1:26" ht="15.75" customHeight="1" x14ac:dyDescent="0.25">
      <c r="A652" s="9"/>
      <c r="B652" s="189"/>
      <c r="C652" s="91"/>
      <c r="D652" s="91"/>
      <c r="E652" s="91"/>
      <c r="F652" s="91"/>
      <c r="G652" s="91"/>
      <c r="H652" s="91"/>
      <c r="I652" s="91"/>
      <c r="J652" s="91"/>
      <c r="K652" s="91"/>
      <c r="L652" s="91"/>
      <c r="M652" s="91"/>
      <c r="N652" s="91"/>
      <c r="O652" s="91"/>
      <c r="P652" s="91"/>
      <c r="Q652" s="91"/>
      <c r="R652" s="91"/>
      <c r="S652" s="91"/>
      <c r="T652" s="91"/>
      <c r="U652" s="91"/>
      <c r="V652" s="91"/>
      <c r="W652" s="91"/>
      <c r="X652" s="91"/>
      <c r="Y652" s="91"/>
      <c r="Z652" s="91"/>
    </row>
    <row r="653" spans="1:26" ht="15.75" customHeight="1" x14ac:dyDescent="0.25">
      <c r="A653" s="9"/>
      <c r="B653" s="189"/>
      <c r="C653" s="91"/>
      <c r="D653" s="91"/>
      <c r="E653" s="91"/>
      <c r="F653" s="91"/>
      <c r="G653" s="91"/>
      <c r="H653" s="91"/>
      <c r="I653" s="91"/>
      <c r="J653" s="91"/>
      <c r="K653" s="91"/>
      <c r="L653" s="91"/>
      <c r="M653" s="91"/>
      <c r="N653" s="91"/>
      <c r="O653" s="91"/>
      <c r="P653" s="91"/>
      <c r="Q653" s="91"/>
      <c r="R653" s="91"/>
      <c r="S653" s="91"/>
      <c r="T653" s="91"/>
      <c r="U653" s="91"/>
      <c r="V653" s="91"/>
      <c r="W653" s="91"/>
      <c r="X653" s="91"/>
      <c r="Y653" s="91"/>
      <c r="Z653" s="91"/>
    </row>
    <row r="654" spans="1:26" ht="15.75" customHeight="1" x14ac:dyDescent="0.25">
      <c r="A654" s="9"/>
      <c r="B654" s="189"/>
      <c r="C654" s="91"/>
      <c r="D654" s="91"/>
      <c r="E654" s="91"/>
      <c r="F654" s="91"/>
      <c r="G654" s="91"/>
      <c r="H654" s="91"/>
      <c r="I654" s="91"/>
      <c r="J654" s="91"/>
      <c r="K654" s="91"/>
      <c r="L654" s="91"/>
      <c r="M654" s="91"/>
      <c r="N654" s="91"/>
      <c r="O654" s="91"/>
      <c r="P654" s="91"/>
      <c r="Q654" s="91"/>
      <c r="R654" s="91"/>
      <c r="S654" s="91"/>
      <c r="T654" s="91"/>
      <c r="U654" s="91"/>
      <c r="V654" s="91"/>
      <c r="W654" s="91"/>
      <c r="X654" s="91"/>
      <c r="Y654" s="91"/>
      <c r="Z654" s="91"/>
    </row>
    <row r="655" spans="1:26" ht="15.75" customHeight="1" x14ac:dyDescent="0.25">
      <c r="A655" s="9"/>
      <c r="B655" s="189"/>
      <c r="C655" s="91"/>
      <c r="D655" s="91"/>
      <c r="E655" s="91"/>
      <c r="F655" s="91"/>
      <c r="G655" s="91"/>
      <c r="H655" s="91"/>
      <c r="I655" s="91"/>
      <c r="J655" s="91"/>
      <c r="K655" s="91"/>
      <c r="L655" s="91"/>
      <c r="M655" s="91"/>
      <c r="N655" s="91"/>
      <c r="O655" s="91"/>
      <c r="P655" s="91"/>
      <c r="Q655" s="91"/>
      <c r="R655" s="91"/>
      <c r="S655" s="91"/>
      <c r="T655" s="91"/>
      <c r="U655" s="91"/>
      <c r="V655" s="91"/>
      <c r="W655" s="91"/>
      <c r="X655" s="91"/>
      <c r="Y655" s="91"/>
      <c r="Z655" s="91"/>
    </row>
    <row r="656" spans="1:26" ht="15.75" customHeight="1" x14ac:dyDescent="0.25">
      <c r="A656" s="9"/>
      <c r="B656" s="189"/>
      <c r="C656" s="91"/>
      <c r="D656" s="91"/>
      <c r="E656" s="91"/>
      <c r="F656" s="91"/>
      <c r="G656" s="91"/>
      <c r="H656" s="91"/>
      <c r="I656" s="91"/>
      <c r="J656" s="91"/>
      <c r="K656" s="91"/>
      <c r="L656" s="91"/>
      <c r="M656" s="91"/>
      <c r="N656" s="91"/>
      <c r="O656" s="91"/>
      <c r="P656" s="91"/>
      <c r="Q656" s="91"/>
      <c r="R656" s="91"/>
      <c r="S656" s="91"/>
      <c r="T656" s="91"/>
      <c r="U656" s="91"/>
      <c r="V656" s="91"/>
      <c r="W656" s="91"/>
      <c r="X656" s="91"/>
      <c r="Y656" s="91"/>
      <c r="Z656" s="91"/>
    </row>
    <row r="657" spans="1:26" ht="15.75" customHeight="1" x14ac:dyDescent="0.25">
      <c r="A657" s="9"/>
      <c r="B657" s="189"/>
      <c r="C657" s="91"/>
      <c r="D657" s="91"/>
      <c r="E657" s="91"/>
      <c r="F657" s="91"/>
      <c r="G657" s="91"/>
      <c r="H657" s="91"/>
      <c r="I657" s="91"/>
      <c r="J657" s="91"/>
      <c r="K657" s="91"/>
      <c r="L657" s="91"/>
      <c r="M657" s="91"/>
      <c r="N657" s="91"/>
      <c r="O657" s="91"/>
      <c r="P657" s="91"/>
      <c r="Q657" s="91"/>
      <c r="R657" s="91"/>
      <c r="S657" s="91"/>
      <c r="T657" s="91"/>
      <c r="U657" s="91"/>
      <c r="V657" s="91"/>
      <c r="W657" s="91"/>
      <c r="X657" s="91"/>
      <c r="Y657" s="91"/>
      <c r="Z657" s="91"/>
    </row>
    <row r="658" spans="1:26" ht="15.75" customHeight="1" x14ac:dyDescent="0.25">
      <c r="A658" s="9"/>
      <c r="B658" s="189"/>
      <c r="C658" s="91"/>
      <c r="D658" s="91"/>
      <c r="E658" s="91"/>
      <c r="F658" s="91"/>
      <c r="G658" s="91"/>
      <c r="H658" s="91"/>
      <c r="I658" s="91"/>
      <c r="J658" s="91"/>
      <c r="K658" s="91"/>
      <c r="L658" s="91"/>
      <c r="M658" s="91"/>
      <c r="N658" s="91"/>
      <c r="O658" s="91"/>
      <c r="P658" s="91"/>
      <c r="Q658" s="91"/>
      <c r="R658" s="91"/>
      <c r="S658" s="91"/>
      <c r="T658" s="91"/>
      <c r="U658" s="91"/>
      <c r="V658" s="91"/>
      <c r="W658" s="91"/>
      <c r="X658" s="91"/>
      <c r="Y658" s="91"/>
      <c r="Z658" s="91"/>
    </row>
    <row r="659" spans="1:26" ht="15.75" customHeight="1" x14ac:dyDescent="0.25">
      <c r="A659" s="9"/>
      <c r="B659" s="189"/>
      <c r="C659" s="91"/>
      <c r="D659" s="91"/>
      <c r="E659" s="91"/>
      <c r="F659" s="91"/>
      <c r="G659" s="91"/>
      <c r="H659" s="91"/>
      <c r="I659" s="91"/>
      <c r="J659" s="91"/>
      <c r="K659" s="91"/>
      <c r="L659" s="91"/>
      <c r="M659" s="91"/>
      <c r="N659" s="91"/>
      <c r="O659" s="91"/>
      <c r="P659" s="91"/>
      <c r="Q659" s="91"/>
      <c r="R659" s="91"/>
      <c r="S659" s="91"/>
      <c r="T659" s="91"/>
      <c r="U659" s="91"/>
      <c r="V659" s="91"/>
      <c r="W659" s="91"/>
      <c r="X659" s="91"/>
      <c r="Y659" s="91"/>
      <c r="Z659" s="91"/>
    </row>
    <row r="660" spans="1:26" ht="15.75" customHeight="1" x14ac:dyDescent="0.25">
      <c r="A660" s="9"/>
      <c r="B660" s="189"/>
      <c r="C660" s="91"/>
      <c r="D660" s="91"/>
      <c r="E660" s="91"/>
      <c r="F660" s="91"/>
      <c r="G660" s="91"/>
      <c r="H660" s="91"/>
      <c r="I660" s="91"/>
      <c r="J660" s="91"/>
      <c r="K660" s="91"/>
      <c r="L660" s="91"/>
      <c r="M660" s="91"/>
      <c r="N660" s="91"/>
      <c r="O660" s="91"/>
      <c r="P660" s="91"/>
      <c r="Q660" s="91"/>
      <c r="R660" s="91"/>
      <c r="S660" s="91"/>
      <c r="T660" s="91"/>
      <c r="U660" s="91"/>
      <c r="V660" s="91"/>
      <c r="W660" s="91"/>
      <c r="X660" s="91"/>
      <c r="Y660" s="91"/>
      <c r="Z660" s="91"/>
    </row>
    <row r="661" spans="1:26" ht="15.75" customHeight="1" x14ac:dyDescent="0.25">
      <c r="A661" s="9"/>
      <c r="B661" s="189"/>
      <c r="C661" s="91"/>
      <c r="D661" s="91"/>
      <c r="E661" s="91"/>
      <c r="F661" s="91"/>
      <c r="G661" s="91"/>
      <c r="H661" s="91"/>
      <c r="I661" s="91"/>
      <c r="J661" s="91"/>
      <c r="K661" s="91"/>
      <c r="L661" s="91"/>
      <c r="M661" s="91"/>
      <c r="N661" s="91"/>
      <c r="O661" s="91"/>
      <c r="P661" s="91"/>
      <c r="Q661" s="91"/>
      <c r="R661" s="91"/>
      <c r="S661" s="91"/>
      <c r="T661" s="91"/>
      <c r="U661" s="91"/>
      <c r="V661" s="91"/>
      <c r="W661" s="91"/>
      <c r="X661" s="91"/>
      <c r="Y661" s="91"/>
      <c r="Z661" s="91"/>
    </row>
    <row r="662" spans="1:26" ht="15.75" customHeight="1" x14ac:dyDescent="0.25">
      <c r="A662" s="9"/>
      <c r="B662" s="189"/>
      <c r="C662" s="91"/>
      <c r="D662" s="91"/>
      <c r="E662" s="91"/>
      <c r="F662" s="91"/>
      <c r="G662" s="91"/>
      <c r="H662" s="91"/>
      <c r="I662" s="91"/>
      <c r="J662" s="91"/>
      <c r="K662" s="91"/>
      <c r="L662" s="91"/>
      <c r="M662" s="91"/>
      <c r="N662" s="91"/>
      <c r="O662" s="91"/>
      <c r="P662" s="91"/>
      <c r="Q662" s="91"/>
      <c r="R662" s="91"/>
      <c r="S662" s="91"/>
      <c r="T662" s="91"/>
      <c r="U662" s="91"/>
      <c r="V662" s="91"/>
      <c r="W662" s="91"/>
      <c r="X662" s="91"/>
      <c r="Y662" s="91"/>
      <c r="Z662" s="91"/>
    </row>
    <row r="663" spans="1:26" ht="15.75" customHeight="1" x14ac:dyDescent="0.25">
      <c r="A663" s="9"/>
      <c r="B663" s="189"/>
      <c r="C663" s="91"/>
      <c r="D663" s="91"/>
      <c r="E663" s="91"/>
      <c r="F663" s="91"/>
      <c r="G663" s="91"/>
      <c r="H663" s="91"/>
      <c r="I663" s="91"/>
      <c r="J663" s="91"/>
      <c r="K663" s="91"/>
      <c r="L663" s="91"/>
      <c r="M663" s="91"/>
      <c r="N663" s="91"/>
      <c r="O663" s="91"/>
      <c r="P663" s="91"/>
      <c r="Q663" s="91"/>
      <c r="R663" s="91"/>
      <c r="S663" s="91"/>
      <c r="T663" s="91"/>
      <c r="U663" s="91"/>
      <c r="V663" s="91"/>
      <c r="W663" s="91"/>
      <c r="X663" s="91"/>
      <c r="Y663" s="91"/>
      <c r="Z663" s="91"/>
    </row>
    <row r="664" spans="1:26" ht="15.75" customHeight="1" x14ac:dyDescent="0.25">
      <c r="A664" s="9"/>
      <c r="B664" s="189"/>
      <c r="C664" s="91"/>
      <c r="D664" s="91"/>
      <c r="E664" s="91"/>
      <c r="F664" s="91"/>
      <c r="G664" s="91"/>
      <c r="H664" s="91"/>
      <c r="I664" s="91"/>
      <c r="J664" s="91"/>
      <c r="K664" s="91"/>
      <c r="L664" s="91"/>
      <c r="M664" s="91"/>
      <c r="N664" s="91"/>
      <c r="O664" s="91"/>
      <c r="P664" s="91"/>
      <c r="Q664" s="91"/>
      <c r="R664" s="91"/>
      <c r="S664" s="91"/>
      <c r="T664" s="91"/>
      <c r="U664" s="91"/>
      <c r="V664" s="91"/>
      <c r="W664" s="91"/>
      <c r="X664" s="91"/>
      <c r="Y664" s="91"/>
      <c r="Z664" s="91"/>
    </row>
    <row r="665" spans="1:26" ht="15.75" customHeight="1" x14ac:dyDescent="0.25">
      <c r="A665" s="9"/>
      <c r="B665" s="189"/>
      <c r="C665" s="91"/>
      <c r="D665" s="91"/>
      <c r="E665" s="91"/>
      <c r="F665" s="91"/>
      <c r="G665" s="91"/>
      <c r="H665" s="91"/>
      <c r="I665" s="91"/>
      <c r="J665" s="91"/>
      <c r="K665" s="91"/>
      <c r="L665" s="91"/>
      <c r="M665" s="91"/>
      <c r="N665" s="91"/>
      <c r="O665" s="91"/>
      <c r="P665" s="91"/>
      <c r="Q665" s="91"/>
      <c r="R665" s="91"/>
      <c r="S665" s="91"/>
      <c r="T665" s="91"/>
      <c r="U665" s="91"/>
      <c r="V665" s="91"/>
      <c r="W665" s="91"/>
      <c r="X665" s="91"/>
      <c r="Y665" s="91"/>
      <c r="Z665" s="91"/>
    </row>
    <row r="666" spans="1:26" ht="15.75" customHeight="1" x14ac:dyDescent="0.25">
      <c r="A666" s="9"/>
      <c r="B666" s="189"/>
      <c r="C666" s="91"/>
      <c r="D666" s="91"/>
      <c r="E666" s="91"/>
      <c r="F666" s="91"/>
      <c r="G666" s="91"/>
      <c r="H666" s="91"/>
      <c r="I666" s="91"/>
      <c r="J666" s="91"/>
      <c r="K666" s="91"/>
      <c r="L666" s="91"/>
      <c r="M666" s="91"/>
      <c r="N666" s="91"/>
      <c r="O666" s="91"/>
      <c r="P666" s="91"/>
      <c r="Q666" s="91"/>
      <c r="R666" s="91"/>
      <c r="S666" s="91"/>
      <c r="T666" s="91"/>
      <c r="U666" s="91"/>
      <c r="V666" s="91"/>
      <c r="W666" s="91"/>
      <c r="X666" s="91"/>
      <c r="Y666" s="91"/>
      <c r="Z666" s="91"/>
    </row>
    <row r="667" spans="1:26" ht="15.75" customHeight="1" x14ac:dyDescent="0.25">
      <c r="A667" s="9"/>
      <c r="B667" s="189"/>
      <c r="C667" s="91"/>
      <c r="D667" s="91"/>
      <c r="E667" s="91"/>
      <c r="F667" s="91"/>
      <c r="G667" s="91"/>
      <c r="H667" s="91"/>
      <c r="I667" s="91"/>
      <c r="J667" s="91"/>
      <c r="K667" s="91"/>
      <c r="L667" s="91"/>
      <c r="M667" s="91"/>
      <c r="N667" s="91"/>
      <c r="O667" s="91"/>
      <c r="P667" s="91"/>
      <c r="Q667" s="91"/>
      <c r="R667" s="91"/>
      <c r="S667" s="91"/>
      <c r="T667" s="91"/>
      <c r="U667" s="91"/>
      <c r="V667" s="91"/>
      <c r="W667" s="91"/>
      <c r="X667" s="91"/>
      <c r="Y667" s="91"/>
      <c r="Z667" s="91"/>
    </row>
    <row r="668" spans="1:26" ht="15.75" customHeight="1" x14ac:dyDescent="0.25">
      <c r="A668" s="9"/>
      <c r="B668" s="189"/>
      <c r="C668" s="91"/>
      <c r="D668" s="91"/>
      <c r="E668" s="91"/>
      <c r="F668" s="91"/>
      <c r="G668" s="91"/>
      <c r="H668" s="91"/>
      <c r="I668" s="91"/>
      <c r="J668" s="91"/>
      <c r="K668" s="91"/>
      <c r="L668" s="91"/>
      <c r="M668" s="91"/>
      <c r="N668" s="91"/>
      <c r="O668" s="91"/>
      <c r="P668" s="91"/>
      <c r="Q668" s="91"/>
      <c r="R668" s="91"/>
      <c r="S668" s="91"/>
      <c r="T668" s="91"/>
      <c r="U668" s="91"/>
      <c r="V668" s="91"/>
      <c r="W668" s="91"/>
      <c r="X668" s="91"/>
      <c r="Y668" s="91"/>
      <c r="Z668" s="91"/>
    </row>
    <row r="669" spans="1:26" ht="15.75" customHeight="1" x14ac:dyDescent="0.25">
      <c r="A669" s="9"/>
      <c r="B669" s="189"/>
      <c r="C669" s="91"/>
      <c r="D669" s="91"/>
      <c r="E669" s="91"/>
      <c r="F669" s="91"/>
      <c r="G669" s="91"/>
      <c r="H669" s="91"/>
      <c r="I669" s="91"/>
      <c r="J669" s="91"/>
      <c r="K669" s="91"/>
      <c r="L669" s="91"/>
      <c r="M669" s="91"/>
      <c r="N669" s="91"/>
      <c r="O669" s="91"/>
      <c r="P669" s="91"/>
      <c r="Q669" s="91"/>
      <c r="R669" s="91"/>
      <c r="S669" s="91"/>
      <c r="T669" s="91"/>
      <c r="U669" s="91"/>
      <c r="V669" s="91"/>
      <c r="W669" s="91"/>
      <c r="X669" s="91"/>
      <c r="Y669" s="91"/>
      <c r="Z669" s="91"/>
    </row>
    <row r="670" spans="1:26" ht="15.75" customHeight="1" x14ac:dyDescent="0.25">
      <c r="A670" s="9"/>
      <c r="B670" s="189"/>
      <c r="C670" s="91"/>
      <c r="D670" s="91"/>
      <c r="E670" s="91"/>
      <c r="F670" s="91"/>
      <c r="G670" s="91"/>
      <c r="H670" s="91"/>
      <c r="I670" s="91"/>
      <c r="J670" s="91"/>
      <c r="K670" s="91"/>
      <c r="L670" s="91"/>
      <c r="M670" s="91"/>
      <c r="N670" s="91"/>
      <c r="O670" s="91"/>
      <c r="P670" s="91"/>
      <c r="Q670" s="91"/>
      <c r="R670" s="91"/>
      <c r="S670" s="91"/>
      <c r="T670" s="91"/>
      <c r="U670" s="91"/>
      <c r="V670" s="91"/>
      <c r="W670" s="91"/>
      <c r="X670" s="91"/>
      <c r="Y670" s="91"/>
      <c r="Z670" s="91"/>
    </row>
    <row r="671" spans="1:26" ht="15.75" customHeight="1" x14ac:dyDescent="0.25">
      <c r="A671" s="9"/>
      <c r="B671" s="189"/>
      <c r="C671" s="91"/>
      <c r="D671" s="91"/>
      <c r="E671" s="91"/>
      <c r="F671" s="91"/>
      <c r="G671" s="91"/>
      <c r="H671" s="91"/>
      <c r="I671" s="91"/>
      <c r="J671" s="91"/>
      <c r="K671" s="91"/>
      <c r="L671" s="91"/>
      <c r="M671" s="91"/>
      <c r="N671" s="91"/>
      <c r="O671" s="91"/>
      <c r="P671" s="91"/>
      <c r="Q671" s="91"/>
      <c r="R671" s="91"/>
      <c r="S671" s="91"/>
      <c r="T671" s="91"/>
      <c r="U671" s="91"/>
      <c r="V671" s="91"/>
      <c r="W671" s="91"/>
      <c r="X671" s="91"/>
      <c r="Y671" s="91"/>
      <c r="Z671" s="91"/>
    </row>
    <row r="672" spans="1:26" ht="15.75" customHeight="1" x14ac:dyDescent="0.25">
      <c r="A672" s="9"/>
      <c r="B672" s="189"/>
      <c r="C672" s="91"/>
      <c r="D672" s="91"/>
      <c r="E672" s="91"/>
      <c r="F672" s="91"/>
      <c r="G672" s="91"/>
      <c r="H672" s="91"/>
      <c r="I672" s="91"/>
      <c r="J672" s="91"/>
      <c r="K672" s="91"/>
      <c r="L672" s="91"/>
      <c r="M672" s="91"/>
      <c r="N672" s="91"/>
      <c r="O672" s="91"/>
      <c r="P672" s="91"/>
      <c r="Q672" s="91"/>
      <c r="R672" s="91"/>
      <c r="S672" s="91"/>
      <c r="T672" s="91"/>
      <c r="U672" s="91"/>
      <c r="V672" s="91"/>
      <c r="W672" s="91"/>
      <c r="X672" s="91"/>
      <c r="Y672" s="91"/>
      <c r="Z672" s="91"/>
    </row>
    <row r="673" spans="1:26" ht="15.75" customHeight="1" x14ac:dyDescent="0.25">
      <c r="A673" s="9"/>
      <c r="B673" s="189"/>
      <c r="C673" s="91"/>
      <c r="D673" s="91"/>
      <c r="E673" s="91"/>
      <c r="F673" s="91"/>
      <c r="G673" s="91"/>
      <c r="H673" s="91"/>
      <c r="I673" s="91"/>
      <c r="J673" s="91"/>
      <c r="K673" s="91"/>
      <c r="L673" s="91"/>
      <c r="M673" s="91"/>
      <c r="N673" s="91"/>
      <c r="O673" s="91"/>
      <c r="P673" s="91"/>
      <c r="Q673" s="91"/>
      <c r="R673" s="91"/>
      <c r="S673" s="91"/>
      <c r="T673" s="91"/>
      <c r="U673" s="91"/>
      <c r="V673" s="91"/>
      <c r="W673" s="91"/>
      <c r="X673" s="91"/>
      <c r="Y673" s="91"/>
      <c r="Z673" s="91"/>
    </row>
    <row r="674" spans="1:26" ht="15.75" customHeight="1" x14ac:dyDescent="0.25">
      <c r="A674" s="9"/>
      <c r="B674" s="189"/>
      <c r="C674" s="91"/>
      <c r="D674" s="91"/>
      <c r="E674" s="91"/>
      <c r="F674" s="91"/>
      <c r="G674" s="91"/>
      <c r="H674" s="91"/>
      <c r="I674" s="91"/>
      <c r="J674" s="91"/>
      <c r="K674" s="91"/>
      <c r="L674" s="91"/>
      <c r="M674" s="91"/>
      <c r="N674" s="91"/>
      <c r="O674" s="91"/>
      <c r="P674" s="91"/>
      <c r="Q674" s="91"/>
      <c r="R674" s="91"/>
      <c r="S674" s="91"/>
      <c r="T674" s="91"/>
      <c r="U674" s="91"/>
      <c r="V674" s="91"/>
      <c r="W674" s="91"/>
      <c r="X674" s="91"/>
      <c r="Y674" s="91"/>
      <c r="Z674" s="91"/>
    </row>
    <row r="675" spans="1:26" ht="15.75" customHeight="1" x14ac:dyDescent="0.25">
      <c r="A675" s="9"/>
      <c r="B675" s="189"/>
      <c r="C675" s="91"/>
      <c r="D675" s="91"/>
      <c r="E675" s="91"/>
      <c r="F675" s="91"/>
      <c r="G675" s="91"/>
      <c r="H675" s="91"/>
      <c r="I675" s="91"/>
      <c r="J675" s="91"/>
      <c r="K675" s="91"/>
      <c r="L675" s="91"/>
      <c r="M675" s="91"/>
      <c r="N675" s="91"/>
      <c r="O675" s="91"/>
      <c r="P675" s="91"/>
      <c r="Q675" s="91"/>
      <c r="R675" s="91"/>
      <c r="S675" s="91"/>
      <c r="T675" s="91"/>
      <c r="U675" s="91"/>
      <c r="V675" s="91"/>
      <c r="W675" s="91"/>
      <c r="X675" s="91"/>
      <c r="Y675" s="91"/>
      <c r="Z675" s="91"/>
    </row>
    <row r="676" spans="1:26" ht="15.75" customHeight="1" x14ac:dyDescent="0.25">
      <c r="A676" s="9"/>
      <c r="B676" s="189"/>
      <c r="C676" s="91"/>
      <c r="D676" s="91"/>
      <c r="E676" s="91"/>
      <c r="F676" s="91"/>
      <c r="G676" s="91"/>
      <c r="H676" s="91"/>
      <c r="I676" s="91"/>
      <c r="J676" s="91"/>
      <c r="K676" s="91"/>
      <c r="L676" s="91"/>
      <c r="M676" s="91"/>
      <c r="N676" s="91"/>
      <c r="O676" s="91"/>
      <c r="P676" s="91"/>
      <c r="Q676" s="91"/>
      <c r="R676" s="91"/>
      <c r="S676" s="91"/>
      <c r="T676" s="91"/>
      <c r="U676" s="91"/>
      <c r="V676" s="91"/>
      <c r="W676" s="91"/>
      <c r="X676" s="91"/>
      <c r="Y676" s="91"/>
      <c r="Z676" s="91"/>
    </row>
    <row r="677" spans="1:26" ht="15.75" customHeight="1" x14ac:dyDescent="0.25">
      <c r="A677" s="9"/>
      <c r="B677" s="189"/>
      <c r="C677" s="91"/>
      <c r="D677" s="91"/>
      <c r="E677" s="91"/>
      <c r="F677" s="91"/>
      <c r="G677" s="91"/>
      <c r="H677" s="91"/>
      <c r="I677" s="91"/>
      <c r="J677" s="91"/>
      <c r="K677" s="91"/>
      <c r="L677" s="91"/>
      <c r="M677" s="91"/>
      <c r="N677" s="91"/>
      <c r="O677" s="91"/>
      <c r="P677" s="91"/>
      <c r="Q677" s="91"/>
      <c r="R677" s="91"/>
      <c r="S677" s="91"/>
      <c r="T677" s="91"/>
      <c r="U677" s="91"/>
      <c r="V677" s="91"/>
      <c r="W677" s="91"/>
      <c r="X677" s="91"/>
      <c r="Y677" s="91"/>
      <c r="Z677" s="91"/>
    </row>
    <row r="678" spans="1:26" ht="15.75" customHeight="1" x14ac:dyDescent="0.25">
      <c r="A678" s="9"/>
      <c r="B678" s="189"/>
      <c r="C678" s="91"/>
      <c r="D678" s="91"/>
      <c r="E678" s="91"/>
      <c r="F678" s="91"/>
      <c r="G678" s="91"/>
      <c r="H678" s="91"/>
      <c r="I678" s="91"/>
      <c r="J678" s="91"/>
      <c r="K678" s="91"/>
      <c r="L678" s="91"/>
      <c r="M678" s="91"/>
      <c r="N678" s="91"/>
      <c r="O678" s="91"/>
      <c r="P678" s="91"/>
      <c r="Q678" s="91"/>
      <c r="R678" s="91"/>
      <c r="S678" s="91"/>
      <c r="T678" s="91"/>
      <c r="U678" s="91"/>
      <c r="V678" s="91"/>
      <c r="W678" s="91"/>
      <c r="X678" s="91"/>
      <c r="Y678" s="91"/>
      <c r="Z678" s="91"/>
    </row>
    <row r="679" spans="1:26" ht="15.75" customHeight="1" x14ac:dyDescent="0.25">
      <c r="A679" s="9"/>
      <c r="B679" s="189"/>
      <c r="C679" s="91"/>
      <c r="D679" s="91"/>
      <c r="E679" s="91"/>
      <c r="F679" s="91"/>
      <c r="G679" s="91"/>
      <c r="H679" s="91"/>
      <c r="I679" s="91"/>
      <c r="J679" s="91"/>
      <c r="K679" s="91"/>
      <c r="L679" s="91"/>
      <c r="M679" s="91"/>
      <c r="N679" s="91"/>
      <c r="O679" s="91"/>
      <c r="P679" s="91"/>
      <c r="Q679" s="91"/>
      <c r="R679" s="91"/>
      <c r="S679" s="91"/>
      <c r="T679" s="91"/>
      <c r="U679" s="91"/>
      <c r="V679" s="91"/>
      <c r="W679" s="91"/>
      <c r="X679" s="91"/>
      <c r="Y679" s="91"/>
      <c r="Z679" s="91"/>
    </row>
    <row r="680" spans="1:26" ht="15.75" customHeight="1" x14ac:dyDescent="0.25">
      <c r="A680" s="9"/>
      <c r="B680" s="189"/>
      <c r="C680" s="91"/>
      <c r="D680" s="91"/>
      <c r="E680" s="91"/>
      <c r="F680" s="91"/>
      <c r="G680" s="91"/>
      <c r="H680" s="91"/>
      <c r="I680" s="91"/>
      <c r="J680" s="91"/>
      <c r="K680" s="91"/>
      <c r="L680" s="91"/>
      <c r="M680" s="91"/>
      <c r="N680" s="91"/>
      <c r="O680" s="91"/>
      <c r="P680" s="91"/>
      <c r="Q680" s="91"/>
      <c r="R680" s="91"/>
      <c r="S680" s="91"/>
      <c r="T680" s="91"/>
      <c r="U680" s="91"/>
      <c r="V680" s="91"/>
      <c r="W680" s="91"/>
      <c r="X680" s="91"/>
      <c r="Y680" s="91"/>
      <c r="Z680" s="91"/>
    </row>
    <row r="681" spans="1:26" ht="15.75" customHeight="1" x14ac:dyDescent="0.25">
      <c r="A681" s="9"/>
      <c r="B681" s="189"/>
      <c r="C681" s="91"/>
      <c r="D681" s="91"/>
      <c r="E681" s="91"/>
      <c r="F681" s="91"/>
      <c r="G681" s="91"/>
      <c r="H681" s="91"/>
      <c r="I681" s="91"/>
      <c r="J681" s="91"/>
      <c r="K681" s="91"/>
      <c r="L681" s="91"/>
      <c r="M681" s="91"/>
      <c r="N681" s="91"/>
      <c r="O681" s="91"/>
      <c r="P681" s="91"/>
      <c r="Q681" s="91"/>
      <c r="R681" s="91"/>
      <c r="S681" s="91"/>
      <c r="T681" s="91"/>
      <c r="U681" s="91"/>
      <c r="V681" s="91"/>
      <c r="W681" s="91"/>
      <c r="X681" s="91"/>
      <c r="Y681" s="91"/>
      <c r="Z681" s="91"/>
    </row>
    <row r="682" spans="1:26" ht="15.75" customHeight="1" x14ac:dyDescent="0.25">
      <c r="A682" s="9"/>
      <c r="B682" s="189"/>
      <c r="C682" s="91"/>
      <c r="D682" s="91"/>
      <c r="E682" s="91"/>
      <c r="F682" s="91"/>
      <c r="G682" s="91"/>
      <c r="H682" s="91"/>
      <c r="I682" s="91"/>
      <c r="J682" s="91"/>
      <c r="K682" s="91"/>
      <c r="L682" s="91"/>
      <c r="M682" s="91"/>
      <c r="N682" s="91"/>
      <c r="O682" s="91"/>
      <c r="P682" s="91"/>
      <c r="Q682" s="91"/>
      <c r="R682" s="91"/>
      <c r="S682" s="91"/>
      <c r="T682" s="91"/>
      <c r="U682" s="91"/>
      <c r="V682" s="91"/>
      <c r="W682" s="91"/>
      <c r="X682" s="91"/>
      <c r="Y682" s="91"/>
      <c r="Z682" s="91"/>
    </row>
    <row r="683" spans="1:26" ht="15.75" customHeight="1" x14ac:dyDescent="0.25">
      <c r="A683" s="9"/>
      <c r="B683" s="189"/>
      <c r="C683" s="91"/>
      <c r="D683" s="91"/>
      <c r="E683" s="91"/>
      <c r="F683" s="91"/>
      <c r="G683" s="91"/>
      <c r="H683" s="91"/>
      <c r="I683" s="91"/>
      <c r="J683" s="91"/>
      <c r="K683" s="91"/>
      <c r="L683" s="91"/>
      <c r="M683" s="91"/>
      <c r="N683" s="91"/>
      <c r="O683" s="91"/>
      <c r="P683" s="91"/>
      <c r="Q683" s="91"/>
      <c r="R683" s="91"/>
      <c r="S683" s="91"/>
      <c r="T683" s="91"/>
      <c r="U683" s="91"/>
      <c r="V683" s="91"/>
      <c r="W683" s="91"/>
      <c r="X683" s="91"/>
      <c r="Y683" s="91"/>
      <c r="Z683" s="91"/>
    </row>
    <row r="684" spans="1:26" ht="15.75" customHeight="1" x14ac:dyDescent="0.25">
      <c r="A684" s="9"/>
      <c r="B684" s="189"/>
      <c r="C684" s="91"/>
      <c r="D684" s="91"/>
      <c r="E684" s="91"/>
      <c r="F684" s="91"/>
      <c r="G684" s="91"/>
      <c r="H684" s="91"/>
      <c r="I684" s="91"/>
      <c r="J684" s="91"/>
      <c r="K684" s="91"/>
      <c r="L684" s="91"/>
      <c r="M684" s="91"/>
      <c r="N684" s="91"/>
      <c r="O684" s="91"/>
      <c r="P684" s="91"/>
      <c r="Q684" s="91"/>
      <c r="R684" s="91"/>
      <c r="S684" s="91"/>
      <c r="T684" s="91"/>
      <c r="U684" s="91"/>
      <c r="V684" s="91"/>
      <c r="W684" s="91"/>
      <c r="X684" s="91"/>
      <c r="Y684" s="91"/>
      <c r="Z684" s="91"/>
    </row>
    <row r="685" spans="1:26" ht="15.75" customHeight="1" x14ac:dyDescent="0.25">
      <c r="A685" s="9"/>
      <c r="B685" s="189"/>
      <c r="C685" s="91"/>
      <c r="D685" s="91"/>
      <c r="E685" s="91"/>
      <c r="F685" s="91"/>
      <c r="G685" s="91"/>
      <c r="H685" s="91"/>
      <c r="I685" s="91"/>
      <c r="J685" s="91"/>
      <c r="K685" s="91"/>
      <c r="L685" s="91"/>
      <c r="M685" s="91"/>
      <c r="N685" s="91"/>
      <c r="O685" s="91"/>
      <c r="P685" s="91"/>
      <c r="Q685" s="91"/>
      <c r="R685" s="91"/>
      <c r="S685" s="91"/>
      <c r="T685" s="91"/>
      <c r="U685" s="91"/>
      <c r="V685" s="91"/>
      <c r="W685" s="91"/>
      <c r="X685" s="91"/>
      <c r="Y685" s="91"/>
      <c r="Z685" s="91"/>
    </row>
    <row r="686" spans="1:26" ht="15.75" customHeight="1" x14ac:dyDescent="0.25">
      <c r="A686" s="9"/>
      <c r="B686" s="189"/>
      <c r="C686" s="91"/>
      <c r="D686" s="91"/>
      <c r="E686" s="91"/>
      <c r="F686" s="91"/>
      <c r="G686" s="91"/>
      <c r="H686" s="91"/>
      <c r="I686" s="91"/>
      <c r="J686" s="91"/>
      <c r="K686" s="91"/>
      <c r="L686" s="91"/>
      <c r="M686" s="91"/>
      <c r="N686" s="91"/>
      <c r="O686" s="91"/>
      <c r="P686" s="91"/>
      <c r="Q686" s="91"/>
      <c r="R686" s="91"/>
      <c r="S686" s="91"/>
      <c r="T686" s="91"/>
      <c r="U686" s="91"/>
      <c r="V686" s="91"/>
      <c r="W686" s="91"/>
      <c r="X686" s="91"/>
      <c r="Y686" s="91"/>
      <c r="Z686" s="91"/>
    </row>
    <row r="687" spans="1:26" ht="15.75" customHeight="1" x14ac:dyDescent="0.25">
      <c r="A687" s="9"/>
      <c r="B687" s="189"/>
      <c r="C687" s="91"/>
      <c r="D687" s="91"/>
      <c r="E687" s="91"/>
      <c r="F687" s="91"/>
      <c r="G687" s="91"/>
      <c r="H687" s="91"/>
      <c r="I687" s="91"/>
      <c r="J687" s="91"/>
      <c r="K687" s="91"/>
      <c r="L687" s="91"/>
      <c r="M687" s="91"/>
      <c r="N687" s="91"/>
      <c r="O687" s="91"/>
      <c r="P687" s="91"/>
      <c r="Q687" s="91"/>
      <c r="R687" s="91"/>
      <c r="S687" s="91"/>
      <c r="T687" s="91"/>
      <c r="U687" s="91"/>
      <c r="V687" s="91"/>
      <c r="W687" s="91"/>
      <c r="X687" s="91"/>
      <c r="Y687" s="91"/>
      <c r="Z687" s="91"/>
    </row>
    <row r="688" spans="1:26" ht="15.75" customHeight="1" x14ac:dyDescent="0.25">
      <c r="A688" s="9"/>
      <c r="B688" s="189"/>
      <c r="C688" s="91"/>
      <c r="D688" s="91"/>
      <c r="E688" s="91"/>
      <c r="F688" s="91"/>
      <c r="G688" s="91"/>
      <c r="H688" s="91"/>
      <c r="I688" s="91"/>
      <c r="J688" s="91"/>
      <c r="K688" s="91"/>
      <c r="L688" s="91"/>
      <c r="M688" s="91"/>
      <c r="N688" s="91"/>
      <c r="O688" s="91"/>
      <c r="P688" s="91"/>
      <c r="Q688" s="91"/>
      <c r="R688" s="91"/>
      <c r="S688" s="91"/>
      <c r="T688" s="91"/>
      <c r="U688" s="91"/>
      <c r="V688" s="91"/>
      <c r="W688" s="91"/>
      <c r="X688" s="91"/>
      <c r="Y688" s="91"/>
      <c r="Z688" s="91"/>
    </row>
    <row r="689" spans="1:26" ht="15.75" customHeight="1" x14ac:dyDescent="0.25">
      <c r="A689" s="9"/>
      <c r="B689" s="189"/>
      <c r="C689" s="91"/>
      <c r="D689" s="91"/>
      <c r="E689" s="91"/>
      <c r="F689" s="91"/>
      <c r="G689" s="91"/>
      <c r="H689" s="91"/>
      <c r="I689" s="91"/>
      <c r="J689" s="91"/>
      <c r="K689" s="91"/>
      <c r="L689" s="91"/>
      <c r="M689" s="91"/>
      <c r="N689" s="91"/>
      <c r="O689" s="91"/>
      <c r="P689" s="91"/>
      <c r="Q689" s="91"/>
      <c r="R689" s="91"/>
      <c r="S689" s="91"/>
      <c r="T689" s="91"/>
      <c r="U689" s="91"/>
      <c r="V689" s="91"/>
      <c r="W689" s="91"/>
      <c r="X689" s="91"/>
      <c r="Y689" s="91"/>
      <c r="Z689" s="91"/>
    </row>
    <row r="690" spans="1:26" ht="15.75" customHeight="1" x14ac:dyDescent="0.25">
      <c r="A690" s="9"/>
      <c r="B690" s="189"/>
      <c r="C690" s="91"/>
      <c r="D690" s="91"/>
      <c r="E690" s="91"/>
      <c r="F690" s="91"/>
      <c r="G690" s="91"/>
      <c r="H690" s="91"/>
      <c r="I690" s="91"/>
      <c r="J690" s="91"/>
      <c r="K690" s="91"/>
      <c r="L690" s="91"/>
      <c r="M690" s="91"/>
      <c r="N690" s="91"/>
      <c r="O690" s="91"/>
      <c r="P690" s="91"/>
      <c r="Q690" s="91"/>
      <c r="R690" s="91"/>
      <c r="S690" s="91"/>
      <c r="T690" s="91"/>
      <c r="U690" s="91"/>
      <c r="V690" s="91"/>
      <c r="W690" s="91"/>
      <c r="X690" s="91"/>
      <c r="Y690" s="91"/>
      <c r="Z690" s="91"/>
    </row>
    <row r="691" spans="1:26" ht="15.75" customHeight="1" x14ac:dyDescent="0.25">
      <c r="A691" s="9"/>
      <c r="B691" s="189"/>
      <c r="C691" s="91"/>
      <c r="D691" s="91"/>
      <c r="E691" s="91"/>
      <c r="F691" s="91"/>
      <c r="G691" s="91"/>
      <c r="H691" s="91"/>
      <c r="I691" s="91"/>
      <c r="J691" s="91"/>
      <c r="K691" s="91"/>
      <c r="L691" s="91"/>
      <c r="M691" s="91"/>
      <c r="N691" s="91"/>
      <c r="O691" s="91"/>
      <c r="P691" s="91"/>
      <c r="Q691" s="91"/>
      <c r="R691" s="91"/>
      <c r="S691" s="91"/>
      <c r="T691" s="91"/>
      <c r="U691" s="91"/>
      <c r="V691" s="91"/>
      <c r="W691" s="91"/>
      <c r="X691" s="91"/>
      <c r="Y691" s="91"/>
      <c r="Z691" s="91"/>
    </row>
    <row r="692" spans="1:26" ht="15.75" customHeight="1" x14ac:dyDescent="0.25">
      <c r="A692" s="9"/>
      <c r="B692" s="189"/>
      <c r="C692" s="91"/>
      <c r="D692" s="91"/>
      <c r="E692" s="91"/>
      <c r="F692" s="91"/>
      <c r="G692" s="91"/>
      <c r="H692" s="91"/>
      <c r="I692" s="91"/>
      <c r="J692" s="91"/>
      <c r="K692" s="91"/>
      <c r="L692" s="91"/>
      <c r="M692" s="91"/>
      <c r="N692" s="91"/>
      <c r="O692" s="91"/>
      <c r="P692" s="91"/>
      <c r="Q692" s="91"/>
      <c r="R692" s="91"/>
      <c r="S692" s="91"/>
      <c r="T692" s="91"/>
      <c r="U692" s="91"/>
      <c r="V692" s="91"/>
      <c r="W692" s="91"/>
      <c r="X692" s="91"/>
      <c r="Y692" s="91"/>
      <c r="Z692" s="91"/>
    </row>
    <row r="693" spans="1:26" ht="15.75" customHeight="1" x14ac:dyDescent="0.25">
      <c r="A693" s="9"/>
      <c r="B693" s="189"/>
      <c r="C693" s="91"/>
      <c r="D693" s="91"/>
      <c r="E693" s="91"/>
      <c r="F693" s="91"/>
      <c r="G693" s="91"/>
      <c r="H693" s="91"/>
      <c r="I693" s="91"/>
      <c r="J693" s="91"/>
      <c r="K693" s="91"/>
      <c r="L693" s="91"/>
      <c r="M693" s="91"/>
      <c r="N693" s="91"/>
      <c r="O693" s="91"/>
      <c r="P693" s="91"/>
      <c r="Q693" s="91"/>
      <c r="R693" s="91"/>
      <c r="S693" s="91"/>
      <c r="T693" s="91"/>
      <c r="U693" s="91"/>
      <c r="V693" s="91"/>
      <c r="W693" s="91"/>
      <c r="X693" s="91"/>
      <c r="Y693" s="91"/>
      <c r="Z693" s="91"/>
    </row>
    <row r="694" spans="1:26" ht="15.75" customHeight="1" x14ac:dyDescent="0.25">
      <c r="A694" s="9"/>
      <c r="B694" s="189"/>
      <c r="C694" s="91"/>
      <c r="D694" s="91"/>
      <c r="E694" s="91"/>
      <c r="F694" s="91"/>
      <c r="G694" s="91"/>
      <c r="H694" s="91"/>
      <c r="I694" s="91"/>
      <c r="J694" s="91"/>
      <c r="K694" s="91"/>
      <c r="L694" s="91"/>
      <c r="M694" s="91"/>
      <c r="N694" s="91"/>
      <c r="O694" s="91"/>
      <c r="P694" s="91"/>
      <c r="Q694" s="91"/>
      <c r="R694" s="91"/>
      <c r="S694" s="91"/>
      <c r="T694" s="91"/>
      <c r="U694" s="91"/>
      <c r="V694" s="91"/>
      <c r="W694" s="91"/>
      <c r="X694" s="91"/>
      <c r="Y694" s="91"/>
      <c r="Z694" s="91"/>
    </row>
    <row r="695" spans="1:26" ht="15.75" customHeight="1" x14ac:dyDescent="0.25">
      <c r="A695" s="9"/>
      <c r="B695" s="189"/>
      <c r="C695" s="91"/>
      <c r="D695" s="91"/>
      <c r="E695" s="91"/>
      <c r="F695" s="91"/>
      <c r="G695" s="91"/>
      <c r="H695" s="91"/>
      <c r="I695" s="91"/>
      <c r="J695" s="91"/>
      <c r="K695" s="91"/>
      <c r="L695" s="91"/>
      <c r="M695" s="91"/>
      <c r="N695" s="91"/>
      <c r="O695" s="91"/>
      <c r="P695" s="91"/>
      <c r="Q695" s="91"/>
      <c r="R695" s="91"/>
      <c r="S695" s="91"/>
      <c r="T695" s="91"/>
      <c r="U695" s="91"/>
      <c r="V695" s="91"/>
      <c r="W695" s="91"/>
      <c r="X695" s="91"/>
      <c r="Y695" s="91"/>
      <c r="Z695" s="91"/>
    </row>
    <row r="696" spans="1:26" ht="15.75" customHeight="1" x14ac:dyDescent="0.25">
      <c r="A696" s="9"/>
      <c r="B696" s="189"/>
      <c r="C696" s="91"/>
      <c r="D696" s="91"/>
      <c r="E696" s="91"/>
      <c r="F696" s="91"/>
      <c r="G696" s="91"/>
      <c r="H696" s="91"/>
      <c r="I696" s="91"/>
      <c r="J696" s="91"/>
      <c r="K696" s="91"/>
      <c r="L696" s="91"/>
      <c r="M696" s="91"/>
      <c r="N696" s="91"/>
      <c r="O696" s="91"/>
      <c r="P696" s="91"/>
      <c r="Q696" s="91"/>
      <c r="R696" s="91"/>
      <c r="S696" s="91"/>
      <c r="T696" s="91"/>
      <c r="U696" s="91"/>
      <c r="V696" s="91"/>
      <c r="W696" s="91"/>
      <c r="X696" s="91"/>
      <c r="Y696" s="91"/>
      <c r="Z696" s="91"/>
    </row>
    <row r="697" spans="1:26" ht="15.75" customHeight="1" x14ac:dyDescent="0.25">
      <c r="A697" s="9"/>
      <c r="B697" s="189"/>
      <c r="C697" s="91"/>
      <c r="D697" s="91"/>
      <c r="E697" s="91"/>
      <c r="F697" s="91"/>
      <c r="G697" s="91"/>
      <c r="H697" s="91"/>
      <c r="I697" s="91"/>
      <c r="J697" s="91"/>
      <c r="K697" s="91"/>
      <c r="L697" s="91"/>
      <c r="M697" s="91"/>
      <c r="N697" s="91"/>
      <c r="O697" s="91"/>
      <c r="P697" s="91"/>
      <c r="Q697" s="91"/>
      <c r="R697" s="91"/>
      <c r="S697" s="91"/>
      <c r="T697" s="91"/>
      <c r="U697" s="91"/>
      <c r="V697" s="91"/>
      <c r="W697" s="91"/>
      <c r="X697" s="91"/>
      <c r="Y697" s="91"/>
      <c r="Z697" s="91"/>
    </row>
    <row r="698" spans="1:26" ht="15.75" customHeight="1" x14ac:dyDescent="0.25">
      <c r="A698" s="9"/>
      <c r="B698" s="189"/>
      <c r="C698" s="91"/>
      <c r="D698" s="91"/>
      <c r="E698" s="91"/>
      <c r="F698" s="91"/>
      <c r="G698" s="91"/>
      <c r="H698" s="91"/>
      <c r="I698" s="91"/>
      <c r="J698" s="91"/>
      <c r="K698" s="91"/>
      <c r="L698" s="91"/>
      <c r="M698" s="91"/>
      <c r="N698" s="91"/>
      <c r="O698" s="91"/>
      <c r="P698" s="91"/>
      <c r="Q698" s="91"/>
      <c r="R698" s="91"/>
      <c r="S698" s="91"/>
      <c r="T698" s="91"/>
      <c r="U698" s="91"/>
      <c r="V698" s="91"/>
      <c r="W698" s="91"/>
      <c r="X698" s="91"/>
      <c r="Y698" s="91"/>
      <c r="Z698" s="91"/>
    </row>
    <row r="699" spans="1:26" ht="15.75" customHeight="1" x14ac:dyDescent="0.25">
      <c r="A699" s="9"/>
      <c r="B699" s="189"/>
      <c r="C699" s="91"/>
      <c r="D699" s="91"/>
      <c r="E699" s="91"/>
      <c r="F699" s="91"/>
      <c r="G699" s="91"/>
      <c r="H699" s="91"/>
      <c r="I699" s="91"/>
      <c r="J699" s="91"/>
      <c r="K699" s="91"/>
      <c r="L699" s="91"/>
      <c r="M699" s="91"/>
      <c r="N699" s="91"/>
      <c r="O699" s="91"/>
      <c r="P699" s="91"/>
      <c r="Q699" s="91"/>
      <c r="R699" s="91"/>
      <c r="S699" s="91"/>
      <c r="T699" s="91"/>
      <c r="U699" s="91"/>
      <c r="V699" s="91"/>
      <c r="W699" s="91"/>
      <c r="X699" s="91"/>
      <c r="Y699" s="91"/>
      <c r="Z699" s="91"/>
    </row>
    <row r="700" spans="1:26" ht="15.75" customHeight="1" x14ac:dyDescent="0.25">
      <c r="A700" s="9"/>
      <c r="B700" s="189"/>
      <c r="C700" s="91"/>
      <c r="D700" s="91"/>
      <c r="E700" s="91"/>
      <c r="F700" s="91"/>
      <c r="G700" s="91"/>
      <c r="H700" s="91"/>
      <c r="I700" s="91"/>
      <c r="J700" s="91"/>
      <c r="K700" s="91"/>
      <c r="L700" s="91"/>
      <c r="M700" s="91"/>
      <c r="N700" s="91"/>
      <c r="O700" s="91"/>
      <c r="P700" s="91"/>
      <c r="Q700" s="91"/>
      <c r="R700" s="91"/>
      <c r="S700" s="91"/>
      <c r="T700" s="91"/>
      <c r="U700" s="91"/>
      <c r="V700" s="91"/>
      <c r="W700" s="91"/>
      <c r="X700" s="91"/>
      <c r="Y700" s="91"/>
      <c r="Z700" s="91"/>
    </row>
    <row r="701" spans="1:26" ht="15.75" customHeight="1" x14ac:dyDescent="0.25">
      <c r="A701" s="9"/>
      <c r="B701" s="189"/>
      <c r="C701" s="91"/>
      <c r="D701" s="91"/>
      <c r="E701" s="91"/>
      <c r="F701" s="91"/>
      <c r="G701" s="91"/>
      <c r="H701" s="91"/>
      <c r="I701" s="91"/>
      <c r="J701" s="91"/>
      <c r="K701" s="91"/>
      <c r="L701" s="91"/>
      <c r="M701" s="91"/>
      <c r="N701" s="91"/>
      <c r="O701" s="91"/>
      <c r="P701" s="91"/>
      <c r="Q701" s="91"/>
      <c r="R701" s="91"/>
      <c r="S701" s="91"/>
      <c r="T701" s="91"/>
      <c r="U701" s="91"/>
      <c r="V701" s="91"/>
      <c r="W701" s="91"/>
      <c r="X701" s="91"/>
      <c r="Y701" s="91"/>
      <c r="Z701" s="91"/>
    </row>
    <row r="702" spans="1:26" ht="15.75" customHeight="1" x14ac:dyDescent="0.25">
      <c r="A702" s="9"/>
      <c r="B702" s="189"/>
      <c r="C702" s="91"/>
      <c r="D702" s="91"/>
      <c r="E702" s="91"/>
      <c r="F702" s="91"/>
      <c r="G702" s="91"/>
      <c r="H702" s="91"/>
      <c r="I702" s="91"/>
      <c r="J702" s="91"/>
      <c r="K702" s="91"/>
      <c r="L702" s="91"/>
      <c r="M702" s="91"/>
      <c r="N702" s="91"/>
      <c r="O702" s="91"/>
      <c r="P702" s="91"/>
      <c r="Q702" s="91"/>
      <c r="R702" s="91"/>
      <c r="S702" s="91"/>
      <c r="T702" s="91"/>
      <c r="U702" s="91"/>
      <c r="V702" s="91"/>
      <c r="W702" s="91"/>
      <c r="X702" s="91"/>
      <c r="Y702" s="91"/>
      <c r="Z702" s="91"/>
    </row>
    <row r="703" spans="1:26" ht="15.75" customHeight="1" x14ac:dyDescent="0.25">
      <c r="A703" s="9"/>
      <c r="B703" s="189"/>
      <c r="C703" s="91"/>
      <c r="D703" s="91"/>
      <c r="E703" s="91"/>
      <c r="F703" s="91"/>
      <c r="G703" s="91"/>
      <c r="H703" s="91"/>
      <c r="I703" s="91"/>
      <c r="J703" s="91"/>
      <c r="K703" s="91"/>
      <c r="L703" s="91"/>
      <c r="M703" s="91"/>
      <c r="N703" s="91"/>
      <c r="O703" s="91"/>
      <c r="P703" s="91"/>
      <c r="Q703" s="91"/>
      <c r="R703" s="91"/>
      <c r="S703" s="91"/>
      <c r="T703" s="91"/>
      <c r="U703" s="91"/>
      <c r="V703" s="91"/>
      <c r="W703" s="91"/>
      <c r="X703" s="91"/>
      <c r="Y703" s="91"/>
      <c r="Z703" s="91"/>
    </row>
    <row r="704" spans="1:26" ht="15.75" customHeight="1" x14ac:dyDescent="0.25">
      <c r="A704" s="9"/>
      <c r="B704" s="189"/>
      <c r="C704" s="91"/>
      <c r="D704" s="91"/>
      <c r="E704" s="91"/>
      <c r="F704" s="91"/>
      <c r="G704" s="91"/>
      <c r="H704" s="91"/>
      <c r="I704" s="91"/>
      <c r="J704" s="91"/>
      <c r="K704" s="91"/>
      <c r="L704" s="91"/>
      <c r="M704" s="91"/>
      <c r="N704" s="91"/>
      <c r="O704" s="91"/>
      <c r="P704" s="91"/>
      <c r="Q704" s="91"/>
      <c r="R704" s="91"/>
      <c r="S704" s="91"/>
      <c r="T704" s="91"/>
      <c r="U704" s="91"/>
      <c r="V704" s="91"/>
      <c r="W704" s="91"/>
      <c r="X704" s="91"/>
      <c r="Y704" s="91"/>
      <c r="Z704" s="91"/>
    </row>
    <row r="705" spans="1:26" ht="15.75" customHeight="1" x14ac:dyDescent="0.25">
      <c r="A705" s="9"/>
      <c r="B705" s="189"/>
      <c r="C705" s="91"/>
      <c r="D705" s="91"/>
      <c r="E705" s="91"/>
      <c r="F705" s="91"/>
      <c r="G705" s="91"/>
      <c r="H705" s="91"/>
      <c r="I705" s="91"/>
      <c r="J705" s="91"/>
      <c r="K705" s="91"/>
      <c r="L705" s="91"/>
      <c r="M705" s="91"/>
      <c r="N705" s="91"/>
      <c r="O705" s="91"/>
      <c r="P705" s="91"/>
      <c r="Q705" s="91"/>
      <c r="R705" s="91"/>
      <c r="S705" s="91"/>
      <c r="T705" s="91"/>
      <c r="U705" s="91"/>
      <c r="V705" s="91"/>
      <c r="W705" s="91"/>
      <c r="X705" s="91"/>
      <c r="Y705" s="91"/>
      <c r="Z705" s="91"/>
    </row>
    <row r="706" spans="1:26" ht="15.75" customHeight="1" x14ac:dyDescent="0.25">
      <c r="A706" s="9"/>
      <c r="B706" s="189"/>
      <c r="C706" s="91"/>
      <c r="D706" s="91"/>
      <c r="E706" s="91"/>
      <c r="F706" s="91"/>
      <c r="G706" s="91"/>
      <c r="H706" s="91"/>
      <c r="I706" s="91"/>
      <c r="J706" s="91"/>
      <c r="K706" s="91"/>
      <c r="L706" s="91"/>
      <c r="M706" s="91"/>
      <c r="N706" s="91"/>
      <c r="O706" s="91"/>
      <c r="P706" s="91"/>
      <c r="Q706" s="91"/>
      <c r="R706" s="91"/>
      <c r="S706" s="91"/>
      <c r="T706" s="91"/>
      <c r="U706" s="91"/>
      <c r="V706" s="91"/>
      <c r="W706" s="91"/>
      <c r="X706" s="91"/>
      <c r="Y706" s="91"/>
      <c r="Z706" s="91"/>
    </row>
    <row r="707" spans="1:26" ht="15.75" customHeight="1" x14ac:dyDescent="0.25">
      <c r="A707" s="9"/>
      <c r="B707" s="189"/>
      <c r="C707" s="91"/>
      <c r="D707" s="91"/>
      <c r="E707" s="91"/>
      <c r="F707" s="91"/>
      <c r="G707" s="91"/>
      <c r="H707" s="91"/>
      <c r="I707" s="91"/>
      <c r="J707" s="91"/>
      <c r="K707" s="91"/>
      <c r="L707" s="91"/>
      <c r="M707" s="91"/>
      <c r="N707" s="91"/>
      <c r="O707" s="91"/>
      <c r="P707" s="91"/>
      <c r="Q707" s="91"/>
      <c r="R707" s="91"/>
      <c r="S707" s="91"/>
      <c r="T707" s="91"/>
      <c r="U707" s="91"/>
      <c r="V707" s="91"/>
      <c r="W707" s="91"/>
      <c r="X707" s="91"/>
      <c r="Y707" s="91"/>
      <c r="Z707" s="91"/>
    </row>
    <row r="708" spans="1:26" ht="15.75" customHeight="1" x14ac:dyDescent="0.25">
      <c r="A708" s="9"/>
      <c r="B708" s="189"/>
      <c r="C708" s="91"/>
      <c r="D708" s="91"/>
      <c r="E708" s="91"/>
      <c r="F708" s="91"/>
      <c r="G708" s="91"/>
      <c r="H708" s="91"/>
      <c r="I708" s="91"/>
      <c r="J708" s="91"/>
      <c r="K708" s="91"/>
      <c r="L708" s="91"/>
      <c r="M708" s="91"/>
      <c r="N708" s="91"/>
      <c r="O708" s="91"/>
      <c r="P708" s="91"/>
      <c r="Q708" s="91"/>
      <c r="R708" s="91"/>
      <c r="S708" s="91"/>
      <c r="T708" s="91"/>
      <c r="U708" s="91"/>
      <c r="V708" s="91"/>
      <c r="W708" s="91"/>
      <c r="X708" s="91"/>
      <c r="Y708" s="91"/>
      <c r="Z708" s="91"/>
    </row>
    <row r="709" spans="1:26" ht="15.75" customHeight="1" x14ac:dyDescent="0.25">
      <c r="A709" s="9"/>
      <c r="B709" s="189"/>
      <c r="C709" s="91"/>
      <c r="D709" s="91"/>
      <c r="E709" s="91"/>
      <c r="F709" s="91"/>
      <c r="G709" s="91"/>
      <c r="H709" s="91"/>
      <c r="I709" s="91"/>
      <c r="J709" s="91"/>
      <c r="K709" s="91"/>
      <c r="L709" s="91"/>
      <c r="M709" s="91"/>
      <c r="N709" s="91"/>
      <c r="O709" s="91"/>
      <c r="P709" s="91"/>
      <c r="Q709" s="91"/>
      <c r="R709" s="91"/>
      <c r="S709" s="91"/>
      <c r="T709" s="91"/>
      <c r="U709" s="91"/>
      <c r="V709" s="91"/>
      <c r="W709" s="91"/>
      <c r="X709" s="91"/>
      <c r="Y709" s="91"/>
      <c r="Z709" s="91"/>
    </row>
    <row r="710" spans="1:26" ht="15.75" customHeight="1" x14ac:dyDescent="0.25">
      <c r="A710" s="9"/>
      <c r="B710" s="189"/>
      <c r="C710" s="91"/>
      <c r="D710" s="91"/>
      <c r="E710" s="91"/>
      <c r="F710" s="91"/>
      <c r="G710" s="91"/>
      <c r="H710" s="91"/>
      <c r="I710" s="91"/>
      <c r="J710" s="91"/>
      <c r="K710" s="91"/>
      <c r="L710" s="91"/>
      <c r="M710" s="91"/>
      <c r="N710" s="91"/>
      <c r="O710" s="91"/>
      <c r="P710" s="91"/>
      <c r="Q710" s="91"/>
      <c r="R710" s="91"/>
      <c r="S710" s="91"/>
      <c r="T710" s="91"/>
      <c r="U710" s="91"/>
      <c r="V710" s="91"/>
      <c r="W710" s="91"/>
      <c r="X710" s="91"/>
      <c r="Y710" s="91"/>
      <c r="Z710" s="91"/>
    </row>
    <row r="711" spans="1:26" ht="15.75" customHeight="1" x14ac:dyDescent="0.25">
      <c r="A711" s="9"/>
      <c r="B711" s="189"/>
      <c r="C711" s="91"/>
      <c r="D711" s="91"/>
      <c r="E711" s="91"/>
      <c r="F711" s="91"/>
      <c r="G711" s="91"/>
      <c r="H711" s="91"/>
      <c r="I711" s="91"/>
      <c r="J711" s="91"/>
      <c r="K711" s="91"/>
      <c r="L711" s="91"/>
      <c r="M711" s="91"/>
      <c r="N711" s="91"/>
      <c r="O711" s="91"/>
      <c r="P711" s="91"/>
      <c r="Q711" s="91"/>
      <c r="R711" s="91"/>
      <c r="S711" s="91"/>
      <c r="T711" s="91"/>
      <c r="U711" s="91"/>
      <c r="V711" s="91"/>
      <c r="W711" s="91"/>
      <c r="X711" s="91"/>
      <c r="Y711" s="91"/>
      <c r="Z711" s="91"/>
    </row>
    <row r="712" spans="1:26" ht="15.75" customHeight="1" x14ac:dyDescent="0.25">
      <c r="A712" s="9"/>
      <c r="B712" s="189"/>
      <c r="C712" s="91"/>
      <c r="D712" s="91"/>
      <c r="E712" s="91"/>
      <c r="F712" s="91"/>
      <c r="G712" s="91"/>
      <c r="H712" s="91"/>
      <c r="I712" s="91"/>
      <c r="J712" s="91"/>
      <c r="K712" s="91"/>
      <c r="L712" s="91"/>
      <c r="M712" s="91"/>
      <c r="N712" s="91"/>
      <c r="O712" s="91"/>
      <c r="P712" s="91"/>
      <c r="Q712" s="91"/>
      <c r="R712" s="91"/>
      <c r="S712" s="91"/>
      <c r="T712" s="91"/>
      <c r="U712" s="91"/>
      <c r="V712" s="91"/>
      <c r="W712" s="91"/>
      <c r="X712" s="91"/>
      <c r="Y712" s="91"/>
      <c r="Z712" s="91"/>
    </row>
    <row r="713" spans="1:26" ht="15.75" customHeight="1" x14ac:dyDescent="0.25">
      <c r="A713" s="9"/>
      <c r="B713" s="189"/>
      <c r="C713" s="91"/>
      <c r="D713" s="91"/>
      <c r="E713" s="91"/>
      <c r="F713" s="91"/>
      <c r="G713" s="91"/>
      <c r="H713" s="91"/>
      <c r="I713" s="91"/>
      <c r="J713" s="91"/>
      <c r="K713" s="91"/>
      <c r="L713" s="91"/>
      <c r="M713" s="91"/>
      <c r="N713" s="91"/>
      <c r="O713" s="91"/>
      <c r="P713" s="91"/>
      <c r="Q713" s="91"/>
      <c r="R713" s="91"/>
      <c r="S713" s="91"/>
      <c r="T713" s="91"/>
      <c r="U713" s="91"/>
      <c r="V713" s="91"/>
      <c r="W713" s="91"/>
      <c r="X713" s="91"/>
      <c r="Y713" s="91"/>
      <c r="Z713" s="91"/>
    </row>
    <row r="714" spans="1:26" ht="15.75" customHeight="1" x14ac:dyDescent="0.25">
      <c r="A714" s="9"/>
      <c r="B714" s="189"/>
      <c r="C714" s="91"/>
      <c r="D714" s="91"/>
      <c r="E714" s="91"/>
      <c r="F714" s="91"/>
      <c r="G714" s="91"/>
      <c r="H714" s="91"/>
      <c r="I714" s="91"/>
      <c r="J714" s="91"/>
      <c r="K714" s="91"/>
      <c r="L714" s="91"/>
      <c r="M714" s="91"/>
      <c r="N714" s="91"/>
      <c r="O714" s="91"/>
      <c r="P714" s="91"/>
      <c r="Q714" s="91"/>
      <c r="R714" s="91"/>
      <c r="S714" s="91"/>
      <c r="T714" s="91"/>
      <c r="U714" s="91"/>
      <c r="V714" s="91"/>
      <c r="W714" s="91"/>
      <c r="X714" s="91"/>
      <c r="Y714" s="91"/>
      <c r="Z714" s="91"/>
    </row>
    <row r="715" spans="1:26" ht="15.75" customHeight="1" x14ac:dyDescent="0.25">
      <c r="A715" s="9"/>
      <c r="B715" s="189"/>
      <c r="C715" s="91"/>
      <c r="D715" s="91"/>
      <c r="E715" s="91"/>
      <c r="F715" s="91"/>
      <c r="G715" s="91"/>
      <c r="H715" s="91"/>
      <c r="I715" s="91"/>
      <c r="J715" s="91"/>
      <c r="K715" s="91"/>
      <c r="L715" s="91"/>
      <c r="M715" s="91"/>
      <c r="N715" s="91"/>
      <c r="O715" s="91"/>
      <c r="P715" s="91"/>
      <c r="Q715" s="91"/>
      <c r="R715" s="91"/>
      <c r="S715" s="91"/>
      <c r="T715" s="91"/>
      <c r="U715" s="91"/>
      <c r="V715" s="91"/>
      <c r="W715" s="91"/>
      <c r="X715" s="91"/>
      <c r="Y715" s="91"/>
      <c r="Z715" s="91"/>
    </row>
    <row r="716" spans="1:26" ht="15.75" customHeight="1" x14ac:dyDescent="0.25">
      <c r="A716" s="9"/>
      <c r="B716" s="189"/>
      <c r="C716" s="91"/>
      <c r="D716" s="91"/>
      <c r="E716" s="91"/>
      <c r="F716" s="91"/>
      <c r="G716" s="91"/>
      <c r="H716" s="91"/>
      <c r="I716" s="91"/>
      <c r="J716" s="91"/>
      <c r="K716" s="91"/>
      <c r="L716" s="91"/>
      <c r="M716" s="91"/>
      <c r="N716" s="91"/>
      <c r="O716" s="91"/>
      <c r="P716" s="91"/>
      <c r="Q716" s="91"/>
      <c r="R716" s="91"/>
      <c r="S716" s="91"/>
      <c r="T716" s="91"/>
      <c r="U716" s="91"/>
      <c r="V716" s="91"/>
      <c r="W716" s="91"/>
      <c r="X716" s="91"/>
      <c r="Y716" s="91"/>
      <c r="Z716" s="91"/>
    </row>
    <row r="717" spans="1:26" ht="15.75" customHeight="1" x14ac:dyDescent="0.25">
      <c r="A717" s="9"/>
      <c r="B717" s="189"/>
      <c r="C717" s="91"/>
      <c r="D717" s="91"/>
      <c r="E717" s="91"/>
      <c r="F717" s="91"/>
      <c r="G717" s="91"/>
      <c r="H717" s="91"/>
      <c r="I717" s="91"/>
      <c r="J717" s="91"/>
      <c r="K717" s="91"/>
      <c r="L717" s="91"/>
      <c r="M717" s="91"/>
      <c r="N717" s="91"/>
      <c r="O717" s="91"/>
      <c r="P717" s="91"/>
      <c r="Q717" s="91"/>
      <c r="R717" s="91"/>
      <c r="S717" s="91"/>
      <c r="T717" s="91"/>
      <c r="U717" s="91"/>
      <c r="V717" s="91"/>
      <c r="W717" s="91"/>
      <c r="X717" s="91"/>
      <c r="Y717" s="91"/>
      <c r="Z717" s="91"/>
    </row>
    <row r="718" spans="1:26" ht="15.75" customHeight="1" x14ac:dyDescent="0.25">
      <c r="A718" s="9"/>
      <c r="B718" s="189"/>
      <c r="C718" s="91"/>
      <c r="D718" s="91"/>
      <c r="E718" s="91"/>
      <c r="F718" s="91"/>
      <c r="G718" s="91"/>
      <c r="H718" s="91"/>
      <c r="I718" s="91"/>
      <c r="J718" s="91"/>
      <c r="K718" s="91"/>
      <c r="L718" s="91"/>
      <c r="M718" s="91"/>
      <c r="N718" s="91"/>
      <c r="O718" s="91"/>
      <c r="P718" s="91"/>
      <c r="Q718" s="91"/>
      <c r="R718" s="91"/>
      <c r="S718" s="91"/>
      <c r="T718" s="91"/>
      <c r="U718" s="91"/>
      <c r="V718" s="91"/>
      <c r="W718" s="91"/>
      <c r="X718" s="91"/>
      <c r="Y718" s="91"/>
      <c r="Z718" s="91"/>
    </row>
    <row r="719" spans="1:26" ht="15.75" customHeight="1" x14ac:dyDescent="0.25">
      <c r="A719" s="9"/>
      <c r="B719" s="189"/>
      <c r="C719" s="91"/>
      <c r="D719" s="91"/>
      <c r="E719" s="91"/>
      <c r="F719" s="91"/>
      <c r="G719" s="91"/>
      <c r="H719" s="91"/>
      <c r="I719" s="91"/>
      <c r="J719" s="91"/>
      <c r="K719" s="91"/>
      <c r="L719" s="91"/>
      <c r="M719" s="91"/>
      <c r="N719" s="91"/>
      <c r="O719" s="91"/>
      <c r="P719" s="91"/>
      <c r="Q719" s="91"/>
      <c r="R719" s="91"/>
      <c r="S719" s="91"/>
      <c r="T719" s="91"/>
      <c r="U719" s="91"/>
      <c r="V719" s="91"/>
      <c r="W719" s="91"/>
      <c r="X719" s="91"/>
      <c r="Y719" s="91"/>
      <c r="Z719" s="91"/>
    </row>
    <row r="720" spans="1:26" ht="15.75" customHeight="1" x14ac:dyDescent="0.25">
      <c r="A720" s="9"/>
      <c r="B720" s="189"/>
      <c r="C720" s="91"/>
      <c r="D720" s="91"/>
      <c r="E720" s="91"/>
      <c r="F720" s="91"/>
      <c r="G720" s="91"/>
      <c r="H720" s="91"/>
      <c r="I720" s="91"/>
      <c r="J720" s="91"/>
      <c r="K720" s="91"/>
      <c r="L720" s="91"/>
      <c r="M720" s="91"/>
      <c r="N720" s="91"/>
      <c r="O720" s="91"/>
      <c r="P720" s="91"/>
      <c r="Q720" s="91"/>
      <c r="R720" s="91"/>
      <c r="S720" s="91"/>
      <c r="T720" s="91"/>
      <c r="U720" s="91"/>
      <c r="V720" s="91"/>
      <c r="W720" s="91"/>
      <c r="X720" s="91"/>
      <c r="Y720" s="91"/>
      <c r="Z720" s="91"/>
    </row>
    <row r="721" spans="1:26" ht="15.75" customHeight="1" x14ac:dyDescent="0.25">
      <c r="A721" s="9"/>
      <c r="B721" s="189"/>
      <c r="C721" s="91"/>
      <c r="D721" s="91"/>
      <c r="E721" s="91"/>
      <c r="F721" s="91"/>
      <c r="G721" s="91"/>
      <c r="H721" s="91"/>
      <c r="I721" s="91"/>
      <c r="J721" s="91"/>
      <c r="K721" s="91"/>
      <c r="L721" s="91"/>
      <c r="M721" s="91"/>
      <c r="N721" s="91"/>
      <c r="O721" s="91"/>
      <c r="P721" s="91"/>
      <c r="Q721" s="91"/>
      <c r="R721" s="91"/>
      <c r="S721" s="91"/>
      <c r="T721" s="91"/>
      <c r="U721" s="91"/>
      <c r="V721" s="91"/>
      <c r="W721" s="91"/>
      <c r="X721" s="91"/>
      <c r="Y721" s="91"/>
      <c r="Z721" s="91"/>
    </row>
    <row r="722" spans="1:26" ht="15.75" customHeight="1" x14ac:dyDescent="0.25">
      <c r="A722" s="9"/>
      <c r="B722" s="189"/>
      <c r="C722" s="91"/>
      <c r="D722" s="91"/>
      <c r="E722" s="91"/>
      <c r="F722" s="91"/>
      <c r="G722" s="91"/>
      <c r="H722" s="91"/>
      <c r="I722" s="91"/>
      <c r="J722" s="91"/>
      <c r="K722" s="91"/>
      <c r="L722" s="91"/>
      <c r="M722" s="91"/>
      <c r="N722" s="91"/>
      <c r="O722" s="91"/>
      <c r="P722" s="91"/>
      <c r="Q722" s="91"/>
      <c r="R722" s="91"/>
      <c r="S722" s="91"/>
      <c r="T722" s="91"/>
      <c r="U722" s="91"/>
      <c r="V722" s="91"/>
      <c r="W722" s="91"/>
      <c r="X722" s="91"/>
      <c r="Y722" s="91"/>
      <c r="Z722" s="91"/>
    </row>
    <row r="723" spans="1:26" ht="15.75" customHeight="1" x14ac:dyDescent="0.25">
      <c r="A723" s="9"/>
      <c r="B723" s="189"/>
      <c r="C723" s="91"/>
      <c r="D723" s="91"/>
      <c r="E723" s="91"/>
      <c r="F723" s="91"/>
      <c r="G723" s="91"/>
      <c r="H723" s="91"/>
      <c r="I723" s="91"/>
      <c r="J723" s="91"/>
      <c r="K723" s="91"/>
      <c r="L723" s="91"/>
      <c r="M723" s="91"/>
      <c r="N723" s="91"/>
      <c r="O723" s="91"/>
      <c r="P723" s="91"/>
      <c r="Q723" s="91"/>
      <c r="R723" s="91"/>
      <c r="S723" s="91"/>
      <c r="T723" s="91"/>
      <c r="U723" s="91"/>
      <c r="V723" s="91"/>
      <c r="W723" s="91"/>
      <c r="X723" s="91"/>
      <c r="Y723" s="91"/>
      <c r="Z723" s="91"/>
    </row>
    <row r="724" spans="1:26" ht="15.75" customHeight="1" x14ac:dyDescent="0.25">
      <c r="A724" s="9"/>
      <c r="B724" s="189"/>
      <c r="C724" s="91"/>
      <c r="D724" s="91"/>
      <c r="E724" s="91"/>
      <c r="F724" s="91"/>
      <c r="G724" s="91"/>
      <c r="H724" s="91"/>
      <c r="I724" s="91"/>
      <c r="J724" s="91"/>
      <c r="K724" s="91"/>
      <c r="L724" s="91"/>
      <c r="M724" s="91"/>
      <c r="N724" s="91"/>
      <c r="O724" s="91"/>
      <c r="P724" s="91"/>
      <c r="Q724" s="91"/>
      <c r="R724" s="91"/>
      <c r="S724" s="91"/>
      <c r="T724" s="91"/>
      <c r="U724" s="91"/>
      <c r="V724" s="91"/>
      <c r="W724" s="91"/>
      <c r="X724" s="91"/>
      <c r="Y724" s="91"/>
      <c r="Z724" s="91"/>
    </row>
    <row r="725" spans="1:26" ht="15.75" customHeight="1" x14ac:dyDescent="0.25">
      <c r="A725" s="9"/>
      <c r="B725" s="189"/>
      <c r="C725" s="91"/>
      <c r="D725" s="91"/>
      <c r="E725" s="91"/>
      <c r="F725" s="91"/>
      <c r="G725" s="91"/>
      <c r="H725" s="91"/>
      <c r="I725" s="91"/>
      <c r="J725" s="91"/>
      <c r="K725" s="91"/>
      <c r="L725" s="91"/>
      <c r="M725" s="91"/>
      <c r="N725" s="91"/>
      <c r="O725" s="91"/>
      <c r="P725" s="91"/>
      <c r="Q725" s="91"/>
      <c r="R725" s="91"/>
      <c r="S725" s="91"/>
      <c r="T725" s="91"/>
      <c r="U725" s="91"/>
      <c r="V725" s="91"/>
      <c r="W725" s="91"/>
      <c r="X725" s="91"/>
      <c r="Y725" s="91"/>
      <c r="Z725" s="91"/>
    </row>
    <row r="726" spans="1:26" ht="15.75" customHeight="1" x14ac:dyDescent="0.25">
      <c r="A726" s="9"/>
      <c r="B726" s="189"/>
      <c r="C726" s="91"/>
      <c r="D726" s="91"/>
      <c r="E726" s="91"/>
      <c r="F726" s="91"/>
      <c r="G726" s="91"/>
      <c r="H726" s="91"/>
      <c r="I726" s="91"/>
      <c r="J726" s="91"/>
      <c r="K726" s="91"/>
      <c r="L726" s="91"/>
      <c r="M726" s="91"/>
      <c r="N726" s="91"/>
      <c r="O726" s="91"/>
      <c r="P726" s="91"/>
      <c r="Q726" s="91"/>
      <c r="R726" s="91"/>
      <c r="S726" s="91"/>
      <c r="T726" s="91"/>
      <c r="U726" s="91"/>
      <c r="V726" s="91"/>
      <c r="W726" s="91"/>
      <c r="X726" s="91"/>
      <c r="Y726" s="91"/>
      <c r="Z726" s="91"/>
    </row>
    <row r="727" spans="1:26" ht="15.75" customHeight="1" x14ac:dyDescent="0.25">
      <c r="A727" s="9"/>
      <c r="B727" s="189"/>
      <c r="C727" s="91"/>
      <c r="D727" s="91"/>
      <c r="E727" s="91"/>
      <c r="F727" s="91"/>
      <c r="G727" s="91"/>
      <c r="H727" s="91"/>
      <c r="I727" s="91"/>
      <c r="J727" s="91"/>
      <c r="K727" s="91"/>
      <c r="L727" s="91"/>
      <c r="M727" s="91"/>
      <c r="N727" s="91"/>
      <c r="O727" s="91"/>
      <c r="P727" s="91"/>
      <c r="Q727" s="91"/>
      <c r="R727" s="91"/>
      <c r="S727" s="91"/>
      <c r="T727" s="91"/>
      <c r="U727" s="91"/>
      <c r="V727" s="91"/>
      <c r="W727" s="91"/>
      <c r="X727" s="91"/>
      <c r="Y727" s="91"/>
      <c r="Z727" s="91"/>
    </row>
    <row r="728" spans="1:26" ht="15.75" customHeight="1" x14ac:dyDescent="0.25">
      <c r="A728" s="9"/>
      <c r="B728" s="189"/>
      <c r="C728" s="91"/>
      <c r="D728" s="91"/>
      <c r="E728" s="91"/>
      <c r="F728" s="91"/>
      <c r="G728" s="91"/>
      <c r="H728" s="91"/>
      <c r="I728" s="91"/>
      <c r="J728" s="91"/>
      <c r="K728" s="91"/>
      <c r="L728" s="91"/>
      <c r="M728" s="91"/>
      <c r="N728" s="91"/>
      <c r="O728" s="91"/>
      <c r="P728" s="91"/>
      <c r="Q728" s="91"/>
      <c r="R728" s="91"/>
      <c r="S728" s="91"/>
      <c r="T728" s="91"/>
      <c r="U728" s="91"/>
      <c r="V728" s="91"/>
      <c r="W728" s="91"/>
      <c r="X728" s="91"/>
      <c r="Y728" s="91"/>
      <c r="Z728" s="91"/>
    </row>
    <row r="729" spans="1:26" ht="15.75" customHeight="1" x14ac:dyDescent="0.25">
      <c r="A729" s="9"/>
      <c r="B729" s="189"/>
      <c r="C729" s="91"/>
      <c r="D729" s="91"/>
      <c r="E729" s="91"/>
      <c r="F729" s="91"/>
      <c r="G729" s="91"/>
      <c r="H729" s="91"/>
      <c r="I729" s="91"/>
      <c r="J729" s="91"/>
      <c r="K729" s="91"/>
      <c r="L729" s="91"/>
      <c r="M729" s="91"/>
      <c r="N729" s="91"/>
      <c r="O729" s="91"/>
      <c r="P729" s="91"/>
      <c r="Q729" s="91"/>
      <c r="R729" s="91"/>
      <c r="S729" s="91"/>
      <c r="T729" s="91"/>
      <c r="U729" s="91"/>
      <c r="V729" s="91"/>
      <c r="W729" s="91"/>
      <c r="X729" s="91"/>
      <c r="Y729" s="91"/>
      <c r="Z729" s="91"/>
    </row>
    <row r="730" spans="1:26" ht="15.75" customHeight="1" x14ac:dyDescent="0.25">
      <c r="A730" s="9"/>
      <c r="B730" s="189"/>
      <c r="C730" s="91"/>
      <c r="D730" s="91"/>
      <c r="E730" s="91"/>
      <c r="F730" s="91"/>
      <c r="G730" s="91"/>
      <c r="H730" s="91"/>
      <c r="I730" s="91"/>
      <c r="J730" s="91"/>
      <c r="K730" s="91"/>
      <c r="L730" s="91"/>
      <c r="M730" s="91"/>
      <c r="N730" s="91"/>
      <c r="O730" s="91"/>
      <c r="P730" s="91"/>
      <c r="Q730" s="91"/>
      <c r="R730" s="91"/>
      <c r="S730" s="91"/>
      <c r="T730" s="91"/>
      <c r="U730" s="91"/>
      <c r="V730" s="91"/>
      <c r="W730" s="91"/>
      <c r="X730" s="91"/>
      <c r="Y730" s="91"/>
      <c r="Z730" s="91"/>
    </row>
    <row r="731" spans="1:26" ht="15.75" customHeight="1" x14ac:dyDescent="0.25">
      <c r="A731" s="9"/>
      <c r="B731" s="189"/>
      <c r="C731" s="91"/>
      <c r="D731" s="91"/>
      <c r="E731" s="91"/>
      <c r="F731" s="91"/>
      <c r="G731" s="91"/>
      <c r="H731" s="91"/>
      <c r="I731" s="91"/>
      <c r="J731" s="91"/>
      <c r="K731" s="91"/>
      <c r="L731" s="91"/>
      <c r="M731" s="91"/>
      <c r="N731" s="91"/>
      <c r="O731" s="91"/>
      <c r="P731" s="91"/>
      <c r="Q731" s="91"/>
      <c r="R731" s="91"/>
      <c r="S731" s="91"/>
      <c r="T731" s="91"/>
      <c r="U731" s="91"/>
      <c r="V731" s="91"/>
      <c r="W731" s="91"/>
      <c r="X731" s="91"/>
      <c r="Y731" s="91"/>
      <c r="Z731" s="91"/>
    </row>
    <row r="732" spans="1:26" ht="15.75" customHeight="1" x14ac:dyDescent="0.25">
      <c r="A732" s="9"/>
      <c r="B732" s="189"/>
      <c r="C732" s="91"/>
      <c r="D732" s="91"/>
      <c r="E732" s="91"/>
      <c r="F732" s="91"/>
      <c r="G732" s="91"/>
      <c r="H732" s="91"/>
      <c r="I732" s="91"/>
      <c r="J732" s="91"/>
      <c r="K732" s="91"/>
      <c r="L732" s="91"/>
      <c r="M732" s="91"/>
      <c r="N732" s="91"/>
      <c r="O732" s="91"/>
      <c r="P732" s="91"/>
      <c r="Q732" s="91"/>
      <c r="R732" s="91"/>
      <c r="S732" s="91"/>
      <c r="T732" s="91"/>
      <c r="U732" s="91"/>
      <c r="V732" s="91"/>
      <c r="W732" s="91"/>
      <c r="X732" s="91"/>
      <c r="Y732" s="91"/>
      <c r="Z732" s="91"/>
    </row>
    <row r="733" spans="1:26" ht="15.75" customHeight="1" x14ac:dyDescent="0.25">
      <c r="A733" s="9"/>
      <c r="B733" s="189"/>
      <c r="C733" s="91"/>
      <c r="D733" s="91"/>
      <c r="E733" s="91"/>
      <c r="F733" s="91"/>
      <c r="G733" s="91"/>
      <c r="H733" s="91"/>
      <c r="I733" s="91"/>
      <c r="J733" s="91"/>
      <c r="K733" s="91"/>
      <c r="L733" s="91"/>
      <c r="M733" s="91"/>
      <c r="N733" s="91"/>
      <c r="O733" s="91"/>
      <c r="P733" s="91"/>
      <c r="Q733" s="91"/>
      <c r="R733" s="91"/>
      <c r="S733" s="91"/>
      <c r="T733" s="91"/>
      <c r="U733" s="91"/>
      <c r="V733" s="91"/>
      <c r="W733" s="91"/>
      <c r="X733" s="91"/>
      <c r="Y733" s="91"/>
      <c r="Z733" s="91"/>
    </row>
    <row r="734" spans="1:26" ht="15.75" customHeight="1" x14ac:dyDescent="0.25">
      <c r="A734" s="9"/>
      <c r="B734" s="189"/>
      <c r="C734" s="91"/>
      <c r="D734" s="91"/>
      <c r="E734" s="91"/>
      <c r="F734" s="91"/>
      <c r="G734" s="91"/>
      <c r="H734" s="91"/>
      <c r="I734" s="91"/>
      <c r="J734" s="91"/>
      <c r="K734" s="91"/>
      <c r="L734" s="91"/>
      <c r="M734" s="91"/>
      <c r="N734" s="91"/>
      <c r="O734" s="91"/>
      <c r="P734" s="91"/>
      <c r="Q734" s="91"/>
      <c r="R734" s="91"/>
      <c r="S734" s="91"/>
      <c r="T734" s="91"/>
      <c r="U734" s="91"/>
      <c r="V734" s="91"/>
      <c r="W734" s="91"/>
      <c r="X734" s="91"/>
      <c r="Y734" s="91"/>
      <c r="Z734" s="91"/>
    </row>
    <row r="735" spans="1:26" ht="15.75" customHeight="1" x14ac:dyDescent="0.25">
      <c r="A735" s="9"/>
      <c r="B735" s="189"/>
      <c r="C735" s="91"/>
      <c r="D735" s="91"/>
      <c r="E735" s="91"/>
      <c r="F735" s="91"/>
      <c r="G735" s="91"/>
      <c r="H735" s="91"/>
      <c r="I735" s="91"/>
      <c r="J735" s="91"/>
      <c r="K735" s="91"/>
      <c r="L735" s="91"/>
      <c r="M735" s="91"/>
      <c r="N735" s="91"/>
      <c r="O735" s="91"/>
      <c r="P735" s="91"/>
      <c r="Q735" s="91"/>
      <c r="R735" s="91"/>
      <c r="S735" s="91"/>
      <c r="T735" s="91"/>
      <c r="U735" s="91"/>
      <c r="V735" s="91"/>
      <c r="W735" s="91"/>
      <c r="X735" s="91"/>
      <c r="Y735" s="91"/>
      <c r="Z735" s="91"/>
    </row>
    <row r="736" spans="1:26" ht="15.75" customHeight="1" x14ac:dyDescent="0.25">
      <c r="A736" s="9"/>
      <c r="B736" s="189"/>
      <c r="C736" s="91"/>
      <c r="D736" s="91"/>
      <c r="E736" s="91"/>
      <c r="F736" s="91"/>
      <c r="G736" s="91"/>
      <c r="H736" s="91"/>
      <c r="I736" s="91"/>
      <c r="J736" s="91"/>
      <c r="K736" s="91"/>
      <c r="L736" s="91"/>
      <c r="M736" s="91"/>
      <c r="N736" s="91"/>
      <c r="O736" s="91"/>
      <c r="P736" s="91"/>
      <c r="Q736" s="91"/>
      <c r="R736" s="91"/>
      <c r="S736" s="91"/>
      <c r="T736" s="91"/>
      <c r="U736" s="91"/>
      <c r="V736" s="91"/>
      <c r="W736" s="91"/>
      <c r="X736" s="91"/>
      <c r="Y736" s="91"/>
      <c r="Z736" s="91"/>
    </row>
    <row r="737" spans="1:26" ht="15.75" customHeight="1" x14ac:dyDescent="0.25">
      <c r="A737" s="9"/>
      <c r="B737" s="189"/>
      <c r="C737" s="91"/>
      <c r="D737" s="91"/>
      <c r="E737" s="91"/>
      <c r="F737" s="91"/>
      <c r="G737" s="91"/>
      <c r="H737" s="91"/>
      <c r="I737" s="91"/>
      <c r="J737" s="91"/>
      <c r="K737" s="91"/>
      <c r="L737" s="91"/>
      <c r="M737" s="91"/>
      <c r="N737" s="91"/>
      <c r="O737" s="91"/>
      <c r="P737" s="91"/>
      <c r="Q737" s="91"/>
      <c r="R737" s="91"/>
      <c r="S737" s="91"/>
      <c r="T737" s="91"/>
      <c r="U737" s="91"/>
      <c r="V737" s="91"/>
      <c r="W737" s="91"/>
      <c r="X737" s="91"/>
      <c r="Y737" s="91"/>
      <c r="Z737" s="91"/>
    </row>
    <row r="738" spans="1:26" ht="15.75" customHeight="1" x14ac:dyDescent="0.25">
      <c r="A738" s="9"/>
      <c r="B738" s="189"/>
      <c r="C738" s="91"/>
      <c r="D738" s="91"/>
      <c r="E738" s="91"/>
      <c r="F738" s="91"/>
      <c r="G738" s="91"/>
      <c r="H738" s="91"/>
      <c r="I738" s="91"/>
      <c r="J738" s="91"/>
      <c r="K738" s="91"/>
      <c r="L738" s="91"/>
      <c r="M738" s="91"/>
      <c r="N738" s="91"/>
      <c r="O738" s="91"/>
      <c r="P738" s="91"/>
      <c r="Q738" s="91"/>
      <c r="R738" s="91"/>
      <c r="S738" s="91"/>
      <c r="T738" s="91"/>
      <c r="U738" s="91"/>
      <c r="V738" s="91"/>
      <c r="W738" s="91"/>
      <c r="X738" s="91"/>
      <c r="Y738" s="91"/>
      <c r="Z738" s="91"/>
    </row>
    <row r="739" spans="1:26" ht="15.75" customHeight="1" x14ac:dyDescent="0.25">
      <c r="A739" s="9"/>
      <c r="B739" s="189"/>
      <c r="C739" s="91"/>
      <c r="D739" s="91"/>
      <c r="E739" s="91"/>
      <c r="F739" s="91"/>
      <c r="G739" s="91"/>
      <c r="H739" s="91"/>
      <c r="I739" s="91"/>
      <c r="J739" s="91"/>
      <c r="K739" s="91"/>
      <c r="L739" s="91"/>
      <c r="M739" s="91"/>
      <c r="N739" s="91"/>
      <c r="O739" s="91"/>
      <c r="P739" s="91"/>
      <c r="Q739" s="91"/>
      <c r="R739" s="91"/>
      <c r="S739" s="91"/>
      <c r="T739" s="91"/>
      <c r="U739" s="91"/>
      <c r="V739" s="91"/>
      <c r="W739" s="91"/>
      <c r="X739" s="91"/>
      <c r="Y739" s="91"/>
      <c r="Z739" s="91"/>
    </row>
    <row r="740" spans="1:26" ht="15.75" customHeight="1" x14ac:dyDescent="0.25">
      <c r="A740" s="9"/>
      <c r="B740" s="189"/>
      <c r="C740" s="91"/>
      <c r="D740" s="91"/>
      <c r="E740" s="91"/>
      <c r="F740" s="91"/>
      <c r="G740" s="91"/>
      <c r="H740" s="91"/>
      <c r="I740" s="91"/>
      <c r="J740" s="91"/>
      <c r="K740" s="91"/>
      <c r="L740" s="91"/>
      <c r="M740" s="91"/>
      <c r="N740" s="91"/>
      <c r="O740" s="91"/>
      <c r="P740" s="91"/>
      <c r="Q740" s="91"/>
      <c r="R740" s="91"/>
      <c r="S740" s="91"/>
      <c r="T740" s="91"/>
      <c r="U740" s="91"/>
      <c r="V740" s="91"/>
      <c r="W740" s="91"/>
      <c r="X740" s="91"/>
      <c r="Y740" s="91"/>
      <c r="Z740" s="91"/>
    </row>
    <row r="741" spans="1:26" ht="15.75" customHeight="1" x14ac:dyDescent="0.25">
      <c r="A741" s="9"/>
      <c r="B741" s="189"/>
      <c r="C741" s="91"/>
      <c r="D741" s="91"/>
      <c r="E741" s="91"/>
      <c r="F741" s="91"/>
      <c r="G741" s="91"/>
      <c r="H741" s="91"/>
      <c r="I741" s="91"/>
      <c r="J741" s="91"/>
      <c r="K741" s="91"/>
      <c r="L741" s="91"/>
      <c r="M741" s="91"/>
      <c r="N741" s="91"/>
      <c r="O741" s="91"/>
      <c r="P741" s="91"/>
      <c r="Q741" s="91"/>
      <c r="R741" s="91"/>
      <c r="S741" s="91"/>
      <c r="T741" s="91"/>
      <c r="U741" s="91"/>
      <c r="V741" s="91"/>
      <c r="W741" s="91"/>
      <c r="X741" s="91"/>
      <c r="Y741" s="91"/>
      <c r="Z741" s="91"/>
    </row>
    <row r="742" spans="1:26" ht="15.75" customHeight="1" x14ac:dyDescent="0.25">
      <c r="A742" s="9"/>
      <c r="B742" s="189"/>
      <c r="C742" s="91"/>
      <c r="D742" s="91"/>
      <c r="E742" s="91"/>
      <c r="F742" s="91"/>
      <c r="G742" s="91"/>
      <c r="H742" s="91"/>
      <c r="I742" s="91"/>
      <c r="J742" s="91"/>
      <c r="K742" s="91"/>
      <c r="L742" s="91"/>
      <c r="M742" s="91"/>
      <c r="N742" s="91"/>
      <c r="O742" s="91"/>
      <c r="P742" s="91"/>
      <c r="Q742" s="91"/>
      <c r="R742" s="91"/>
      <c r="S742" s="91"/>
      <c r="T742" s="91"/>
      <c r="U742" s="91"/>
      <c r="V742" s="91"/>
      <c r="W742" s="91"/>
      <c r="X742" s="91"/>
      <c r="Y742" s="91"/>
      <c r="Z742" s="91"/>
    </row>
    <row r="743" spans="1:26" ht="15.75" customHeight="1" x14ac:dyDescent="0.25">
      <c r="A743" s="9"/>
      <c r="B743" s="189"/>
      <c r="C743" s="91"/>
      <c r="D743" s="91"/>
      <c r="E743" s="91"/>
      <c r="F743" s="91"/>
      <c r="G743" s="91"/>
      <c r="H743" s="91"/>
      <c r="I743" s="91"/>
      <c r="J743" s="91"/>
      <c r="K743" s="91"/>
      <c r="L743" s="91"/>
      <c r="M743" s="91"/>
      <c r="N743" s="91"/>
      <c r="O743" s="91"/>
      <c r="P743" s="91"/>
      <c r="Q743" s="91"/>
      <c r="R743" s="91"/>
      <c r="S743" s="91"/>
      <c r="T743" s="91"/>
      <c r="U743" s="91"/>
      <c r="V743" s="91"/>
      <c r="W743" s="91"/>
      <c r="X743" s="91"/>
      <c r="Y743" s="91"/>
      <c r="Z743" s="91"/>
    </row>
    <row r="744" spans="1:26" ht="15.75" customHeight="1" x14ac:dyDescent="0.25">
      <c r="A744" s="9"/>
      <c r="B744" s="189"/>
      <c r="C744" s="91"/>
      <c r="D744" s="91"/>
      <c r="E744" s="91"/>
      <c r="F744" s="91"/>
      <c r="G744" s="91"/>
      <c r="H744" s="91"/>
      <c r="I744" s="91"/>
      <c r="J744" s="91"/>
      <c r="K744" s="91"/>
      <c r="L744" s="91"/>
      <c r="M744" s="91"/>
      <c r="N744" s="91"/>
      <c r="O744" s="91"/>
      <c r="P744" s="91"/>
      <c r="Q744" s="91"/>
      <c r="R744" s="91"/>
      <c r="S744" s="91"/>
      <c r="T744" s="91"/>
      <c r="U744" s="91"/>
      <c r="V744" s="91"/>
      <c r="W744" s="91"/>
      <c r="X744" s="91"/>
      <c r="Y744" s="91"/>
      <c r="Z744" s="91"/>
    </row>
    <row r="745" spans="1:26" ht="15.75" customHeight="1" x14ac:dyDescent="0.25">
      <c r="A745" s="9"/>
      <c r="B745" s="189"/>
      <c r="C745" s="91"/>
      <c r="D745" s="91"/>
      <c r="E745" s="91"/>
      <c r="F745" s="91"/>
      <c r="G745" s="91"/>
      <c r="H745" s="91"/>
      <c r="I745" s="91"/>
      <c r="J745" s="91"/>
      <c r="K745" s="91"/>
      <c r="L745" s="91"/>
      <c r="M745" s="91"/>
      <c r="N745" s="91"/>
      <c r="O745" s="91"/>
      <c r="P745" s="91"/>
      <c r="Q745" s="91"/>
      <c r="R745" s="91"/>
      <c r="S745" s="91"/>
      <c r="T745" s="91"/>
      <c r="U745" s="91"/>
      <c r="V745" s="91"/>
      <c r="W745" s="91"/>
      <c r="X745" s="91"/>
      <c r="Y745" s="91"/>
      <c r="Z745" s="91"/>
    </row>
    <row r="746" spans="1:26" ht="15.75" customHeight="1" x14ac:dyDescent="0.25">
      <c r="A746" s="9"/>
      <c r="B746" s="189"/>
      <c r="C746" s="91"/>
      <c r="D746" s="91"/>
      <c r="E746" s="91"/>
      <c r="F746" s="91"/>
      <c r="G746" s="91"/>
      <c r="H746" s="91"/>
      <c r="I746" s="91"/>
      <c r="J746" s="91"/>
      <c r="K746" s="91"/>
      <c r="L746" s="91"/>
      <c r="M746" s="91"/>
      <c r="N746" s="91"/>
      <c r="O746" s="91"/>
      <c r="P746" s="91"/>
      <c r="Q746" s="91"/>
      <c r="R746" s="91"/>
      <c r="S746" s="91"/>
      <c r="T746" s="91"/>
      <c r="U746" s="91"/>
      <c r="V746" s="91"/>
      <c r="W746" s="91"/>
      <c r="X746" s="91"/>
      <c r="Y746" s="91"/>
      <c r="Z746" s="91"/>
    </row>
    <row r="747" spans="1:26" ht="15.75" customHeight="1" x14ac:dyDescent="0.25">
      <c r="A747" s="9"/>
      <c r="B747" s="189"/>
      <c r="C747" s="91"/>
      <c r="D747" s="91"/>
      <c r="E747" s="91"/>
      <c r="F747" s="91"/>
      <c r="G747" s="91"/>
      <c r="H747" s="91"/>
      <c r="I747" s="91"/>
      <c r="J747" s="91"/>
      <c r="K747" s="91"/>
      <c r="L747" s="91"/>
      <c r="M747" s="91"/>
      <c r="N747" s="91"/>
      <c r="O747" s="91"/>
      <c r="P747" s="91"/>
      <c r="Q747" s="91"/>
      <c r="R747" s="91"/>
      <c r="S747" s="91"/>
      <c r="T747" s="91"/>
      <c r="U747" s="91"/>
      <c r="V747" s="91"/>
      <c r="W747" s="91"/>
      <c r="X747" s="91"/>
      <c r="Y747" s="91"/>
      <c r="Z747" s="91"/>
    </row>
    <row r="748" spans="1:26" ht="15.75" customHeight="1" x14ac:dyDescent="0.25">
      <c r="A748" s="9"/>
      <c r="B748" s="189"/>
      <c r="C748" s="91"/>
      <c r="D748" s="91"/>
      <c r="E748" s="91"/>
      <c r="F748" s="91"/>
      <c r="G748" s="91"/>
      <c r="H748" s="91"/>
      <c r="I748" s="91"/>
      <c r="J748" s="91"/>
      <c r="K748" s="91"/>
      <c r="L748" s="91"/>
      <c r="M748" s="91"/>
      <c r="N748" s="91"/>
      <c r="O748" s="91"/>
      <c r="P748" s="91"/>
      <c r="Q748" s="91"/>
      <c r="R748" s="91"/>
      <c r="S748" s="91"/>
      <c r="T748" s="91"/>
      <c r="U748" s="91"/>
      <c r="V748" s="91"/>
      <c r="W748" s="91"/>
      <c r="X748" s="91"/>
      <c r="Y748" s="91"/>
      <c r="Z748" s="91"/>
    </row>
    <row r="749" spans="1:26" ht="15.75" customHeight="1" x14ac:dyDescent="0.25">
      <c r="A749" s="9"/>
      <c r="B749" s="189"/>
      <c r="C749" s="91"/>
      <c r="D749" s="91"/>
      <c r="E749" s="91"/>
      <c r="F749" s="91"/>
      <c r="G749" s="91"/>
      <c r="H749" s="91"/>
      <c r="I749" s="91"/>
      <c r="J749" s="91"/>
      <c r="K749" s="91"/>
      <c r="L749" s="91"/>
      <c r="M749" s="91"/>
      <c r="N749" s="91"/>
      <c r="O749" s="91"/>
      <c r="P749" s="91"/>
      <c r="Q749" s="91"/>
      <c r="R749" s="91"/>
      <c r="S749" s="91"/>
      <c r="T749" s="91"/>
      <c r="U749" s="91"/>
      <c r="V749" s="91"/>
      <c r="W749" s="91"/>
      <c r="X749" s="91"/>
      <c r="Y749" s="91"/>
      <c r="Z749" s="91"/>
    </row>
    <row r="750" spans="1:26" ht="15.75" customHeight="1" x14ac:dyDescent="0.25">
      <c r="A750" s="9"/>
      <c r="B750" s="189"/>
      <c r="C750" s="91"/>
      <c r="D750" s="91"/>
      <c r="E750" s="91"/>
      <c r="F750" s="91"/>
      <c r="G750" s="91"/>
      <c r="H750" s="91"/>
      <c r="I750" s="91"/>
      <c r="J750" s="91"/>
      <c r="K750" s="91"/>
      <c r="L750" s="91"/>
      <c r="M750" s="91"/>
      <c r="N750" s="91"/>
      <c r="O750" s="91"/>
      <c r="P750" s="91"/>
      <c r="Q750" s="91"/>
      <c r="R750" s="91"/>
      <c r="S750" s="91"/>
      <c r="T750" s="91"/>
      <c r="U750" s="91"/>
      <c r="V750" s="91"/>
      <c r="W750" s="91"/>
      <c r="X750" s="91"/>
      <c r="Y750" s="91"/>
      <c r="Z750" s="91"/>
    </row>
    <row r="751" spans="1:26" ht="15.75" customHeight="1" x14ac:dyDescent="0.25">
      <c r="A751" s="9"/>
      <c r="B751" s="189"/>
      <c r="C751" s="91"/>
      <c r="D751" s="91"/>
      <c r="E751" s="91"/>
      <c r="F751" s="91"/>
      <c r="G751" s="91"/>
      <c r="H751" s="91"/>
      <c r="I751" s="91"/>
      <c r="J751" s="91"/>
      <c r="K751" s="91"/>
      <c r="L751" s="91"/>
      <c r="M751" s="91"/>
      <c r="N751" s="91"/>
      <c r="O751" s="91"/>
      <c r="P751" s="91"/>
      <c r="Q751" s="91"/>
      <c r="R751" s="91"/>
      <c r="S751" s="91"/>
      <c r="T751" s="91"/>
      <c r="U751" s="91"/>
      <c r="V751" s="91"/>
      <c r="W751" s="91"/>
      <c r="X751" s="91"/>
      <c r="Y751" s="91"/>
      <c r="Z751" s="91"/>
    </row>
    <row r="752" spans="1:26" ht="15.75" customHeight="1" x14ac:dyDescent="0.25">
      <c r="A752" s="9"/>
      <c r="B752" s="189"/>
      <c r="C752" s="91"/>
      <c r="D752" s="91"/>
      <c r="E752" s="91"/>
      <c r="F752" s="91"/>
      <c r="G752" s="91"/>
      <c r="H752" s="91"/>
      <c r="I752" s="91"/>
      <c r="J752" s="91"/>
      <c r="K752" s="91"/>
      <c r="L752" s="91"/>
      <c r="M752" s="91"/>
      <c r="N752" s="91"/>
      <c r="O752" s="91"/>
      <c r="P752" s="91"/>
      <c r="Q752" s="91"/>
      <c r="R752" s="91"/>
      <c r="S752" s="91"/>
      <c r="T752" s="91"/>
      <c r="U752" s="91"/>
      <c r="V752" s="91"/>
      <c r="W752" s="91"/>
      <c r="X752" s="91"/>
      <c r="Y752" s="91"/>
      <c r="Z752" s="91"/>
    </row>
    <row r="753" spans="1:26" ht="15.75" customHeight="1" x14ac:dyDescent="0.25">
      <c r="A753" s="9"/>
      <c r="B753" s="189"/>
      <c r="C753" s="91"/>
      <c r="D753" s="91"/>
      <c r="E753" s="91"/>
      <c r="F753" s="91"/>
      <c r="G753" s="91"/>
      <c r="H753" s="91"/>
      <c r="I753" s="91"/>
      <c r="J753" s="91"/>
      <c r="K753" s="91"/>
      <c r="L753" s="91"/>
      <c r="M753" s="91"/>
      <c r="N753" s="91"/>
      <c r="O753" s="91"/>
      <c r="P753" s="91"/>
      <c r="Q753" s="91"/>
      <c r="R753" s="91"/>
      <c r="S753" s="91"/>
      <c r="T753" s="91"/>
      <c r="U753" s="91"/>
      <c r="V753" s="91"/>
      <c r="W753" s="91"/>
      <c r="X753" s="91"/>
      <c r="Y753" s="91"/>
      <c r="Z753" s="91"/>
    </row>
    <row r="754" spans="1:26" ht="15.75" customHeight="1" x14ac:dyDescent="0.25">
      <c r="A754" s="9"/>
      <c r="B754" s="189"/>
      <c r="C754" s="91"/>
      <c r="D754" s="91"/>
      <c r="E754" s="91"/>
      <c r="F754" s="91"/>
      <c r="G754" s="91"/>
      <c r="H754" s="91"/>
      <c r="I754" s="91"/>
      <c r="J754" s="91"/>
      <c r="K754" s="91"/>
      <c r="L754" s="91"/>
      <c r="M754" s="91"/>
      <c r="N754" s="91"/>
      <c r="O754" s="91"/>
      <c r="P754" s="91"/>
      <c r="Q754" s="91"/>
      <c r="R754" s="91"/>
      <c r="S754" s="91"/>
      <c r="T754" s="91"/>
      <c r="U754" s="91"/>
      <c r="V754" s="91"/>
      <c r="W754" s="91"/>
      <c r="X754" s="91"/>
      <c r="Y754" s="91"/>
      <c r="Z754" s="91"/>
    </row>
    <row r="755" spans="1:26" ht="15.75" customHeight="1" x14ac:dyDescent="0.25">
      <c r="A755" s="9"/>
      <c r="B755" s="189"/>
      <c r="C755" s="91"/>
      <c r="D755" s="91"/>
      <c r="E755" s="91"/>
      <c r="F755" s="91"/>
      <c r="G755" s="91"/>
      <c r="H755" s="91"/>
      <c r="I755" s="91"/>
      <c r="J755" s="91"/>
      <c r="K755" s="91"/>
      <c r="L755" s="91"/>
      <c r="M755" s="91"/>
      <c r="N755" s="91"/>
      <c r="O755" s="91"/>
      <c r="P755" s="91"/>
      <c r="Q755" s="91"/>
      <c r="R755" s="91"/>
      <c r="S755" s="91"/>
      <c r="T755" s="91"/>
      <c r="U755" s="91"/>
      <c r="V755" s="91"/>
      <c r="W755" s="91"/>
      <c r="X755" s="91"/>
      <c r="Y755" s="91"/>
      <c r="Z755" s="91"/>
    </row>
    <row r="756" spans="1:26" ht="15.75" customHeight="1" x14ac:dyDescent="0.25">
      <c r="A756" s="9"/>
      <c r="B756" s="189"/>
      <c r="C756" s="91"/>
      <c r="D756" s="91"/>
      <c r="E756" s="91"/>
      <c r="F756" s="91"/>
      <c r="G756" s="91"/>
      <c r="H756" s="91"/>
      <c r="I756" s="91"/>
      <c r="J756" s="91"/>
      <c r="K756" s="91"/>
      <c r="L756" s="91"/>
      <c r="M756" s="91"/>
      <c r="N756" s="91"/>
      <c r="O756" s="91"/>
      <c r="P756" s="91"/>
      <c r="Q756" s="91"/>
      <c r="R756" s="91"/>
      <c r="S756" s="91"/>
      <c r="T756" s="91"/>
      <c r="U756" s="91"/>
      <c r="V756" s="91"/>
      <c r="W756" s="91"/>
      <c r="X756" s="91"/>
      <c r="Y756" s="91"/>
      <c r="Z756" s="91"/>
    </row>
    <row r="757" spans="1:26" ht="15.75" customHeight="1" x14ac:dyDescent="0.25">
      <c r="A757" s="9"/>
      <c r="B757" s="189"/>
      <c r="C757" s="91"/>
      <c r="D757" s="91"/>
      <c r="E757" s="91"/>
      <c r="F757" s="91"/>
      <c r="G757" s="91"/>
      <c r="H757" s="91"/>
      <c r="I757" s="91"/>
      <c r="J757" s="91"/>
      <c r="K757" s="91"/>
      <c r="L757" s="91"/>
      <c r="M757" s="91"/>
      <c r="N757" s="91"/>
      <c r="O757" s="91"/>
      <c r="P757" s="91"/>
      <c r="Q757" s="91"/>
      <c r="R757" s="91"/>
      <c r="S757" s="91"/>
      <c r="T757" s="91"/>
      <c r="U757" s="91"/>
      <c r="V757" s="91"/>
      <c r="W757" s="91"/>
      <c r="X757" s="91"/>
      <c r="Y757" s="91"/>
      <c r="Z757" s="91"/>
    </row>
    <row r="758" spans="1:26" ht="15.75" customHeight="1" x14ac:dyDescent="0.25">
      <c r="A758" s="9"/>
      <c r="B758" s="189"/>
      <c r="C758" s="91"/>
      <c r="D758" s="91"/>
      <c r="E758" s="91"/>
      <c r="F758" s="91"/>
      <c r="G758" s="91"/>
      <c r="H758" s="91"/>
      <c r="I758" s="91"/>
      <c r="J758" s="91"/>
      <c r="K758" s="91"/>
      <c r="L758" s="91"/>
      <c r="M758" s="91"/>
      <c r="N758" s="91"/>
      <c r="O758" s="91"/>
      <c r="P758" s="91"/>
      <c r="Q758" s="91"/>
      <c r="R758" s="91"/>
      <c r="S758" s="91"/>
      <c r="T758" s="91"/>
      <c r="U758" s="91"/>
      <c r="V758" s="91"/>
      <c r="W758" s="91"/>
      <c r="X758" s="91"/>
      <c r="Y758" s="91"/>
      <c r="Z758" s="91"/>
    </row>
    <row r="759" spans="1:26" ht="15.75" customHeight="1" x14ac:dyDescent="0.25">
      <c r="A759" s="9"/>
      <c r="B759" s="189"/>
      <c r="C759" s="91"/>
      <c r="D759" s="91"/>
      <c r="E759" s="91"/>
      <c r="F759" s="91"/>
      <c r="G759" s="91"/>
      <c r="H759" s="91"/>
      <c r="I759" s="91"/>
      <c r="J759" s="91"/>
      <c r="K759" s="91"/>
      <c r="L759" s="91"/>
      <c r="M759" s="91"/>
      <c r="N759" s="91"/>
      <c r="O759" s="91"/>
      <c r="P759" s="91"/>
      <c r="Q759" s="91"/>
      <c r="R759" s="91"/>
      <c r="S759" s="91"/>
      <c r="T759" s="91"/>
      <c r="U759" s="91"/>
      <c r="V759" s="91"/>
      <c r="W759" s="91"/>
      <c r="X759" s="91"/>
      <c r="Y759" s="91"/>
      <c r="Z759" s="91"/>
    </row>
    <row r="760" spans="1:26" ht="15.75" customHeight="1" x14ac:dyDescent="0.25">
      <c r="A760" s="9"/>
      <c r="B760" s="189"/>
      <c r="C760" s="91"/>
      <c r="D760" s="91"/>
      <c r="E760" s="91"/>
      <c r="F760" s="91"/>
      <c r="G760" s="91"/>
      <c r="H760" s="91"/>
      <c r="I760" s="91"/>
      <c r="J760" s="91"/>
      <c r="K760" s="91"/>
      <c r="L760" s="91"/>
      <c r="M760" s="91"/>
      <c r="N760" s="91"/>
      <c r="O760" s="91"/>
      <c r="P760" s="91"/>
      <c r="Q760" s="91"/>
      <c r="R760" s="91"/>
      <c r="S760" s="91"/>
      <c r="T760" s="91"/>
      <c r="U760" s="91"/>
      <c r="V760" s="91"/>
      <c r="W760" s="91"/>
      <c r="X760" s="91"/>
      <c r="Y760" s="91"/>
      <c r="Z760" s="91"/>
    </row>
    <row r="761" spans="1:26" ht="15.75" customHeight="1" x14ac:dyDescent="0.25">
      <c r="A761" s="9"/>
      <c r="B761" s="189"/>
      <c r="C761" s="91"/>
      <c r="D761" s="91"/>
      <c r="E761" s="91"/>
      <c r="F761" s="91"/>
      <c r="G761" s="91"/>
      <c r="H761" s="91"/>
      <c r="I761" s="91"/>
      <c r="J761" s="91"/>
      <c r="K761" s="91"/>
      <c r="L761" s="91"/>
      <c r="M761" s="91"/>
      <c r="N761" s="91"/>
      <c r="O761" s="91"/>
      <c r="P761" s="91"/>
      <c r="Q761" s="91"/>
      <c r="R761" s="91"/>
      <c r="S761" s="91"/>
      <c r="T761" s="91"/>
      <c r="U761" s="91"/>
      <c r="V761" s="91"/>
      <c r="W761" s="91"/>
      <c r="X761" s="91"/>
      <c r="Y761" s="91"/>
      <c r="Z761" s="91"/>
    </row>
    <row r="762" spans="1:26" ht="15.75" customHeight="1" x14ac:dyDescent="0.25">
      <c r="A762" s="9"/>
      <c r="B762" s="189"/>
      <c r="C762" s="91"/>
      <c r="D762" s="91"/>
      <c r="E762" s="91"/>
      <c r="F762" s="91"/>
      <c r="G762" s="91"/>
      <c r="H762" s="91"/>
      <c r="I762" s="91"/>
      <c r="J762" s="91"/>
      <c r="K762" s="91"/>
      <c r="L762" s="91"/>
      <c r="M762" s="91"/>
      <c r="N762" s="91"/>
      <c r="O762" s="91"/>
      <c r="P762" s="91"/>
      <c r="Q762" s="91"/>
      <c r="R762" s="91"/>
      <c r="S762" s="91"/>
      <c r="T762" s="91"/>
      <c r="U762" s="91"/>
      <c r="V762" s="91"/>
      <c r="W762" s="91"/>
      <c r="X762" s="91"/>
      <c r="Y762" s="91"/>
      <c r="Z762" s="91"/>
    </row>
    <row r="763" spans="1:26" ht="15.75" customHeight="1" x14ac:dyDescent="0.25">
      <c r="A763" s="9"/>
      <c r="B763" s="189"/>
      <c r="C763" s="91"/>
      <c r="D763" s="91"/>
      <c r="E763" s="91"/>
      <c r="F763" s="91"/>
      <c r="G763" s="91"/>
      <c r="H763" s="91"/>
      <c r="I763" s="91"/>
      <c r="J763" s="91"/>
      <c r="K763" s="91"/>
      <c r="L763" s="91"/>
      <c r="M763" s="91"/>
      <c r="N763" s="91"/>
      <c r="O763" s="91"/>
      <c r="P763" s="91"/>
      <c r="Q763" s="91"/>
      <c r="R763" s="91"/>
      <c r="S763" s="91"/>
      <c r="T763" s="91"/>
      <c r="U763" s="91"/>
      <c r="V763" s="91"/>
      <c r="W763" s="91"/>
      <c r="X763" s="91"/>
      <c r="Y763" s="91"/>
      <c r="Z763" s="91"/>
    </row>
    <row r="764" spans="1:26" ht="15.75" customHeight="1" x14ac:dyDescent="0.25">
      <c r="A764" s="9"/>
      <c r="B764" s="189"/>
      <c r="C764" s="91"/>
      <c r="D764" s="91"/>
      <c r="E764" s="91"/>
      <c r="F764" s="91"/>
      <c r="G764" s="91"/>
      <c r="H764" s="91"/>
      <c r="I764" s="91"/>
      <c r="J764" s="91"/>
      <c r="K764" s="91"/>
      <c r="L764" s="91"/>
      <c r="M764" s="91"/>
      <c r="N764" s="91"/>
      <c r="O764" s="91"/>
      <c r="P764" s="91"/>
      <c r="Q764" s="91"/>
      <c r="R764" s="91"/>
      <c r="S764" s="91"/>
      <c r="T764" s="91"/>
      <c r="U764" s="91"/>
      <c r="V764" s="91"/>
      <c r="W764" s="91"/>
      <c r="X764" s="91"/>
      <c r="Y764" s="91"/>
      <c r="Z764" s="91"/>
    </row>
    <row r="765" spans="1:26" ht="15.75" customHeight="1" x14ac:dyDescent="0.25">
      <c r="A765" s="9"/>
      <c r="B765" s="189"/>
      <c r="C765" s="91"/>
      <c r="D765" s="91"/>
      <c r="E765" s="91"/>
      <c r="F765" s="91"/>
      <c r="G765" s="91"/>
      <c r="H765" s="91"/>
      <c r="I765" s="91"/>
      <c r="J765" s="91"/>
      <c r="K765" s="91"/>
      <c r="L765" s="91"/>
      <c r="M765" s="91"/>
      <c r="N765" s="91"/>
      <c r="O765" s="91"/>
      <c r="P765" s="91"/>
      <c r="Q765" s="91"/>
      <c r="R765" s="91"/>
      <c r="S765" s="91"/>
      <c r="T765" s="91"/>
      <c r="U765" s="91"/>
      <c r="V765" s="91"/>
      <c r="W765" s="91"/>
      <c r="X765" s="91"/>
      <c r="Y765" s="91"/>
      <c r="Z765" s="91"/>
    </row>
    <row r="766" spans="1:26" ht="15.75" customHeight="1" x14ac:dyDescent="0.25">
      <c r="A766" s="9"/>
      <c r="B766" s="189"/>
      <c r="C766" s="91"/>
      <c r="D766" s="91"/>
      <c r="E766" s="91"/>
      <c r="F766" s="91"/>
      <c r="G766" s="91"/>
      <c r="H766" s="91"/>
      <c r="I766" s="91"/>
      <c r="J766" s="91"/>
      <c r="K766" s="91"/>
      <c r="L766" s="91"/>
      <c r="M766" s="91"/>
      <c r="N766" s="91"/>
      <c r="O766" s="91"/>
      <c r="P766" s="91"/>
      <c r="Q766" s="91"/>
      <c r="R766" s="91"/>
      <c r="S766" s="91"/>
      <c r="T766" s="91"/>
      <c r="U766" s="91"/>
      <c r="V766" s="91"/>
      <c r="W766" s="91"/>
      <c r="X766" s="91"/>
      <c r="Y766" s="91"/>
      <c r="Z766" s="91"/>
    </row>
    <row r="767" spans="1:26" ht="15.75" customHeight="1" x14ac:dyDescent="0.25">
      <c r="A767" s="9"/>
      <c r="B767" s="189"/>
      <c r="C767" s="91"/>
      <c r="D767" s="91"/>
      <c r="E767" s="91"/>
      <c r="F767" s="91"/>
      <c r="G767" s="91"/>
      <c r="H767" s="91"/>
      <c r="I767" s="91"/>
      <c r="J767" s="91"/>
      <c r="K767" s="91"/>
      <c r="L767" s="91"/>
      <c r="M767" s="91"/>
      <c r="N767" s="91"/>
      <c r="O767" s="91"/>
      <c r="P767" s="91"/>
      <c r="Q767" s="91"/>
      <c r="R767" s="91"/>
      <c r="S767" s="91"/>
      <c r="T767" s="91"/>
      <c r="U767" s="91"/>
      <c r="V767" s="91"/>
      <c r="W767" s="91"/>
      <c r="X767" s="91"/>
      <c r="Y767" s="91"/>
      <c r="Z767" s="91"/>
    </row>
    <row r="768" spans="1:26" ht="15.75" customHeight="1" x14ac:dyDescent="0.25">
      <c r="A768" s="9"/>
      <c r="B768" s="189"/>
      <c r="C768" s="91"/>
      <c r="D768" s="91"/>
      <c r="E768" s="91"/>
      <c r="F768" s="91"/>
      <c r="G768" s="91"/>
      <c r="H768" s="91"/>
      <c r="I768" s="91"/>
      <c r="J768" s="91"/>
      <c r="K768" s="91"/>
      <c r="L768" s="91"/>
      <c r="M768" s="91"/>
      <c r="N768" s="91"/>
      <c r="O768" s="91"/>
      <c r="P768" s="91"/>
      <c r="Q768" s="91"/>
      <c r="R768" s="91"/>
      <c r="S768" s="91"/>
      <c r="T768" s="91"/>
      <c r="U768" s="91"/>
      <c r="V768" s="91"/>
      <c r="W768" s="91"/>
      <c r="X768" s="91"/>
      <c r="Y768" s="91"/>
      <c r="Z768" s="91"/>
    </row>
    <row r="769" spans="1:26" ht="15.75" customHeight="1" x14ac:dyDescent="0.25">
      <c r="A769" s="9"/>
      <c r="B769" s="189"/>
      <c r="C769" s="91"/>
      <c r="D769" s="91"/>
      <c r="E769" s="91"/>
      <c r="F769" s="91"/>
      <c r="G769" s="91"/>
      <c r="H769" s="91"/>
      <c r="I769" s="91"/>
      <c r="J769" s="91"/>
      <c r="K769" s="91"/>
      <c r="L769" s="91"/>
      <c r="M769" s="91"/>
      <c r="N769" s="91"/>
      <c r="O769" s="91"/>
      <c r="P769" s="91"/>
      <c r="Q769" s="91"/>
      <c r="R769" s="91"/>
      <c r="S769" s="91"/>
      <c r="T769" s="91"/>
      <c r="U769" s="91"/>
      <c r="V769" s="91"/>
      <c r="W769" s="91"/>
      <c r="X769" s="91"/>
      <c r="Y769" s="91"/>
      <c r="Z769" s="91"/>
    </row>
    <row r="770" spans="1:26" ht="15.75" customHeight="1" x14ac:dyDescent="0.25">
      <c r="A770" s="9"/>
      <c r="B770" s="189"/>
      <c r="C770" s="91"/>
      <c r="D770" s="91"/>
      <c r="E770" s="91"/>
      <c r="F770" s="91"/>
      <c r="G770" s="91"/>
      <c r="H770" s="91"/>
      <c r="I770" s="91"/>
      <c r="J770" s="91"/>
      <c r="K770" s="91"/>
      <c r="L770" s="91"/>
      <c r="M770" s="91"/>
      <c r="N770" s="91"/>
      <c r="O770" s="91"/>
      <c r="P770" s="91"/>
      <c r="Q770" s="91"/>
      <c r="R770" s="91"/>
      <c r="S770" s="91"/>
      <c r="T770" s="91"/>
      <c r="U770" s="91"/>
      <c r="V770" s="91"/>
      <c r="W770" s="91"/>
      <c r="X770" s="91"/>
      <c r="Y770" s="91"/>
      <c r="Z770" s="91"/>
    </row>
    <row r="771" spans="1:26" ht="15.75" customHeight="1" x14ac:dyDescent="0.25">
      <c r="A771" s="9"/>
      <c r="B771" s="189"/>
      <c r="C771" s="91"/>
      <c r="D771" s="91"/>
      <c r="E771" s="91"/>
      <c r="F771" s="91"/>
      <c r="G771" s="91"/>
      <c r="H771" s="91"/>
      <c r="I771" s="91"/>
      <c r="J771" s="91"/>
      <c r="K771" s="91"/>
      <c r="L771" s="91"/>
      <c r="M771" s="91"/>
      <c r="N771" s="91"/>
      <c r="O771" s="91"/>
      <c r="P771" s="91"/>
      <c r="Q771" s="91"/>
      <c r="R771" s="91"/>
      <c r="S771" s="91"/>
      <c r="T771" s="91"/>
      <c r="U771" s="91"/>
      <c r="V771" s="91"/>
      <c r="W771" s="91"/>
      <c r="X771" s="91"/>
      <c r="Y771" s="91"/>
      <c r="Z771" s="91"/>
    </row>
    <row r="772" spans="1:26" ht="15.75" customHeight="1" x14ac:dyDescent="0.25">
      <c r="A772" s="9"/>
      <c r="B772" s="189"/>
      <c r="C772" s="91"/>
      <c r="D772" s="91"/>
      <c r="E772" s="91"/>
      <c r="F772" s="91"/>
      <c r="G772" s="91"/>
      <c r="H772" s="91"/>
      <c r="I772" s="91"/>
      <c r="J772" s="91"/>
      <c r="K772" s="91"/>
      <c r="L772" s="91"/>
      <c r="M772" s="91"/>
      <c r="N772" s="91"/>
      <c r="O772" s="91"/>
      <c r="P772" s="91"/>
      <c r="Q772" s="91"/>
      <c r="R772" s="91"/>
      <c r="S772" s="91"/>
      <c r="T772" s="91"/>
      <c r="U772" s="91"/>
      <c r="V772" s="91"/>
      <c r="W772" s="91"/>
      <c r="X772" s="91"/>
      <c r="Y772" s="91"/>
      <c r="Z772" s="91"/>
    </row>
    <row r="773" spans="1:26" ht="15.75" customHeight="1" x14ac:dyDescent="0.25">
      <c r="A773" s="9"/>
      <c r="B773" s="189"/>
      <c r="C773" s="91"/>
      <c r="D773" s="91"/>
      <c r="E773" s="91"/>
      <c r="F773" s="91"/>
      <c r="G773" s="91"/>
      <c r="H773" s="91"/>
      <c r="I773" s="91"/>
      <c r="J773" s="91"/>
      <c r="K773" s="91"/>
      <c r="L773" s="91"/>
      <c r="M773" s="91"/>
      <c r="N773" s="91"/>
      <c r="O773" s="91"/>
      <c r="P773" s="91"/>
      <c r="Q773" s="91"/>
      <c r="R773" s="91"/>
      <c r="S773" s="91"/>
      <c r="T773" s="91"/>
      <c r="U773" s="91"/>
      <c r="V773" s="91"/>
      <c r="W773" s="91"/>
      <c r="X773" s="91"/>
      <c r="Y773" s="91"/>
      <c r="Z773" s="91"/>
    </row>
    <row r="774" spans="1:26" ht="15.75" customHeight="1" x14ac:dyDescent="0.25">
      <c r="A774" s="9"/>
      <c r="B774" s="189"/>
      <c r="C774" s="91"/>
      <c r="D774" s="91"/>
      <c r="E774" s="91"/>
      <c r="F774" s="91"/>
      <c r="G774" s="91"/>
      <c r="H774" s="91"/>
      <c r="I774" s="91"/>
      <c r="J774" s="91"/>
      <c r="K774" s="91"/>
      <c r="L774" s="91"/>
      <c r="M774" s="91"/>
      <c r="N774" s="91"/>
      <c r="O774" s="91"/>
      <c r="P774" s="91"/>
      <c r="Q774" s="91"/>
      <c r="R774" s="91"/>
      <c r="S774" s="91"/>
      <c r="T774" s="91"/>
      <c r="U774" s="91"/>
      <c r="V774" s="91"/>
      <c r="W774" s="91"/>
      <c r="X774" s="91"/>
      <c r="Y774" s="91"/>
      <c r="Z774" s="91"/>
    </row>
    <row r="775" spans="1:26" ht="15.75" customHeight="1" x14ac:dyDescent="0.25">
      <c r="A775" s="9"/>
      <c r="B775" s="189"/>
      <c r="C775" s="91"/>
      <c r="D775" s="91"/>
      <c r="E775" s="91"/>
      <c r="F775" s="91"/>
      <c r="G775" s="91"/>
      <c r="H775" s="91"/>
      <c r="I775" s="91"/>
      <c r="J775" s="91"/>
      <c r="K775" s="91"/>
      <c r="L775" s="91"/>
      <c r="M775" s="91"/>
      <c r="N775" s="91"/>
      <c r="O775" s="91"/>
      <c r="P775" s="91"/>
      <c r="Q775" s="91"/>
      <c r="R775" s="91"/>
      <c r="S775" s="91"/>
      <c r="T775" s="91"/>
      <c r="U775" s="91"/>
      <c r="V775" s="91"/>
      <c r="W775" s="91"/>
      <c r="X775" s="91"/>
      <c r="Y775" s="91"/>
      <c r="Z775" s="91"/>
    </row>
    <row r="776" spans="1:26" ht="15.75" customHeight="1" x14ac:dyDescent="0.25">
      <c r="A776" s="9"/>
      <c r="B776" s="189"/>
      <c r="C776" s="91"/>
      <c r="D776" s="91"/>
      <c r="E776" s="91"/>
      <c r="F776" s="91"/>
      <c r="G776" s="91"/>
      <c r="H776" s="91"/>
      <c r="I776" s="91"/>
      <c r="J776" s="91"/>
      <c r="K776" s="91"/>
      <c r="L776" s="91"/>
      <c r="M776" s="91"/>
      <c r="N776" s="91"/>
      <c r="O776" s="91"/>
      <c r="P776" s="91"/>
      <c r="Q776" s="91"/>
      <c r="R776" s="91"/>
      <c r="S776" s="91"/>
      <c r="T776" s="91"/>
      <c r="U776" s="91"/>
      <c r="V776" s="91"/>
      <c r="W776" s="91"/>
      <c r="X776" s="91"/>
      <c r="Y776" s="91"/>
      <c r="Z776" s="91"/>
    </row>
    <row r="777" spans="1:26" ht="15.75" customHeight="1" x14ac:dyDescent="0.25">
      <c r="A777" s="9"/>
      <c r="B777" s="189"/>
      <c r="C777" s="91"/>
      <c r="D777" s="91"/>
      <c r="E777" s="91"/>
      <c r="F777" s="91"/>
      <c r="G777" s="91"/>
      <c r="H777" s="91"/>
      <c r="I777" s="91"/>
      <c r="J777" s="91"/>
      <c r="K777" s="91"/>
      <c r="L777" s="91"/>
      <c r="M777" s="91"/>
      <c r="N777" s="91"/>
      <c r="O777" s="91"/>
      <c r="P777" s="91"/>
      <c r="Q777" s="91"/>
      <c r="R777" s="91"/>
      <c r="S777" s="91"/>
      <c r="T777" s="91"/>
      <c r="U777" s="91"/>
      <c r="V777" s="91"/>
      <c r="W777" s="91"/>
      <c r="X777" s="91"/>
      <c r="Y777" s="91"/>
      <c r="Z777" s="91"/>
    </row>
    <row r="778" spans="1:26" ht="15.75" customHeight="1" x14ac:dyDescent="0.25">
      <c r="A778" s="9"/>
      <c r="B778" s="189"/>
      <c r="C778" s="91"/>
      <c r="D778" s="91"/>
      <c r="E778" s="91"/>
      <c r="F778" s="91"/>
      <c r="G778" s="91"/>
      <c r="H778" s="91"/>
      <c r="I778" s="91"/>
      <c r="J778" s="91"/>
      <c r="K778" s="91"/>
      <c r="L778" s="91"/>
      <c r="M778" s="91"/>
      <c r="N778" s="91"/>
      <c r="O778" s="91"/>
      <c r="P778" s="91"/>
      <c r="Q778" s="91"/>
      <c r="R778" s="91"/>
      <c r="S778" s="91"/>
      <c r="T778" s="91"/>
      <c r="U778" s="91"/>
      <c r="V778" s="91"/>
      <c r="W778" s="91"/>
      <c r="X778" s="91"/>
      <c r="Y778" s="91"/>
      <c r="Z778" s="91"/>
    </row>
    <row r="779" spans="1:26" ht="15.75" customHeight="1" x14ac:dyDescent="0.25">
      <c r="A779" s="9"/>
      <c r="B779" s="189"/>
      <c r="C779" s="91"/>
      <c r="D779" s="91"/>
      <c r="E779" s="91"/>
      <c r="F779" s="91"/>
      <c r="G779" s="91"/>
      <c r="H779" s="91"/>
      <c r="I779" s="91"/>
      <c r="J779" s="91"/>
      <c r="K779" s="91"/>
      <c r="L779" s="91"/>
      <c r="M779" s="91"/>
      <c r="N779" s="91"/>
      <c r="O779" s="91"/>
      <c r="P779" s="91"/>
      <c r="Q779" s="91"/>
      <c r="R779" s="91"/>
      <c r="S779" s="91"/>
      <c r="T779" s="91"/>
      <c r="U779" s="91"/>
      <c r="V779" s="91"/>
      <c r="W779" s="91"/>
      <c r="X779" s="91"/>
      <c r="Y779" s="91"/>
      <c r="Z779" s="91"/>
    </row>
    <row r="780" spans="1:26" ht="15.75" customHeight="1" x14ac:dyDescent="0.25">
      <c r="A780" s="9"/>
      <c r="B780" s="189"/>
      <c r="C780" s="91"/>
      <c r="D780" s="91"/>
      <c r="E780" s="91"/>
      <c r="F780" s="91"/>
      <c r="G780" s="91"/>
      <c r="H780" s="91"/>
      <c r="I780" s="91"/>
      <c r="J780" s="91"/>
      <c r="K780" s="91"/>
      <c r="L780" s="91"/>
      <c r="M780" s="91"/>
      <c r="N780" s="91"/>
      <c r="O780" s="91"/>
      <c r="P780" s="91"/>
      <c r="Q780" s="91"/>
      <c r="R780" s="91"/>
      <c r="S780" s="91"/>
      <c r="T780" s="91"/>
      <c r="U780" s="91"/>
      <c r="V780" s="91"/>
      <c r="W780" s="91"/>
      <c r="X780" s="91"/>
      <c r="Y780" s="91"/>
      <c r="Z780" s="91"/>
    </row>
    <row r="781" spans="1:26" ht="15.75" customHeight="1" x14ac:dyDescent="0.25">
      <c r="A781" s="9"/>
      <c r="B781" s="189"/>
      <c r="C781" s="91"/>
      <c r="D781" s="91"/>
      <c r="E781" s="91"/>
      <c r="F781" s="91"/>
      <c r="G781" s="91"/>
      <c r="H781" s="91"/>
      <c r="I781" s="91"/>
      <c r="J781" s="91"/>
      <c r="K781" s="91"/>
      <c r="L781" s="91"/>
      <c r="M781" s="91"/>
      <c r="N781" s="91"/>
      <c r="O781" s="91"/>
      <c r="P781" s="91"/>
      <c r="Q781" s="91"/>
      <c r="R781" s="91"/>
      <c r="S781" s="91"/>
      <c r="T781" s="91"/>
      <c r="U781" s="91"/>
      <c r="V781" s="91"/>
      <c r="W781" s="91"/>
      <c r="X781" s="91"/>
      <c r="Y781" s="91"/>
      <c r="Z781" s="91"/>
    </row>
    <row r="782" spans="1:26" ht="15.75" customHeight="1" x14ac:dyDescent="0.25">
      <c r="A782" s="9"/>
      <c r="B782" s="189"/>
      <c r="C782" s="91"/>
      <c r="D782" s="91"/>
      <c r="E782" s="91"/>
      <c r="F782" s="91"/>
      <c r="G782" s="91"/>
      <c r="H782" s="91"/>
      <c r="I782" s="91"/>
      <c r="J782" s="91"/>
      <c r="K782" s="91"/>
      <c r="L782" s="91"/>
      <c r="M782" s="91"/>
      <c r="N782" s="91"/>
      <c r="O782" s="91"/>
      <c r="P782" s="91"/>
      <c r="Q782" s="91"/>
      <c r="R782" s="91"/>
      <c r="S782" s="91"/>
      <c r="T782" s="91"/>
      <c r="U782" s="91"/>
      <c r="V782" s="91"/>
      <c r="W782" s="91"/>
      <c r="X782" s="91"/>
      <c r="Y782" s="91"/>
      <c r="Z782" s="91"/>
    </row>
    <row r="783" spans="1:26" ht="15.75" customHeight="1" x14ac:dyDescent="0.25">
      <c r="A783" s="9"/>
      <c r="B783" s="189"/>
      <c r="C783" s="91"/>
      <c r="D783" s="91"/>
      <c r="E783" s="91"/>
      <c r="F783" s="91"/>
      <c r="G783" s="91"/>
      <c r="H783" s="91"/>
      <c r="I783" s="91"/>
      <c r="J783" s="91"/>
      <c r="K783" s="91"/>
      <c r="L783" s="91"/>
      <c r="M783" s="91"/>
      <c r="N783" s="91"/>
      <c r="O783" s="91"/>
      <c r="P783" s="91"/>
      <c r="Q783" s="91"/>
      <c r="R783" s="91"/>
      <c r="S783" s="91"/>
      <c r="T783" s="91"/>
      <c r="U783" s="91"/>
      <c r="V783" s="91"/>
      <c r="W783" s="91"/>
      <c r="X783" s="91"/>
      <c r="Y783" s="91"/>
      <c r="Z783" s="91"/>
    </row>
    <row r="784" spans="1:26" ht="15.75" customHeight="1" x14ac:dyDescent="0.25">
      <c r="A784" s="9"/>
      <c r="B784" s="189"/>
      <c r="C784" s="91"/>
      <c r="D784" s="91"/>
      <c r="E784" s="91"/>
      <c r="F784" s="91"/>
      <c r="G784" s="91"/>
      <c r="H784" s="91"/>
      <c r="I784" s="91"/>
      <c r="J784" s="91"/>
      <c r="K784" s="91"/>
      <c r="L784" s="91"/>
      <c r="M784" s="91"/>
      <c r="N784" s="91"/>
      <c r="O784" s="91"/>
      <c r="P784" s="91"/>
      <c r="Q784" s="91"/>
      <c r="R784" s="91"/>
      <c r="S784" s="91"/>
      <c r="T784" s="91"/>
      <c r="U784" s="91"/>
      <c r="V784" s="91"/>
      <c r="W784" s="91"/>
      <c r="X784" s="91"/>
      <c r="Y784" s="91"/>
      <c r="Z784" s="91"/>
    </row>
    <row r="785" spans="1:26" ht="15.75" customHeight="1" x14ac:dyDescent="0.25">
      <c r="A785" s="9"/>
      <c r="B785" s="189"/>
      <c r="C785" s="91"/>
      <c r="D785" s="91"/>
      <c r="E785" s="91"/>
      <c r="F785" s="91"/>
      <c r="G785" s="91"/>
      <c r="H785" s="91"/>
      <c r="I785" s="91"/>
      <c r="J785" s="91"/>
      <c r="K785" s="91"/>
      <c r="L785" s="91"/>
      <c r="M785" s="91"/>
      <c r="N785" s="91"/>
      <c r="O785" s="91"/>
      <c r="P785" s="91"/>
      <c r="Q785" s="91"/>
      <c r="R785" s="91"/>
      <c r="S785" s="91"/>
      <c r="T785" s="91"/>
      <c r="U785" s="91"/>
      <c r="V785" s="91"/>
      <c r="W785" s="91"/>
      <c r="X785" s="91"/>
      <c r="Y785" s="91"/>
      <c r="Z785" s="91"/>
    </row>
    <row r="786" spans="1:26" ht="15.75" customHeight="1" x14ac:dyDescent="0.25">
      <c r="A786" s="9"/>
      <c r="B786" s="189"/>
      <c r="C786" s="91"/>
      <c r="D786" s="91"/>
      <c r="E786" s="91"/>
      <c r="F786" s="91"/>
      <c r="G786" s="91"/>
      <c r="H786" s="91"/>
      <c r="I786" s="91"/>
      <c r="J786" s="91"/>
      <c r="K786" s="91"/>
      <c r="L786" s="91"/>
      <c r="M786" s="91"/>
      <c r="N786" s="91"/>
      <c r="O786" s="91"/>
      <c r="P786" s="91"/>
      <c r="Q786" s="91"/>
      <c r="R786" s="91"/>
      <c r="S786" s="91"/>
      <c r="T786" s="91"/>
      <c r="U786" s="91"/>
      <c r="V786" s="91"/>
      <c r="W786" s="91"/>
      <c r="X786" s="91"/>
      <c r="Y786" s="91"/>
      <c r="Z786" s="91"/>
    </row>
    <row r="787" spans="1:26" ht="15.75" customHeight="1" x14ac:dyDescent="0.25">
      <c r="A787" s="9"/>
      <c r="B787" s="189"/>
      <c r="C787" s="91"/>
      <c r="D787" s="91"/>
      <c r="E787" s="91"/>
      <c r="F787" s="91"/>
      <c r="G787" s="91"/>
      <c r="H787" s="91"/>
      <c r="I787" s="91"/>
      <c r="J787" s="91"/>
      <c r="K787" s="91"/>
      <c r="L787" s="91"/>
      <c r="M787" s="91"/>
      <c r="N787" s="91"/>
      <c r="O787" s="91"/>
      <c r="P787" s="91"/>
      <c r="Q787" s="91"/>
      <c r="R787" s="91"/>
      <c r="S787" s="91"/>
      <c r="T787" s="91"/>
      <c r="U787" s="91"/>
      <c r="V787" s="91"/>
      <c r="W787" s="91"/>
      <c r="X787" s="91"/>
      <c r="Y787" s="91"/>
      <c r="Z787" s="91"/>
    </row>
    <row r="788" spans="1:26" ht="15.75" customHeight="1" x14ac:dyDescent="0.25">
      <c r="A788" s="9"/>
      <c r="B788" s="189"/>
      <c r="C788" s="91"/>
      <c r="D788" s="91"/>
      <c r="E788" s="91"/>
      <c r="F788" s="91"/>
      <c r="G788" s="91"/>
      <c r="H788" s="91"/>
      <c r="I788" s="91"/>
      <c r="J788" s="91"/>
      <c r="K788" s="91"/>
      <c r="L788" s="91"/>
      <c r="M788" s="91"/>
      <c r="N788" s="91"/>
      <c r="O788" s="91"/>
      <c r="P788" s="91"/>
      <c r="Q788" s="91"/>
      <c r="R788" s="91"/>
      <c r="S788" s="91"/>
      <c r="T788" s="91"/>
      <c r="U788" s="91"/>
      <c r="V788" s="91"/>
      <c r="W788" s="91"/>
      <c r="X788" s="91"/>
      <c r="Y788" s="91"/>
      <c r="Z788" s="91"/>
    </row>
    <row r="789" spans="1:26" ht="15.75" customHeight="1" x14ac:dyDescent="0.25">
      <c r="A789" s="9"/>
      <c r="B789" s="189"/>
      <c r="C789" s="91"/>
      <c r="D789" s="91"/>
      <c r="E789" s="91"/>
      <c r="F789" s="91"/>
      <c r="G789" s="91"/>
      <c r="H789" s="91"/>
      <c r="I789" s="91"/>
      <c r="J789" s="91"/>
      <c r="K789" s="91"/>
      <c r="L789" s="91"/>
      <c r="M789" s="91"/>
      <c r="N789" s="91"/>
      <c r="O789" s="91"/>
      <c r="P789" s="91"/>
      <c r="Q789" s="91"/>
      <c r="R789" s="91"/>
      <c r="S789" s="91"/>
      <c r="T789" s="91"/>
      <c r="U789" s="91"/>
      <c r="V789" s="91"/>
      <c r="W789" s="91"/>
      <c r="X789" s="91"/>
      <c r="Y789" s="91"/>
      <c r="Z789" s="91"/>
    </row>
    <row r="790" spans="1:26" ht="15.75" customHeight="1" x14ac:dyDescent="0.25">
      <c r="A790" s="9"/>
      <c r="B790" s="189"/>
      <c r="C790" s="91"/>
      <c r="D790" s="91"/>
      <c r="E790" s="91"/>
      <c r="F790" s="91"/>
      <c r="G790" s="91"/>
      <c r="H790" s="91"/>
      <c r="I790" s="91"/>
      <c r="J790" s="91"/>
      <c r="K790" s="91"/>
      <c r="L790" s="91"/>
      <c r="M790" s="91"/>
      <c r="N790" s="91"/>
      <c r="O790" s="91"/>
      <c r="P790" s="91"/>
      <c r="Q790" s="91"/>
      <c r="R790" s="91"/>
      <c r="S790" s="91"/>
      <c r="T790" s="91"/>
      <c r="U790" s="91"/>
      <c r="V790" s="91"/>
      <c r="W790" s="91"/>
      <c r="X790" s="91"/>
      <c r="Y790" s="91"/>
      <c r="Z790" s="91"/>
    </row>
    <row r="791" spans="1:26" ht="15.75" customHeight="1" x14ac:dyDescent="0.25">
      <c r="A791" s="9"/>
      <c r="B791" s="189"/>
      <c r="C791" s="91"/>
      <c r="D791" s="91"/>
      <c r="E791" s="91"/>
      <c r="F791" s="91"/>
      <c r="G791" s="91"/>
      <c r="H791" s="91"/>
      <c r="I791" s="91"/>
      <c r="J791" s="91"/>
      <c r="K791" s="91"/>
      <c r="L791" s="91"/>
      <c r="M791" s="91"/>
      <c r="N791" s="91"/>
      <c r="O791" s="91"/>
      <c r="P791" s="91"/>
      <c r="Q791" s="91"/>
      <c r="R791" s="91"/>
      <c r="S791" s="91"/>
      <c r="T791" s="91"/>
      <c r="U791" s="91"/>
      <c r="V791" s="91"/>
      <c r="W791" s="91"/>
      <c r="X791" s="91"/>
      <c r="Y791" s="91"/>
      <c r="Z791" s="91"/>
    </row>
    <row r="792" spans="1:26" ht="15.75" customHeight="1" x14ac:dyDescent="0.25">
      <c r="A792" s="9"/>
      <c r="B792" s="189"/>
      <c r="C792" s="91"/>
      <c r="D792" s="91"/>
      <c r="E792" s="91"/>
      <c r="F792" s="91"/>
      <c r="G792" s="91"/>
      <c r="H792" s="91"/>
      <c r="I792" s="91"/>
      <c r="J792" s="91"/>
      <c r="K792" s="91"/>
      <c r="L792" s="91"/>
      <c r="M792" s="91"/>
      <c r="N792" s="91"/>
      <c r="O792" s="91"/>
      <c r="P792" s="91"/>
      <c r="Q792" s="91"/>
      <c r="R792" s="91"/>
      <c r="S792" s="91"/>
      <c r="T792" s="91"/>
      <c r="U792" s="91"/>
      <c r="V792" s="91"/>
      <c r="W792" s="91"/>
      <c r="X792" s="91"/>
      <c r="Y792" s="91"/>
      <c r="Z792" s="91"/>
    </row>
    <row r="793" spans="1:26" ht="15.75" customHeight="1" x14ac:dyDescent="0.25">
      <c r="A793" s="9"/>
      <c r="B793" s="189"/>
      <c r="C793" s="91"/>
      <c r="D793" s="91"/>
      <c r="E793" s="91"/>
      <c r="F793" s="91"/>
      <c r="G793" s="91"/>
      <c r="H793" s="91"/>
      <c r="I793" s="91"/>
      <c r="J793" s="91"/>
      <c r="K793" s="91"/>
      <c r="L793" s="91"/>
      <c r="M793" s="91"/>
      <c r="N793" s="91"/>
      <c r="O793" s="91"/>
      <c r="P793" s="91"/>
      <c r="Q793" s="91"/>
      <c r="R793" s="91"/>
      <c r="S793" s="91"/>
      <c r="T793" s="91"/>
      <c r="U793" s="91"/>
      <c r="V793" s="91"/>
      <c r="W793" s="91"/>
      <c r="X793" s="91"/>
      <c r="Y793" s="91"/>
      <c r="Z793" s="91"/>
    </row>
    <row r="794" spans="1:26" ht="15.75" customHeight="1" x14ac:dyDescent="0.25">
      <c r="A794" s="9"/>
      <c r="B794" s="189"/>
      <c r="C794" s="91"/>
      <c r="D794" s="91"/>
      <c r="E794" s="91"/>
      <c r="F794" s="91"/>
      <c r="G794" s="91"/>
      <c r="H794" s="91"/>
      <c r="I794" s="91"/>
      <c r="J794" s="91"/>
      <c r="K794" s="91"/>
      <c r="L794" s="91"/>
      <c r="M794" s="91"/>
      <c r="N794" s="91"/>
      <c r="O794" s="91"/>
      <c r="P794" s="91"/>
      <c r="Q794" s="91"/>
      <c r="R794" s="91"/>
      <c r="S794" s="91"/>
      <c r="T794" s="91"/>
      <c r="U794" s="91"/>
      <c r="V794" s="91"/>
      <c r="W794" s="91"/>
      <c r="X794" s="91"/>
      <c r="Y794" s="91"/>
      <c r="Z794" s="91"/>
    </row>
    <row r="795" spans="1:26" ht="15.75" customHeight="1" x14ac:dyDescent="0.25">
      <c r="A795" s="9"/>
      <c r="B795" s="189"/>
      <c r="C795" s="91"/>
      <c r="D795" s="91"/>
      <c r="E795" s="91"/>
      <c r="F795" s="91"/>
      <c r="G795" s="91"/>
      <c r="H795" s="91"/>
      <c r="I795" s="91"/>
      <c r="J795" s="91"/>
      <c r="K795" s="91"/>
      <c r="L795" s="91"/>
      <c r="M795" s="91"/>
      <c r="N795" s="91"/>
      <c r="O795" s="91"/>
      <c r="P795" s="91"/>
      <c r="Q795" s="91"/>
      <c r="R795" s="91"/>
      <c r="S795" s="91"/>
      <c r="T795" s="91"/>
      <c r="U795" s="91"/>
      <c r="V795" s="91"/>
      <c r="W795" s="91"/>
      <c r="X795" s="91"/>
      <c r="Y795" s="91"/>
      <c r="Z795" s="91"/>
    </row>
    <row r="796" spans="1:26" ht="15.75" customHeight="1" x14ac:dyDescent="0.25">
      <c r="A796" s="9"/>
      <c r="B796" s="189"/>
      <c r="C796" s="91"/>
      <c r="D796" s="91"/>
      <c r="E796" s="91"/>
      <c r="F796" s="91"/>
      <c r="G796" s="91"/>
      <c r="H796" s="91"/>
      <c r="I796" s="91"/>
      <c r="J796" s="91"/>
      <c r="K796" s="91"/>
      <c r="L796" s="91"/>
      <c r="M796" s="91"/>
      <c r="N796" s="91"/>
      <c r="O796" s="91"/>
      <c r="P796" s="91"/>
      <c r="Q796" s="91"/>
      <c r="R796" s="91"/>
      <c r="S796" s="91"/>
      <c r="T796" s="91"/>
      <c r="U796" s="91"/>
      <c r="V796" s="91"/>
      <c r="W796" s="91"/>
      <c r="X796" s="91"/>
      <c r="Y796" s="91"/>
      <c r="Z796" s="91"/>
    </row>
    <row r="797" spans="1:26" ht="15.75" customHeight="1" x14ac:dyDescent="0.25">
      <c r="A797" s="9"/>
      <c r="B797" s="189"/>
      <c r="C797" s="91"/>
      <c r="D797" s="91"/>
      <c r="E797" s="91"/>
      <c r="F797" s="91"/>
      <c r="G797" s="91"/>
      <c r="H797" s="91"/>
      <c r="I797" s="91"/>
      <c r="J797" s="91"/>
      <c r="K797" s="91"/>
      <c r="L797" s="91"/>
      <c r="M797" s="91"/>
      <c r="N797" s="91"/>
      <c r="O797" s="91"/>
      <c r="P797" s="91"/>
      <c r="Q797" s="91"/>
      <c r="R797" s="91"/>
      <c r="S797" s="91"/>
      <c r="T797" s="91"/>
      <c r="U797" s="91"/>
      <c r="V797" s="91"/>
      <c r="W797" s="91"/>
      <c r="X797" s="91"/>
      <c r="Y797" s="91"/>
      <c r="Z797" s="91"/>
    </row>
    <row r="798" spans="1:26" ht="15.75" customHeight="1" x14ac:dyDescent="0.25">
      <c r="A798" s="9"/>
      <c r="B798" s="189"/>
      <c r="C798" s="91"/>
      <c r="D798" s="91"/>
      <c r="E798" s="91"/>
      <c r="F798" s="91"/>
      <c r="G798" s="91"/>
      <c r="H798" s="91"/>
      <c r="I798" s="91"/>
      <c r="J798" s="91"/>
      <c r="K798" s="91"/>
      <c r="L798" s="91"/>
      <c r="M798" s="91"/>
      <c r="N798" s="91"/>
      <c r="O798" s="91"/>
      <c r="P798" s="91"/>
      <c r="Q798" s="91"/>
      <c r="R798" s="91"/>
      <c r="S798" s="91"/>
      <c r="T798" s="91"/>
      <c r="U798" s="91"/>
      <c r="V798" s="91"/>
      <c r="W798" s="91"/>
      <c r="X798" s="91"/>
      <c r="Y798" s="91"/>
      <c r="Z798" s="91"/>
    </row>
    <row r="799" spans="1:26" ht="15.75" customHeight="1" x14ac:dyDescent="0.25">
      <c r="A799" s="9"/>
      <c r="B799" s="189"/>
      <c r="C799" s="91"/>
      <c r="D799" s="91"/>
      <c r="E799" s="91"/>
      <c r="F799" s="91"/>
      <c r="G799" s="91"/>
      <c r="H799" s="91"/>
      <c r="I799" s="91"/>
      <c r="J799" s="91"/>
      <c r="K799" s="91"/>
      <c r="L799" s="91"/>
      <c r="M799" s="91"/>
      <c r="N799" s="91"/>
      <c r="O799" s="91"/>
      <c r="P799" s="91"/>
      <c r="Q799" s="91"/>
      <c r="R799" s="91"/>
      <c r="S799" s="91"/>
      <c r="T799" s="91"/>
      <c r="U799" s="91"/>
      <c r="V799" s="91"/>
      <c r="W799" s="91"/>
      <c r="X799" s="91"/>
      <c r="Y799" s="91"/>
      <c r="Z799" s="91"/>
    </row>
    <row r="800" spans="1:26" ht="15.75" customHeight="1" x14ac:dyDescent="0.25">
      <c r="A800" s="9"/>
      <c r="B800" s="189"/>
      <c r="C800" s="91"/>
      <c r="D800" s="91"/>
      <c r="E800" s="91"/>
      <c r="F800" s="91"/>
      <c r="G800" s="91"/>
      <c r="H800" s="91"/>
      <c r="I800" s="91"/>
      <c r="J800" s="91"/>
      <c r="K800" s="91"/>
      <c r="L800" s="91"/>
      <c r="M800" s="91"/>
      <c r="N800" s="91"/>
      <c r="O800" s="91"/>
      <c r="P800" s="91"/>
      <c r="Q800" s="91"/>
      <c r="R800" s="91"/>
      <c r="S800" s="91"/>
      <c r="T800" s="91"/>
      <c r="U800" s="91"/>
      <c r="V800" s="91"/>
      <c r="W800" s="91"/>
      <c r="X800" s="91"/>
      <c r="Y800" s="91"/>
      <c r="Z800" s="91"/>
    </row>
    <row r="801" spans="1:26" ht="15.75" customHeight="1" x14ac:dyDescent="0.25">
      <c r="A801" s="9"/>
      <c r="B801" s="189"/>
      <c r="C801" s="91"/>
      <c r="D801" s="91"/>
      <c r="E801" s="91"/>
      <c r="F801" s="91"/>
      <c r="G801" s="91"/>
      <c r="H801" s="91"/>
      <c r="I801" s="91"/>
      <c r="J801" s="91"/>
      <c r="K801" s="91"/>
      <c r="L801" s="91"/>
      <c r="M801" s="91"/>
      <c r="N801" s="91"/>
      <c r="O801" s="91"/>
      <c r="P801" s="91"/>
      <c r="Q801" s="91"/>
      <c r="R801" s="91"/>
      <c r="S801" s="91"/>
      <c r="T801" s="91"/>
      <c r="U801" s="91"/>
      <c r="V801" s="91"/>
      <c r="W801" s="91"/>
      <c r="X801" s="91"/>
      <c r="Y801" s="91"/>
      <c r="Z801" s="91"/>
    </row>
    <row r="802" spans="1:26" ht="15.75" customHeight="1" x14ac:dyDescent="0.25">
      <c r="A802" s="9"/>
      <c r="B802" s="189"/>
      <c r="C802" s="91"/>
      <c r="D802" s="91"/>
      <c r="E802" s="91"/>
      <c r="F802" s="91"/>
      <c r="G802" s="91"/>
      <c r="H802" s="91"/>
      <c r="I802" s="91"/>
      <c r="J802" s="91"/>
      <c r="K802" s="91"/>
      <c r="L802" s="91"/>
      <c r="M802" s="91"/>
      <c r="N802" s="91"/>
      <c r="O802" s="91"/>
      <c r="P802" s="91"/>
      <c r="Q802" s="91"/>
      <c r="R802" s="91"/>
      <c r="S802" s="91"/>
      <c r="T802" s="91"/>
      <c r="U802" s="91"/>
      <c r="V802" s="91"/>
      <c r="W802" s="91"/>
      <c r="X802" s="91"/>
      <c r="Y802" s="91"/>
      <c r="Z802" s="91"/>
    </row>
    <row r="803" spans="1:26" ht="15.75" customHeight="1" x14ac:dyDescent="0.25">
      <c r="A803" s="9"/>
      <c r="B803" s="189"/>
      <c r="C803" s="91"/>
      <c r="D803" s="91"/>
      <c r="E803" s="91"/>
      <c r="F803" s="91"/>
      <c r="G803" s="91"/>
      <c r="H803" s="91"/>
      <c r="I803" s="91"/>
      <c r="J803" s="91"/>
      <c r="K803" s="91"/>
      <c r="L803" s="91"/>
      <c r="M803" s="91"/>
      <c r="N803" s="91"/>
      <c r="O803" s="91"/>
      <c r="P803" s="91"/>
      <c r="Q803" s="91"/>
      <c r="R803" s="91"/>
      <c r="S803" s="91"/>
      <c r="T803" s="91"/>
      <c r="U803" s="91"/>
      <c r="V803" s="91"/>
      <c r="W803" s="91"/>
      <c r="X803" s="91"/>
      <c r="Y803" s="91"/>
      <c r="Z803" s="91"/>
    </row>
    <row r="804" spans="1:26" ht="15.75" customHeight="1" x14ac:dyDescent="0.25">
      <c r="A804" s="9"/>
      <c r="B804" s="189"/>
      <c r="C804" s="91"/>
      <c r="D804" s="91"/>
      <c r="E804" s="91"/>
      <c r="F804" s="91"/>
      <c r="G804" s="91"/>
      <c r="H804" s="91"/>
      <c r="I804" s="91"/>
      <c r="J804" s="91"/>
      <c r="K804" s="91"/>
      <c r="L804" s="91"/>
      <c r="M804" s="91"/>
      <c r="N804" s="91"/>
      <c r="O804" s="91"/>
      <c r="P804" s="91"/>
      <c r="Q804" s="91"/>
      <c r="R804" s="91"/>
      <c r="S804" s="91"/>
      <c r="T804" s="91"/>
      <c r="U804" s="91"/>
      <c r="V804" s="91"/>
      <c r="W804" s="91"/>
      <c r="X804" s="91"/>
      <c r="Y804" s="91"/>
      <c r="Z804" s="91"/>
    </row>
    <row r="805" spans="1:26" ht="15.75" customHeight="1" x14ac:dyDescent="0.25">
      <c r="A805" s="9"/>
      <c r="B805" s="189"/>
      <c r="C805" s="91"/>
      <c r="D805" s="91"/>
      <c r="E805" s="91"/>
      <c r="F805" s="91"/>
      <c r="G805" s="91"/>
      <c r="H805" s="91"/>
      <c r="I805" s="91"/>
      <c r="J805" s="91"/>
      <c r="K805" s="91"/>
      <c r="L805" s="91"/>
      <c r="M805" s="91"/>
      <c r="N805" s="91"/>
      <c r="O805" s="91"/>
      <c r="P805" s="91"/>
      <c r="Q805" s="91"/>
      <c r="R805" s="91"/>
      <c r="S805" s="91"/>
      <c r="T805" s="91"/>
      <c r="U805" s="91"/>
      <c r="V805" s="91"/>
      <c r="W805" s="91"/>
      <c r="X805" s="91"/>
      <c r="Y805" s="91"/>
      <c r="Z805" s="91"/>
    </row>
    <row r="806" spans="1:26" ht="15.75" customHeight="1" x14ac:dyDescent="0.25">
      <c r="A806" s="9"/>
      <c r="B806" s="189"/>
      <c r="C806" s="91"/>
      <c r="D806" s="91"/>
      <c r="E806" s="91"/>
      <c r="F806" s="91"/>
      <c r="G806" s="91"/>
      <c r="H806" s="91"/>
      <c r="I806" s="91"/>
      <c r="J806" s="91"/>
      <c r="K806" s="91"/>
      <c r="L806" s="91"/>
      <c r="M806" s="91"/>
      <c r="N806" s="91"/>
      <c r="O806" s="91"/>
      <c r="P806" s="91"/>
      <c r="Q806" s="91"/>
      <c r="R806" s="91"/>
      <c r="S806" s="91"/>
      <c r="T806" s="91"/>
      <c r="U806" s="91"/>
      <c r="V806" s="91"/>
      <c r="W806" s="91"/>
      <c r="X806" s="91"/>
      <c r="Y806" s="91"/>
      <c r="Z806" s="91"/>
    </row>
    <row r="807" spans="1:26" ht="15.75" customHeight="1" x14ac:dyDescent="0.25">
      <c r="A807" s="9"/>
      <c r="B807" s="189"/>
      <c r="C807" s="91"/>
      <c r="D807" s="91"/>
      <c r="E807" s="91"/>
      <c r="F807" s="91"/>
      <c r="G807" s="91"/>
      <c r="H807" s="91"/>
      <c r="I807" s="91"/>
      <c r="J807" s="91"/>
      <c r="K807" s="91"/>
      <c r="L807" s="91"/>
      <c r="M807" s="91"/>
      <c r="N807" s="91"/>
      <c r="O807" s="91"/>
      <c r="P807" s="91"/>
      <c r="Q807" s="91"/>
      <c r="R807" s="91"/>
      <c r="S807" s="91"/>
      <c r="T807" s="91"/>
      <c r="U807" s="91"/>
      <c r="V807" s="91"/>
      <c r="W807" s="91"/>
      <c r="X807" s="91"/>
      <c r="Y807" s="91"/>
      <c r="Z807" s="91"/>
    </row>
    <row r="808" spans="1:26" ht="15.75" customHeight="1" x14ac:dyDescent="0.25">
      <c r="A808" s="9"/>
      <c r="B808" s="189"/>
      <c r="C808" s="91"/>
      <c r="D808" s="91"/>
      <c r="E808" s="91"/>
      <c r="F808" s="91"/>
      <c r="G808" s="91"/>
      <c r="H808" s="91"/>
      <c r="I808" s="91"/>
      <c r="J808" s="91"/>
      <c r="K808" s="91"/>
      <c r="L808" s="91"/>
      <c r="M808" s="91"/>
      <c r="N808" s="91"/>
      <c r="O808" s="91"/>
      <c r="P808" s="91"/>
      <c r="Q808" s="91"/>
      <c r="R808" s="91"/>
      <c r="S808" s="91"/>
      <c r="T808" s="91"/>
      <c r="U808" s="91"/>
      <c r="V808" s="91"/>
      <c r="W808" s="91"/>
      <c r="X808" s="91"/>
      <c r="Y808" s="91"/>
      <c r="Z808" s="91"/>
    </row>
    <row r="809" spans="1:26" ht="15.75" customHeight="1" x14ac:dyDescent="0.25">
      <c r="A809" s="9"/>
      <c r="B809" s="189"/>
      <c r="C809" s="91"/>
      <c r="D809" s="91"/>
      <c r="E809" s="91"/>
      <c r="F809" s="91"/>
      <c r="G809" s="91"/>
      <c r="H809" s="91"/>
      <c r="I809" s="91"/>
      <c r="J809" s="91"/>
      <c r="K809" s="91"/>
      <c r="L809" s="91"/>
      <c r="M809" s="91"/>
      <c r="N809" s="91"/>
      <c r="O809" s="91"/>
      <c r="P809" s="91"/>
      <c r="Q809" s="91"/>
      <c r="R809" s="91"/>
      <c r="S809" s="91"/>
      <c r="T809" s="91"/>
      <c r="U809" s="91"/>
      <c r="V809" s="91"/>
      <c r="W809" s="91"/>
      <c r="X809" s="91"/>
      <c r="Y809" s="91"/>
      <c r="Z809" s="91"/>
    </row>
    <row r="810" spans="1:26" ht="15.75" customHeight="1" x14ac:dyDescent="0.25">
      <c r="A810" s="9"/>
      <c r="B810" s="189"/>
      <c r="C810" s="91"/>
      <c r="D810" s="91"/>
      <c r="E810" s="91"/>
      <c r="F810" s="91"/>
      <c r="G810" s="91"/>
      <c r="H810" s="91"/>
      <c r="I810" s="91"/>
      <c r="J810" s="91"/>
      <c r="K810" s="91"/>
      <c r="L810" s="91"/>
      <c r="M810" s="91"/>
      <c r="N810" s="91"/>
      <c r="O810" s="91"/>
      <c r="P810" s="91"/>
      <c r="Q810" s="91"/>
      <c r="R810" s="91"/>
      <c r="S810" s="91"/>
      <c r="T810" s="91"/>
      <c r="U810" s="91"/>
      <c r="V810" s="91"/>
      <c r="W810" s="91"/>
      <c r="X810" s="91"/>
      <c r="Y810" s="91"/>
      <c r="Z810" s="91"/>
    </row>
    <row r="811" spans="1:26" ht="15.75" customHeight="1" x14ac:dyDescent="0.25">
      <c r="A811" s="9"/>
      <c r="B811" s="189"/>
      <c r="C811" s="91"/>
      <c r="D811" s="91"/>
      <c r="E811" s="91"/>
      <c r="F811" s="91"/>
      <c r="G811" s="91"/>
      <c r="H811" s="91"/>
      <c r="I811" s="91"/>
      <c r="J811" s="91"/>
      <c r="K811" s="91"/>
      <c r="L811" s="91"/>
      <c r="M811" s="91"/>
      <c r="N811" s="91"/>
      <c r="O811" s="91"/>
      <c r="P811" s="91"/>
      <c r="Q811" s="91"/>
      <c r="R811" s="91"/>
      <c r="S811" s="91"/>
      <c r="T811" s="91"/>
      <c r="U811" s="91"/>
      <c r="V811" s="91"/>
      <c r="W811" s="91"/>
      <c r="X811" s="91"/>
      <c r="Y811" s="91"/>
      <c r="Z811" s="91"/>
    </row>
    <row r="812" spans="1:26" ht="15.75" customHeight="1" x14ac:dyDescent="0.25">
      <c r="A812" s="9"/>
      <c r="B812" s="189"/>
      <c r="C812" s="91"/>
      <c r="D812" s="91"/>
      <c r="E812" s="91"/>
      <c r="F812" s="91"/>
      <c r="G812" s="91"/>
      <c r="H812" s="91"/>
      <c r="I812" s="91"/>
      <c r="J812" s="91"/>
      <c r="K812" s="91"/>
      <c r="L812" s="91"/>
      <c r="M812" s="91"/>
      <c r="N812" s="91"/>
      <c r="O812" s="91"/>
      <c r="P812" s="91"/>
      <c r="Q812" s="91"/>
      <c r="R812" s="91"/>
      <c r="S812" s="91"/>
      <c r="T812" s="91"/>
      <c r="U812" s="91"/>
      <c r="V812" s="91"/>
      <c r="W812" s="91"/>
      <c r="X812" s="91"/>
      <c r="Y812" s="91"/>
      <c r="Z812" s="91"/>
    </row>
    <row r="813" spans="1:26" ht="15.75" customHeight="1" x14ac:dyDescent="0.25">
      <c r="A813" s="9"/>
      <c r="B813" s="189"/>
      <c r="C813" s="91"/>
      <c r="D813" s="91"/>
      <c r="E813" s="91"/>
      <c r="F813" s="91"/>
      <c r="G813" s="91"/>
      <c r="H813" s="91"/>
      <c r="I813" s="91"/>
      <c r="J813" s="91"/>
      <c r="K813" s="91"/>
      <c r="L813" s="91"/>
      <c r="M813" s="91"/>
      <c r="N813" s="91"/>
      <c r="O813" s="91"/>
      <c r="P813" s="91"/>
      <c r="Q813" s="91"/>
      <c r="R813" s="91"/>
      <c r="S813" s="91"/>
      <c r="T813" s="91"/>
      <c r="U813" s="91"/>
      <c r="V813" s="91"/>
      <c r="W813" s="91"/>
      <c r="X813" s="91"/>
      <c r="Y813" s="91"/>
      <c r="Z813" s="91"/>
    </row>
    <row r="814" spans="1:26" ht="15.75" customHeight="1" x14ac:dyDescent="0.25">
      <c r="A814" s="9"/>
      <c r="B814" s="189"/>
      <c r="C814" s="91"/>
      <c r="D814" s="91"/>
      <c r="E814" s="91"/>
      <c r="F814" s="91"/>
      <c r="G814" s="91"/>
      <c r="H814" s="91"/>
      <c r="I814" s="91"/>
      <c r="J814" s="91"/>
      <c r="K814" s="91"/>
      <c r="L814" s="91"/>
      <c r="M814" s="91"/>
      <c r="N814" s="91"/>
      <c r="O814" s="91"/>
      <c r="P814" s="91"/>
      <c r="Q814" s="91"/>
      <c r="R814" s="91"/>
      <c r="S814" s="91"/>
      <c r="T814" s="91"/>
      <c r="U814" s="91"/>
      <c r="V814" s="91"/>
      <c r="W814" s="91"/>
      <c r="X814" s="91"/>
      <c r="Y814" s="91"/>
      <c r="Z814" s="91"/>
    </row>
    <row r="815" spans="1:26" ht="15.75" customHeight="1" x14ac:dyDescent="0.25">
      <c r="A815" s="9"/>
      <c r="B815" s="189"/>
      <c r="C815" s="91"/>
      <c r="D815" s="91"/>
      <c r="E815" s="91"/>
      <c r="F815" s="91"/>
      <c r="G815" s="91"/>
      <c r="H815" s="91"/>
      <c r="I815" s="91"/>
      <c r="J815" s="91"/>
      <c r="K815" s="91"/>
      <c r="L815" s="91"/>
      <c r="M815" s="91"/>
      <c r="N815" s="91"/>
      <c r="O815" s="91"/>
      <c r="P815" s="91"/>
      <c r="Q815" s="91"/>
      <c r="R815" s="91"/>
      <c r="S815" s="91"/>
      <c r="T815" s="91"/>
      <c r="U815" s="91"/>
      <c r="V815" s="91"/>
      <c r="W815" s="91"/>
      <c r="X815" s="91"/>
      <c r="Y815" s="91"/>
      <c r="Z815" s="91"/>
    </row>
    <row r="816" spans="1:26" ht="15.75" customHeight="1" x14ac:dyDescent="0.25">
      <c r="A816" s="9"/>
      <c r="B816" s="189"/>
      <c r="C816" s="91"/>
      <c r="D816" s="91"/>
      <c r="E816" s="91"/>
      <c r="F816" s="91"/>
      <c r="G816" s="91"/>
      <c r="H816" s="91"/>
      <c r="I816" s="91"/>
      <c r="J816" s="91"/>
      <c r="K816" s="91"/>
      <c r="L816" s="91"/>
      <c r="M816" s="91"/>
      <c r="N816" s="91"/>
      <c r="O816" s="91"/>
      <c r="P816" s="91"/>
      <c r="Q816" s="91"/>
      <c r="R816" s="91"/>
      <c r="S816" s="91"/>
      <c r="T816" s="91"/>
      <c r="U816" s="91"/>
      <c r="V816" s="91"/>
      <c r="W816" s="91"/>
      <c r="X816" s="91"/>
      <c r="Y816" s="91"/>
      <c r="Z816" s="91"/>
    </row>
    <row r="817" spans="1:26" ht="15.75" customHeight="1" x14ac:dyDescent="0.25">
      <c r="A817" s="9"/>
      <c r="B817" s="189"/>
      <c r="C817" s="91"/>
      <c r="D817" s="91"/>
      <c r="E817" s="91"/>
      <c r="F817" s="91"/>
      <c r="G817" s="91"/>
      <c r="H817" s="91"/>
      <c r="I817" s="91"/>
      <c r="J817" s="91"/>
      <c r="K817" s="91"/>
      <c r="L817" s="91"/>
      <c r="M817" s="91"/>
      <c r="N817" s="91"/>
      <c r="O817" s="91"/>
      <c r="P817" s="91"/>
      <c r="Q817" s="91"/>
      <c r="R817" s="91"/>
      <c r="S817" s="91"/>
      <c r="T817" s="91"/>
      <c r="U817" s="91"/>
      <c r="V817" s="91"/>
      <c r="W817" s="91"/>
      <c r="X817" s="91"/>
      <c r="Y817" s="91"/>
      <c r="Z817" s="91"/>
    </row>
    <row r="818" spans="1:26" ht="15.75" customHeight="1" x14ac:dyDescent="0.25">
      <c r="A818" s="9"/>
      <c r="B818" s="189"/>
      <c r="C818" s="91"/>
      <c r="D818" s="91"/>
      <c r="E818" s="91"/>
      <c r="F818" s="91"/>
      <c r="G818" s="91"/>
      <c r="H818" s="91"/>
      <c r="I818" s="91"/>
      <c r="J818" s="91"/>
      <c r="K818" s="91"/>
      <c r="L818" s="91"/>
      <c r="M818" s="91"/>
      <c r="N818" s="91"/>
      <c r="O818" s="91"/>
      <c r="P818" s="91"/>
      <c r="Q818" s="91"/>
      <c r="R818" s="91"/>
      <c r="S818" s="91"/>
      <c r="T818" s="91"/>
      <c r="U818" s="91"/>
      <c r="V818" s="91"/>
      <c r="W818" s="91"/>
      <c r="X818" s="91"/>
      <c r="Y818" s="91"/>
      <c r="Z818" s="91"/>
    </row>
    <row r="819" spans="1:26" ht="15.75" customHeight="1" x14ac:dyDescent="0.25">
      <c r="A819" s="9"/>
      <c r="B819" s="189"/>
      <c r="C819" s="91"/>
      <c r="D819" s="91"/>
      <c r="E819" s="91"/>
      <c r="F819" s="91"/>
      <c r="G819" s="91"/>
      <c r="H819" s="91"/>
      <c r="I819" s="91"/>
      <c r="J819" s="91"/>
      <c r="K819" s="91"/>
      <c r="L819" s="91"/>
      <c r="M819" s="91"/>
      <c r="N819" s="91"/>
      <c r="O819" s="91"/>
      <c r="P819" s="91"/>
      <c r="Q819" s="91"/>
      <c r="R819" s="91"/>
      <c r="S819" s="91"/>
      <c r="T819" s="91"/>
      <c r="U819" s="91"/>
      <c r="V819" s="91"/>
      <c r="W819" s="91"/>
      <c r="X819" s="91"/>
      <c r="Y819" s="91"/>
      <c r="Z819" s="91"/>
    </row>
    <row r="820" spans="1:26" ht="15.75" customHeight="1" x14ac:dyDescent="0.25">
      <c r="A820" s="9"/>
      <c r="B820" s="189"/>
      <c r="C820" s="91"/>
      <c r="D820" s="91"/>
      <c r="E820" s="91"/>
      <c r="F820" s="91"/>
      <c r="G820" s="91"/>
      <c r="H820" s="91"/>
      <c r="I820" s="91"/>
      <c r="J820" s="91"/>
      <c r="K820" s="91"/>
      <c r="L820" s="91"/>
      <c r="M820" s="91"/>
      <c r="N820" s="91"/>
      <c r="O820" s="91"/>
      <c r="P820" s="91"/>
      <c r="Q820" s="91"/>
      <c r="R820" s="91"/>
      <c r="S820" s="91"/>
      <c r="T820" s="91"/>
      <c r="U820" s="91"/>
      <c r="V820" s="91"/>
      <c r="W820" s="91"/>
      <c r="X820" s="91"/>
      <c r="Y820" s="91"/>
      <c r="Z820" s="91"/>
    </row>
    <row r="821" spans="1:26" ht="15.75" customHeight="1" x14ac:dyDescent="0.25">
      <c r="A821" s="9"/>
      <c r="B821" s="189"/>
      <c r="C821" s="91"/>
      <c r="D821" s="91"/>
      <c r="E821" s="91"/>
      <c r="F821" s="91"/>
      <c r="G821" s="91"/>
      <c r="H821" s="91"/>
      <c r="I821" s="91"/>
      <c r="J821" s="91"/>
      <c r="K821" s="91"/>
      <c r="L821" s="91"/>
      <c r="M821" s="91"/>
      <c r="N821" s="91"/>
      <c r="O821" s="91"/>
      <c r="P821" s="91"/>
      <c r="Q821" s="91"/>
      <c r="R821" s="91"/>
      <c r="S821" s="91"/>
      <c r="T821" s="91"/>
      <c r="U821" s="91"/>
      <c r="V821" s="91"/>
      <c r="W821" s="91"/>
      <c r="X821" s="91"/>
      <c r="Y821" s="91"/>
      <c r="Z821" s="91"/>
    </row>
    <row r="822" spans="1:26" ht="15.75" customHeight="1" x14ac:dyDescent="0.25">
      <c r="A822" s="9"/>
      <c r="B822" s="189"/>
      <c r="C822" s="91"/>
      <c r="D822" s="91"/>
      <c r="E822" s="91"/>
      <c r="F822" s="91"/>
      <c r="G822" s="91"/>
      <c r="H822" s="91"/>
      <c r="I822" s="91"/>
      <c r="J822" s="91"/>
      <c r="K822" s="91"/>
      <c r="L822" s="91"/>
      <c r="M822" s="91"/>
      <c r="N822" s="91"/>
      <c r="O822" s="91"/>
      <c r="P822" s="91"/>
      <c r="Q822" s="91"/>
      <c r="R822" s="91"/>
      <c r="S822" s="91"/>
      <c r="T822" s="91"/>
      <c r="U822" s="91"/>
      <c r="V822" s="91"/>
      <c r="W822" s="91"/>
      <c r="X822" s="91"/>
      <c r="Y822" s="91"/>
      <c r="Z822" s="91"/>
    </row>
    <row r="823" spans="1:26" ht="15.75" customHeight="1" x14ac:dyDescent="0.25">
      <c r="A823" s="9"/>
      <c r="B823" s="189"/>
      <c r="C823" s="91"/>
      <c r="D823" s="91"/>
      <c r="E823" s="91"/>
      <c r="F823" s="91"/>
      <c r="G823" s="91"/>
      <c r="H823" s="91"/>
      <c r="I823" s="91"/>
      <c r="J823" s="91"/>
      <c r="K823" s="91"/>
      <c r="L823" s="91"/>
      <c r="M823" s="91"/>
      <c r="N823" s="91"/>
      <c r="O823" s="91"/>
      <c r="P823" s="91"/>
      <c r="Q823" s="91"/>
      <c r="R823" s="91"/>
      <c r="S823" s="91"/>
      <c r="T823" s="91"/>
      <c r="U823" s="91"/>
      <c r="V823" s="91"/>
      <c r="W823" s="91"/>
      <c r="X823" s="91"/>
      <c r="Y823" s="91"/>
      <c r="Z823" s="91"/>
    </row>
    <row r="824" spans="1:26" ht="15.75" customHeight="1" x14ac:dyDescent="0.25">
      <c r="A824" s="9"/>
      <c r="B824" s="189"/>
      <c r="C824" s="91"/>
      <c r="D824" s="91"/>
      <c r="E824" s="91"/>
      <c r="F824" s="91"/>
      <c r="G824" s="91"/>
      <c r="H824" s="91"/>
      <c r="I824" s="91"/>
      <c r="J824" s="91"/>
      <c r="K824" s="91"/>
      <c r="L824" s="91"/>
      <c r="M824" s="91"/>
      <c r="N824" s="91"/>
      <c r="O824" s="91"/>
      <c r="P824" s="91"/>
      <c r="Q824" s="91"/>
      <c r="R824" s="91"/>
      <c r="S824" s="91"/>
      <c r="T824" s="91"/>
      <c r="U824" s="91"/>
      <c r="V824" s="91"/>
      <c r="W824" s="91"/>
      <c r="X824" s="91"/>
      <c r="Y824" s="91"/>
      <c r="Z824" s="91"/>
    </row>
    <row r="825" spans="1:26" ht="15.75" customHeight="1" x14ac:dyDescent="0.25">
      <c r="A825" s="9"/>
      <c r="B825" s="189"/>
      <c r="C825" s="91"/>
      <c r="D825" s="91"/>
      <c r="E825" s="91"/>
      <c r="F825" s="91"/>
      <c r="G825" s="91"/>
      <c r="H825" s="91"/>
      <c r="I825" s="91"/>
      <c r="J825" s="91"/>
      <c r="K825" s="91"/>
      <c r="L825" s="91"/>
      <c r="M825" s="91"/>
      <c r="N825" s="91"/>
      <c r="O825" s="91"/>
      <c r="P825" s="91"/>
      <c r="Q825" s="91"/>
      <c r="R825" s="91"/>
      <c r="S825" s="91"/>
      <c r="T825" s="91"/>
      <c r="U825" s="91"/>
      <c r="V825" s="91"/>
      <c r="W825" s="91"/>
      <c r="X825" s="91"/>
      <c r="Y825" s="91"/>
      <c r="Z825" s="91"/>
    </row>
    <row r="826" spans="1:26" ht="15.75" customHeight="1" x14ac:dyDescent="0.25">
      <c r="A826" s="9"/>
      <c r="B826" s="189"/>
      <c r="C826" s="91"/>
      <c r="D826" s="91"/>
      <c r="E826" s="91"/>
      <c r="F826" s="91"/>
      <c r="G826" s="91"/>
      <c r="H826" s="91"/>
      <c r="I826" s="91"/>
      <c r="J826" s="91"/>
      <c r="K826" s="91"/>
      <c r="L826" s="91"/>
      <c r="M826" s="91"/>
      <c r="N826" s="91"/>
      <c r="O826" s="91"/>
      <c r="P826" s="91"/>
      <c r="Q826" s="91"/>
      <c r="R826" s="91"/>
      <c r="S826" s="91"/>
      <c r="T826" s="91"/>
      <c r="U826" s="91"/>
      <c r="V826" s="91"/>
      <c r="W826" s="91"/>
      <c r="X826" s="91"/>
      <c r="Y826" s="91"/>
      <c r="Z826" s="91"/>
    </row>
    <row r="827" spans="1:26" ht="15.75" customHeight="1" x14ac:dyDescent="0.25">
      <c r="A827" s="9"/>
      <c r="B827" s="189"/>
      <c r="C827" s="91"/>
      <c r="D827" s="91"/>
      <c r="E827" s="91"/>
      <c r="F827" s="91"/>
      <c r="G827" s="91"/>
      <c r="H827" s="91"/>
      <c r="I827" s="91"/>
      <c r="J827" s="91"/>
      <c r="K827" s="91"/>
      <c r="L827" s="91"/>
      <c r="M827" s="91"/>
      <c r="N827" s="91"/>
      <c r="O827" s="91"/>
      <c r="P827" s="91"/>
      <c r="Q827" s="91"/>
      <c r="R827" s="91"/>
      <c r="S827" s="91"/>
      <c r="T827" s="91"/>
      <c r="U827" s="91"/>
      <c r="V827" s="91"/>
      <c r="W827" s="91"/>
      <c r="X827" s="91"/>
      <c r="Y827" s="91"/>
      <c r="Z827" s="91"/>
    </row>
    <row r="828" spans="1:26" ht="15.75" customHeight="1" x14ac:dyDescent="0.25">
      <c r="A828" s="9"/>
      <c r="B828" s="189"/>
      <c r="C828" s="91"/>
      <c r="D828" s="91"/>
      <c r="E828" s="91"/>
      <c r="F828" s="91"/>
      <c r="G828" s="91"/>
      <c r="H828" s="91"/>
      <c r="I828" s="91"/>
      <c r="J828" s="91"/>
      <c r="K828" s="91"/>
      <c r="L828" s="91"/>
      <c r="M828" s="91"/>
      <c r="N828" s="91"/>
      <c r="O828" s="91"/>
      <c r="P828" s="91"/>
      <c r="Q828" s="91"/>
      <c r="R828" s="91"/>
      <c r="S828" s="91"/>
      <c r="T828" s="91"/>
      <c r="U828" s="91"/>
      <c r="V828" s="91"/>
      <c r="W828" s="91"/>
      <c r="X828" s="91"/>
      <c r="Y828" s="91"/>
      <c r="Z828" s="91"/>
    </row>
    <row r="829" spans="1:26" ht="15.75" customHeight="1" x14ac:dyDescent="0.25">
      <c r="A829" s="9"/>
      <c r="B829" s="189"/>
      <c r="C829" s="91"/>
      <c r="D829" s="91"/>
      <c r="E829" s="91"/>
      <c r="F829" s="91"/>
      <c r="G829" s="91"/>
      <c r="H829" s="91"/>
      <c r="I829" s="91"/>
      <c r="J829" s="91"/>
      <c r="K829" s="91"/>
      <c r="L829" s="91"/>
      <c r="M829" s="91"/>
      <c r="N829" s="91"/>
      <c r="O829" s="91"/>
      <c r="P829" s="91"/>
      <c r="Q829" s="91"/>
      <c r="R829" s="91"/>
      <c r="S829" s="91"/>
      <c r="T829" s="91"/>
      <c r="U829" s="91"/>
      <c r="V829" s="91"/>
      <c r="W829" s="91"/>
      <c r="X829" s="91"/>
      <c r="Y829" s="91"/>
      <c r="Z829" s="91"/>
    </row>
    <row r="830" spans="1:26" ht="15.75" customHeight="1" x14ac:dyDescent="0.25">
      <c r="A830" s="9"/>
      <c r="B830" s="189"/>
      <c r="C830" s="91"/>
      <c r="D830" s="91"/>
      <c r="E830" s="91"/>
      <c r="F830" s="91"/>
      <c r="G830" s="91"/>
      <c r="H830" s="91"/>
      <c r="I830" s="91"/>
      <c r="J830" s="91"/>
      <c r="K830" s="91"/>
      <c r="L830" s="91"/>
      <c r="M830" s="91"/>
      <c r="N830" s="91"/>
      <c r="O830" s="91"/>
      <c r="P830" s="91"/>
      <c r="Q830" s="91"/>
      <c r="R830" s="91"/>
      <c r="S830" s="91"/>
      <c r="T830" s="91"/>
      <c r="U830" s="91"/>
      <c r="V830" s="91"/>
      <c r="W830" s="91"/>
      <c r="X830" s="91"/>
      <c r="Y830" s="91"/>
      <c r="Z830" s="91"/>
    </row>
    <row r="831" spans="1:26" ht="15.75" customHeight="1" x14ac:dyDescent="0.25">
      <c r="A831" s="9"/>
      <c r="B831" s="189"/>
      <c r="C831" s="91"/>
      <c r="D831" s="91"/>
      <c r="E831" s="91"/>
      <c r="F831" s="91"/>
      <c r="G831" s="91"/>
      <c r="H831" s="91"/>
      <c r="I831" s="91"/>
      <c r="J831" s="91"/>
      <c r="K831" s="91"/>
      <c r="L831" s="91"/>
      <c r="M831" s="91"/>
      <c r="N831" s="91"/>
      <c r="O831" s="91"/>
      <c r="P831" s="91"/>
      <c r="Q831" s="91"/>
      <c r="R831" s="91"/>
      <c r="S831" s="91"/>
      <c r="T831" s="91"/>
      <c r="U831" s="91"/>
      <c r="V831" s="91"/>
      <c r="W831" s="91"/>
      <c r="X831" s="91"/>
      <c r="Y831" s="91"/>
      <c r="Z831" s="91"/>
    </row>
    <row r="832" spans="1:26" ht="15.75" customHeight="1" x14ac:dyDescent="0.25">
      <c r="A832" s="9"/>
      <c r="B832" s="189"/>
      <c r="C832" s="91"/>
      <c r="D832" s="91"/>
      <c r="E832" s="91"/>
      <c r="F832" s="91"/>
      <c r="G832" s="91"/>
      <c r="H832" s="91"/>
      <c r="I832" s="91"/>
      <c r="J832" s="91"/>
      <c r="K832" s="91"/>
      <c r="L832" s="91"/>
      <c r="M832" s="91"/>
      <c r="N832" s="91"/>
      <c r="O832" s="91"/>
      <c r="P832" s="91"/>
      <c r="Q832" s="91"/>
      <c r="R832" s="91"/>
      <c r="S832" s="91"/>
      <c r="T832" s="91"/>
      <c r="U832" s="91"/>
      <c r="V832" s="91"/>
      <c r="W832" s="91"/>
      <c r="X832" s="91"/>
      <c r="Y832" s="91"/>
      <c r="Z832" s="91"/>
    </row>
    <row r="833" spans="1:26" ht="15.75" customHeight="1" x14ac:dyDescent="0.25">
      <c r="A833" s="9"/>
      <c r="B833" s="189"/>
      <c r="C833" s="91"/>
      <c r="D833" s="91"/>
      <c r="E833" s="91"/>
      <c r="F833" s="91"/>
      <c r="G833" s="91"/>
      <c r="H833" s="91"/>
      <c r="I833" s="91"/>
      <c r="J833" s="91"/>
      <c r="K833" s="91"/>
      <c r="L833" s="91"/>
      <c r="M833" s="91"/>
      <c r="N833" s="91"/>
      <c r="O833" s="91"/>
      <c r="P833" s="91"/>
      <c r="Q833" s="91"/>
      <c r="R833" s="91"/>
      <c r="S833" s="91"/>
      <c r="T833" s="91"/>
      <c r="U833" s="91"/>
      <c r="V833" s="91"/>
      <c r="W833" s="91"/>
      <c r="X833" s="91"/>
      <c r="Y833" s="91"/>
      <c r="Z833" s="91"/>
    </row>
    <row r="834" spans="1:26" ht="15.75" customHeight="1" x14ac:dyDescent="0.25">
      <c r="A834" s="9"/>
      <c r="B834" s="189"/>
      <c r="C834" s="91"/>
      <c r="D834" s="91"/>
      <c r="E834" s="91"/>
      <c r="F834" s="91"/>
      <c r="G834" s="91"/>
      <c r="H834" s="91"/>
      <c r="I834" s="91"/>
      <c r="J834" s="91"/>
      <c r="K834" s="91"/>
      <c r="L834" s="91"/>
      <c r="M834" s="91"/>
      <c r="N834" s="91"/>
      <c r="O834" s="91"/>
      <c r="P834" s="91"/>
      <c r="Q834" s="91"/>
      <c r="R834" s="91"/>
      <c r="S834" s="91"/>
      <c r="T834" s="91"/>
      <c r="U834" s="91"/>
      <c r="V834" s="91"/>
      <c r="W834" s="91"/>
      <c r="X834" s="91"/>
      <c r="Y834" s="91"/>
      <c r="Z834" s="91"/>
    </row>
    <row r="835" spans="1:26" ht="15.75" customHeight="1" x14ac:dyDescent="0.25">
      <c r="A835" s="9"/>
      <c r="B835" s="189"/>
      <c r="C835" s="91"/>
      <c r="D835" s="91"/>
      <c r="E835" s="91"/>
      <c r="F835" s="91"/>
      <c r="G835" s="91"/>
      <c r="H835" s="91"/>
      <c r="I835" s="91"/>
      <c r="J835" s="91"/>
      <c r="K835" s="91"/>
      <c r="L835" s="91"/>
      <c r="M835" s="91"/>
      <c r="N835" s="91"/>
      <c r="O835" s="91"/>
      <c r="P835" s="91"/>
      <c r="Q835" s="91"/>
      <c r="R835" s="91"/>
      <c r="S835" s="91"/>
      <c r="T835" s="91"/>
      <c r="U835" s="91"/>
      <c r="V835" s="91"/>
      <c r="W835" s="91"/>
      <c r="X835" s="91"/>
      <c r="Y835" s="91"/>
      <c r="Z835" s="91"/>
    </row>
    <row r="836" spans="1:26" ht="15.75" customHeight="1" x14ac:dyDescent="0.25">
      <c r="A836" s="9"/>
      <c r="B836" s="189"/>
      <c r="C836" s="91"/>
      <c r="D836" s="91"/>
      <c r="E836" s="91"/>
      <c r="F836" s="91"/>
      <c r="G836" s="91"/>
      <c r="H836" s="91"/>
      <c r="I836" s="91"/>
      <c r="J836" s="91"/>
      <c r="K836" s="91"/>
      <c r="L836" s="91"/>
      <c r="M836" s="91"/>
      <c r="N836" s="91"/>
      <c r="O836" s="91"/>
      <c r="P836" s="91"/>
      <c r="Q836" s="91"/>
      <c r="R836" s="91"/>
      <c r="S836" s="91"/>
      <c r="T836" s="91"/>
      <c r="U836" s="91"/>
      <c r="V836" s="91"/>
      <c r="W836" s="91"/>
      <c r="X836" s="91"/>
      <c r="Y836" s="91"/>
      <c r="Z836" s="91"/>
    </row>
    <row r="837" spans="1:26" ht="15.75" customHeight="1" x14ac:dyDescent="0.25">
      <c r="A837" s="9"/>
      <c r="B837" s="189"/>
      <c r="C837" s="91"/>
      <c r="D837" s="91"/>
      <c r="E837" s="91"/>
      <c r="F837" s="91"/>
      <c r="G837" s="91"/>
      <c r="H837" s="91"/>
      <c r="I837" s="91"/>
      <c r="J837" s="91"/>
      <c r="K837" s="91"/>
      <c r="L837" s="91"/>
      <c r="M837" s="91"/>
      <c r="N837" s="91"/>
      <c r="O837" s="91"/>
      <c r="P837" s="91"/>
      <c r="Q837" s="91"/>
      <c r="R837" s="91"/>
      <c r="S837" s="91"/>
      <c r="T837" s="91"/>
      <c r="U837" s="91"/>
      <c r="V837" s="91"/>
      <c r="W837" s="91"/>
      <c r="X837" s="91"/>
      <c r="Y837" s="91"/>
      <c r="Z837" s="91"/>
    </row>
    <row r="838" spans="1:26" ht="15.75" customHeight="1" x14ac:dyDescent="0.25">
      <c r="A838" s="9"/>
      <c r="B838" s="189"/>
      <c r="C838" s="91"/>
      <c r="D838" s="91"/>
      <c r="E838" s="91"/>
      <c r="F838" s="91"/>
      <c r="G838" s="91"/>
      <c r="H838" s="91"/>
      <c r="I838" s="91"/>
      <c r="J838" s="91"/>
      <c r="K838" s="91"/>
      <c r="L838" s="91"/>
      <c r="M838" s="91"/>
      <c r="N838" s="91"/>
      <c r="O838" s="91"/>
      <c r="P838" s="91"/>
      <c r="Q838" s="91"/>
      <c r="R838" s="91"/>
      <c r="S838" s="91"/>
      <c r="T838" s="91"/>
      <c r="U838" s="91"/>
      <c r="V838" s="91"/>
      <c r="W838" s="91"/>
      <c r="X838" s="91"/>
      <c r="Y838" s="91"/>
      <c r="Z838" s="91"/>
    </row>
    <row r="839" spans="1:26" ht="15.75" customHeight="1" x14ac:dyDescent="0.25">
      <c r="A839" s="9"/>
      <c r="B839" s="189"/>
      <c r="C839" s="91"/>
      <c r="D839" s="91"/>
      <c r="E839" s="91"/>
      <c r="F839" s="91"/>
      <c r="G839" s="91"/>
      <c r="H839" s="91"/>
      <c r="I839" s="91"/>
      <c r="J839" s="91"/>
      <c r="K839" s="91"/>
      <c r="L839" s="91"/>
      <c r="M839" s="91"/>
      <c r="N839" s="91"/>
      <c r="O839" s="91"/>
      <c r="P839" s="91"/>
      <c r="Q839" s="91"/>
      <c r="R839" s="91"/>
      <c r="S839" s="91"/>
      <c r="T839" s="91"/>
      <c r="U839" s="91"/>
      <c r="V839" s="91"/>
      <c r="W839" s="91"/>
      <c r="X839" s="91"/>
      <c r="Y839" s="91"/>
      <c r="Z839" s="91"/>
    </row>
    <row r="840" spans="1:26" ht="15.75" customHeight="1" x14ac:dyDescent="0.25">
      <c r="A840" s="9"/>
      <c r="B840" s="189"/>
      <c r="C840" s="91"/>
      <c r="D840" s="91"/>
      <c r="E840" s="91"/>
      <c r="F840" s="91"/>
      <c r="G840" s="91"/>
      <c r="H840" s="91"/>
      <c r="I840" s="91"/>
      <c r="J840" s="91"/>
      <c r="K840" s="91"/>
      <c r="L840" s="91"/>
      <c r="M840" s="91"/>
      <c r="N840" s="91"/>
      <c r="O840" s="91"/>
      <c r="P840" s="91"/>
      <c r="Q840" s="91"/>
      <c r="R840" s="91"/>
      <c r="S840" s="91"/>
      <c r="T840" s="91"/>
      <c r="U840" s="91"/>
      <c r="V840" s="91"/>
      <c r="W840" s="91"/>
      <c r="X840" s="91"/>
      <c r="Y840" s="91"/>
      <c r="Z840" s="91"/>
    </row>
    <row r="841" spans="1:26" ht="15.75" customHeight="1" x14ac:dyDescent="0.25">
      <c r="A841" s="9"/>
      <c r="B841" s="189"/>
      <c r="C841" s="91"/>
      <c r="D841" s="91"/>
      <c r="E841" s="91"/>
      <c r="F841" s="91"/>
      <c r="G841" s="91"/>
      <c r="H841" s="91"/>
      <c r="I841" s="91"/>
      <c r="J841" s="91"/>
      <c r="K841" s="91"/>
      <c r="L841" s="91"/>
      <c r="M841" s="91"/>
      <c r="N841" s="91"/>
      <c r="O841" s="91"/>
      <c r="P841" s="91"/>
      <c r="Q841" s="91"/>
      <c r="R841" s="91"/>
      <c r="S841" s="91"/>
      <c r="T841" s="91"/>
      <c r="U841" s="91"/>
      <c r="V841" s="91"/>
      <c r="W841" s="91"/>
      <c r="X841" s="91"/>
      <c r="Y841" s="91"/>
      <c r="Z841" s="91"/>
    </row>
    <row r="842" spans="1:26" ht="15.75" customHeight="1" x14ac:dyDescent="0.25">
      <c r="A842" s="9"/>
      <c r="B842" s="189"/>
      <c r="C842" s="91"/>
      <c r="D842" s="91"/>
      <c r="E842" s="91"/>
      <c r="F842" s="91"/>
      <c r="G842" s="91"/>
      <c r="H842" s="91"/>
      <c r="I842" s="91"/>
      <c r="J842" s="91"/>
      <c r="K842" s="91"/>
      <c r="L842" s="91"/>
      <c r="M842" s="91"/>
      <c r="N842" s="91"/>
      <c r="O842" s="91"/>
      <c r="P842" s="91"/>
      <c r="Q842" s="91"/>
      <c r="R842" s="91"/>
      <c r="S842" s="91"/>
      <c r="T842" s="91"/>
      <c r="U842" s="91"/>
      <c r="V842" s="91"/>
      <c r="W842" s="91"/>
      <c r="X842" s="91"/>
      <c r="Y842" s="91"/>
      <c r="Z842" s="91"/>
    </row>
    <row r="843" spans="1:26" ht="15.75" customHeight="1" x14ac:dyDescent="0.25">
      <c r="A843" s="9"/>
      <c r="B843" s="189"/>
      <c r="C843" s="91"/>
      <c r="D843" s="91"/>
      <c r="E843" s="91"/>
      <c r="F843" s="91"/>
      <c r="G843" s="91"/>
      <c r="H843" s="91"/>
      <c r="I843" s="91"/>
      <c r="J843" s="91"/>
      <c r="K843" s="91"/>
      <c r="L843" s="91"/>
      <c r="M843" s="91"/>
      <c r="N843" s="91"/>
      <c r="O843" s="91"/>
      <c r="P843" s="91"/>
      <c r="Q843" s="91"/>
      <c r="R843" s="91"/>
      <c r="S843" s="91"/>
      <c r="T843" s="91"/>
      <c r="U843" s="91"/>
      <c r="V843" s="91"/>
      <c r="W843" s="91"/>
      <c r="X843" s="91"/>
      <c r="Y843" s="91"/>
      <c r="Z843" s="91"/>
    </row>
    <row r="844" spans="1:26" ht="15.75" customHeight="1" x14ac:dyDescent="0.25">
      <c r="A844" s="9"/>
      <c r="B844" s="189"/>
      <c r="C844" s="91"/>
      <c r="D844" s="91"/>
      <c r="E844" s="91"/>
      <c r="F844" s="91"/>
      <c r="G844" s="91"/>
      <c r="H844" s="91"/>
      <c r="I844" s="91"/>
      <c r="J844" s="91"/>
      <c r="K844" s="91"/>
      <c r="L844" s="91"/>
      <c r="M844" s="91"/>
      <c r="N844" s="91"/>
      <c r="O844" s="91"/>
      <c r="P844" s="91"/>
      <c r="Q844" s="91"/>
      <c r="R844" s="91"/>
      <c r="S844" s="91"/>
      <c r="T844" s="91"/>
      <c r="U844" s="91"/>
      <c r="V844" s="91"/>
      <c r="W844" s="91"/>
      <c r="X844" s="91"/>
      <c r="Y844" s="91"/>
      <c r="Z844" s="91"/>
    </row>
    <row r="845" spans="1:26" ht="15.75" customHeight="1" x14ac:dyDescent="0.25">
      <c r="A845" s="9"/>
      <c r="B845" s="189"/>
      <c r="C845" s="91"/>
      <c r="D845" s="91"/>
      <c r="E845" s="91"/>
      <c r="F845" s="91"/>
      <c r="G845" s="91"/>
      <c r="H845" s="91"/>
      <c r="I845" s="91"/>
      <c r="J845" s="91"/>
      <c r="K845" s="91"/>
      <c r="L845" s="91"/>
      <c r="M845" s="91"/>
      <c r="N845" s="91"/>
      <c r="O845" s="91"/>
      <c r="P845" s="91"/>
      <c r="Q845" s="91"/>
      <c r="R845" s="91"/>
      <c r="S845" s="91"/>
      <c r="T845" s="91"/>
      <c r="U845" s="91"/>
      <c r="V845" s="91"/>
      <c r="W845" s="91"/>
      <c r="X845" s="91"/>
      <c r="Y845" s="91"/>
      <c r="Z845" s="91"/>
    </row>
    <row r="846" spans="1:26" ht="15.75" customHeight="1" x14ac:dyDescent="0.25">
      <c r="A846" s="9"/>
      <c r="B846" s="189"/>
      <c r="C846" s="91"/>
      <c r="D846" s="91"/>
      <c r="E846" s="91"/>
      <c r="F846" s="91"/>
      <c r="G846" s="91"/>
      <c r="H846" s="91"/>
      <c r="I846" s="91"/>
      <c r="J846" s="91"/>
      <c r="K846" s="91"/>
      <c r="L846" s="91"/>
      <c r="M846" s="91"/>
      <c r="N846" s="91"/>
      <c r="O846" s="91"/>
      <c r="P846" s="91"/>
      <c r="Q846" s="91"/>
      <c r="R846" s="91"/>
      <c r="S846" s="91"/>
      <c r="T846" s="91"/>
      <c r="U846" s="91"/>
      <c r="V846" s="91"/>
      <c r="W846" s="91"/>
      <c r="X846" s="91"/>
      <c r="Y846" s="91"/>
      <c r="Z846" s="91"/>
    </row>
    <row r="847" spans="1:26" ht="15.75" customHeight="1" x14ac:dyDescent="0.25">
      <c r="A847" s="9"/>
      <c r="B847" s="189"/>
      <c r="C847" s="91"/>
      <c r="D847" s="91"/>
      <c r="E847" s="91"/>
      <c r="F847" s="91"/>
      <c r="G847" s="91"/>
      <c r="H847" s="91"/>
      <c r="I847" s="91"/>
      <c r="J847" s="91"/>
      <c r="K847" s="91"/>
      <c r="L847" s="91"/>
      <c r="M847" s="91"/>
      <c r="N847" s="91"/>
      <c r="O847" s="91"/>
      <c r="P847" s="91"/>
      <c r="Q847" s="91"/>
      <c r="R847" s="91"/>
      <c r="S847" s="91"/>
      <c r="T847" s="91"/>
      <c r="U847" s="91"/>
      <c r="V847" s="91"/>
      <c r="W847" s="91"/>
      <c r="X847" s="91"/>
      <c r="Y847" s="91"/>
      <c r="Z847" s="91"/>
    </row>
    <row r="848" spans="1:26" ht="15.75" customHeight="1" x14ac:dyDescent="0.25">
      <c r="A848" s="9"/>
      <c r="B848" s="189"/>
      <c r="C848" s="91"/>
      <c r="D848" s="91"/>
      <c r="E848" s="91"/>
      <c r="F848" s="91"/>
      <c r="G848" s="91"/>
      <c r="H848" s="91"/>
      <c r="I848" s="91"/>
      <c r="J848" s="91"/>
      <c r="K848" s="91"/>
      <c r="L848" s="91"/>
      <c r="M848" s="91"/>
      <c r="N848" s="91"/>
      <c r="O848" s="91"/>
      <c r="P848" s="91"/>
      <c r="Q848" s="91"/>
      <c r="R848" s="91"/>
      <c r="S848" s="91"/>
      <c r="T848" s="91"/>
      <c r="U848" s="91"/>
      <c r="V848" s="91"/>
      <c r="W848" s="91"/>
      <c r="X848" s="91"/>
      <c r="Y848" s="91"/>
      <c r="Z848" s="91"/>
    </row>
    <row r="849" spans="1:26" ht="15.75" customHeight="1" x14ac:dyDescent="0.25">
      <c r="A849" s="9"/>
      <c r="B849" s="189"/>
      <c r="C849" s="91"/>
      <c r="D849" s="91"/>
      <c r="E849" s="91"/>
      <c r="F849" s="91"/>
      <c r="G849" s="91"/>
      <c r="H849" s="91"/>
      <c r="I849" s="91"/>
      <c r="J849" s="91"/>
      <c r="K849" s="91"/>
      <c r="L849" s="91"/>
      <c r="M849" s="91"/>
      <c r="N849" s="91"/>
      <c r="O849" s="91"/>
      <c r="P849" s="91"/>
      <c r="Q849" s="91"/>
      <c r="R849" s="91"/>
      <c r="S849" s="91"/>
      <c r="T849" s="91"/>
      <c r="U849" s="91"/>
      <c r="V849" s="91"/>
      <c r="W849" s="91"/>
      <c r="X849" s="91"/>
      <c r="Y849" s="91"/>
      <c r="Z849" s="91"/>
    </row>
    <row r="850" spans="1:26" ht="15.75" customHeight="1" x14ac:dyDescent="0.25">
      <c r="A850" s="9"/>
      <c r="B850" s="189"/>
      <c r="C850" s="91"/>
      <c r="D850" s="91"/>
      <c r="E850" s="91"/>
      <c r="F850" s="91"/>
      <c r="G850" s="91"/>
      <c r="H850" s="91"/>
      <c r="I850" s="91"/>
      <c r="J850" s="91"/>
      <c r="K850" s="91"/>
      <c r="L850" s="91"/>
      <c r="M850" s="91"/>
      <c r="N850" s="91"/>
      <c r="O850" s="91"/>
      <c r="P850" s="91"/>
      <c r="Q850" s="91"/>
      <c r="R850" s="91"/>
      <c r="S850" s="91"/>
      <c r="T850" s="91"/>
      <c r="U850" s="91"/>
      <c r="V850" s="91"/>
      <c r="W850" s="91"/>
      <c r="X850" s="91"/>
      <c r="Y850" s="91"/>
      <c r="Z850" s="91"/>
    </row>
    <row r="851" spans="1:26" ht="15.75" customHeight="1" x14ac:dyDescent="0.25">
      <c r="A851" s="9"/>
      <c r="B851" s="189"/>
      <c r="C851" s="91"/>
      <c r="D851" s="91"/>
      <c r="E851" s="91"/>
      <c r="F851" s="91"/>
      <c r="G851" s="91"/>
      <c r="H851" s="91"/>
      <c r="I851" s="91"/>
      <c r="J851" s="91"/>
      <c r="K851" s="91"/>
      <c r="L851" s="91"/>
      <c r="M851" s="91"/>
      <c r="N851" s="91"/>
      <c r="O851" s="91"/>
      <c r="P851" s="91"/>
      <c r="Q851" s="91"/>
      <c r="R851" s="91"/>
      <c r="S851" s="91"/>
      <c r="T851" s="91"/>
      <c r="U851" s="91"/>
      <c r="V851" s="91"/>
      <c r="W851" s="91"/>
      <c r="X851" s="91"/>
      <c r="Y851" s="91"/>
      <c r="Z851" s="91"/>
    </row>
    <row r="852" spans="1:26" ht="15.75" customHeight="1" x14ac:dyDescent="0.25">
      <c r="A852" s="9"/>
      <c r="B852" s="189"/>
      <c r="C852" s="91"/>
      <c r="D852" s="91"/>
      <c r="E852" s="91"/>
      <c r="F852" s="91"/>
      <c r="G852" s="91"/>
      <c r="H852" s="91"/>
      <c r="I852" s="91"/>
      <c r="J852" s="91"/>
      <c r="K852" s="91"/>
      <c r="L852" s="91"/>
      <c r="M852" s="91"/>
      <c r="N852" s="91"/>
      <c r="O852" s="91"/>
      <c r="P852" s="91"/>
      <c r="Q852" s="91"/>
      <c r="R852" s="91"/>
      <c r="S852" s="91"/>
      <c r="T852" s="91"/>
      <c r="U852" s="91"/>
      <c r="V852" s="91"/>
      <c r="W852" s="91"/>
      <c r="X852" s="91"/>
      <c r="Y852" s="91"/>
      <c r="Z852" s="91"/>
    </row>
    <row r="853" spans="1:26" ht="15.75" customHeight="1" x14ac:dyDescent="0.25">
      <c r="A853" s="9"/>
      <c r="B853" s="189"/>
      <c r="C853" s="91"/>
      <c r="D853" s="91"/>
      <c r="E853" s="91"/>
      <c r="F853" s="91"/>
      <c r="G853" s="91"/>
      <c r="H853" s="91"/>
      <c r="I853" s="91"/>
      <c r="J853" s="91"/>
      <c r="K853" s="91"/>
      <c r="L853" s="91"/>
      <c r="M853" s="91"/>
      <c r="N853" s="91"/>
      <c r="O853" s="91"/>
      <c r="P853" s="91"/>
      <c r="Q853" s="91"/>
      <c r="R853" s="91"/>
      <c r="S853" s="91"/>
      <c r="T853" s="91"/>
      <c r="U853" s="91"/>
      <c r="V853" s="91"/>
      <c r="W853" s="91"/>
      <c r="X853" s="91"/>
      <c r="Y853" s="91"/>
      <c r="Z853" s="91"/>
    </row>
    <row r="854" spans="1:26" ht="15.75" customHeight="1" x14ac:dyDescent="0.25">
      <c r="A854" s="9"/>
      <c r="B854" s="189"/>
      <c r="C854" s="91"/>
      <c r="D854" s="91"/>
      <c r="E854" s="91"/>
      <c r="F854" s="91"/>
      <c r="G854" s="91"/>
      <c r="H854" s="91"/>
      <c r="I854" s="91"/>
      <c r="J854" s="91"/>
      <c r="K854" s="91"/>
      <c r="L854" s="91"/>
      <c r="M854" s="91"/>
      <c r="N854" s="91"/>
      <c r="O854" s="91"/>
      <c r="P854" s="91"/>
      <c r="Q854" s="91"/>
      <c r="R854" s="91"/>
      <c r="S854" s="91"/>
      <c r="T854" s="91"/>
      <c r="U854" s="91"/>
      <c r="V854" s="91"/>
      <c r="W854" s="91"/>
      <c r="X854" s="91"/>
      <c r="Y854" s="91"/>
      <c r="Z854" s="91"/>
    </row>
    <row r="855" spans="1:26" ht="15.75" customHeight="1" x14ac:dyDescent="0.25">
      <c r="A855" s="9"/>
      <c r="B855" s="189"/>
      <c r="C855" s="91"/>
      <c r="D855" s="91"/>
      <c r="E855" s="91"/>
      <c r="F855" s="91"/>
      <c r="G855" s="91"/>
      <c r="H855" s="91"/>
      <c r="I855" s="91"/>
      <c r="J855" s="91"/>
      <c r="K855" s="91"/>
      <c r="L855" s="91"/>
      <c r="M855" s="91"/>
      <c r="N855" s="91"/>
      <c r="O855" s="91"/>
      <c r="P855" s="91"/>
      <c r="Q855" s="91"/>
      <c r="R855" s="91"/>
      <c r="S855" s="91"/>
      <c r="T855" s="91"/>
      <c r="U855" s="91"/>
      <c r="V855" s="91"/>
      <c r="W855" s="91"/>
      <c r="X855" s="91"/>
      <c r="Y855" s="91"/>
      <c r="Z855" s="91"/>
    </row>
    <row r="856" spans="1:26" ht="15.75" customHeight="1" x14ac:dyDescent="0.25">
      <c r="A856" s="9"/>
      <c r="B856" s="189"/>
      <c r="C856" s="91"/>
      <c r="D856" s="91"/>
      <c r="E856" s="91"/>
      <c r="F856" s="91"/>
      <c r="G856" s="91"/>
      <c r="H856" s="91"/>
      <c r="I856" s="91"/>
      <c r="J856" s="91"/>
      <c r="K856" s="91"/>
      <c r="L856" s="91"/>
      <c r="M856" s="91"/>
      <c r="N856" s="91"/>
      <c r="O856" s="91"/>
      <c r="P856" s="91"/>
      <c r="Q856" s="91"/>
      <c r="R856" s="91"/>
      <c r="S856" s="91"/>
      <c r="T856" s="91"/>
      <c r="U856" s="91"/>
      <c r="V856" s="91"/>
      <c r="W856" s="91"/>
      <c r="X856" s="91"/>
      <c r="Y856" s="91"/>
      <c r="Z856" s="91"/>
    </row>
    <row r="857" spans="1:26" ht="15.75" customHeight="1" x14ac:dyDescent="0.25">
      <c r="A857" s="9"/>
      <c r="B857" s="189"/>
      <c r="C857" s="91"/>
      <c r="D857" s="91"/>
      <c r="E857" s="91"/>
      <c r="F857" s="91"/>
      <c r="G857" s="91"/>
      <c r="H857" s="91"/>
      <c r="I857" s="91"/>
      <c r="J857" s="91"/>
      <c r="K857" s="91"/>
      <c r="L857" s="91"/>
      <c r="M857" s="91"/>
      <c r="N857" s="91"/>
      <c r="O857" s="91"/>
      <c r="P857" s="91"/>
      <c r="Q857" s="91"/>
      <c r="R857" s="91"/>
      <c r="S857" s="91"/>
      <c r="T857" s="91"/>
      <c r="U857" s="91"/>
      <c r="V857" s="91"/>
      <c r="W857" s="91"/>
      <c r="X857" s="91"/>
      <c r="Y857" s="91"/>
      <c r="Z857" s="91"/>
    </row>
    <row r="858" spans="1:26" ht="15.75" customHeight="1" x14ac:dyDescent="0.25">
      <c r="A858" s="9"/>
      <c r="B858" s="189"/>
      <c r="C858" s="91"/>
      <c r="D858" s="91"/>
      <c r="E858" s="91"/>
      <c r="F858" s="91"/>
      <c r="G858" s="91"/>
      <c r="H858" s="91"/>
      <c r="I858" s="91"/>
      <c r="J858" s="91"/>
      <c r="K858" s="91"/>
      <c r="L858" s="91"/>
      <c r="M858" s="91"/>
      <c r="N858" s="91"/>
      <c r="O858" s="91"/>
      <c r="P858" s="91"/>
      <c r="Q858" s="91"/>
      <c r="R858" s="91"/>
      <c r="S858" s="91"/>
      <c r="T858" s="91"/>
      <c r="U858" s="91"/>
      <c r="V858" s="91"/>
      <c r="W858" s="91"/>
      <c r="X858" s="91"/>
      <c r="Y858" s="91"/>
      <c r="Z858" s="91"/>
    </row>
    <row r="859" spans="1:26" ht="15.75" customHeight="1" x14ac:dyDescent="0.25">
      <c r="A859" s="9"/>
      <c r="B859" s="189"/>
      <c r="C859" s="91"/>
      <c r="D859" s="91"/>
      <c r="E859" s="91"/>
      <c r="F859" s="91"/>
      <c r="G859" s="91"/>
      <c r="H859" s="91"/>
      <c r="I859" s="91"/>
      <c r="J859" s="91"/>
      <c r="K859" s="91"/>
      <c r="L859" s="91"/>
      <c r="M859" s="91"/>
      <c r="N859" s="91"/>
      <c r="O859" s="91"/>
      <c r="P859" s="91"/>
      <c r="Q859" s="91"/>
      <c r="R859" s="91"/>
      <c r="S859" s="91"/>
      <c r="T859" s="91"/>
      <c r="U859" s="91"/>
      <c r="V859" s="91"/>
      <c r="W859" s="91"/>
      <c r="X859" s="91"/>
      <c r="Y859" s="91"/>
      <c r="Z859" s="91"/>
    </row>
    <row r="860" spans="1:26" ht="15.75" customHeight="1" x14ac:dyDescent="0.25">
      <c r="A860" s="9"/>
      <c r="B860" s="189"/>
      <c r="C860" s="91"/>
      <c r="D860" s="91"/>
      <c r="E860" s="91"/>
      <c r="F860" s="91"/>
      <c r="G860" s="91"/>
      <c r="H860" s="91"/>
      <c r="I860" s="91"/>
      <c r="J860" s="91"/>
      <c r="K860" s="91"/>
      <c r="L860" s="91"/>
      <c r="M860" s="91"/>
      <c r="N860" s="91"/>
      <c r="O860" s="91"/>
      <c r="P860" s="91"/>
      <c r="Q860" s="91"/>
      <c r="R860" s="91"/>
      <c r="S860" s="91"/>
      <c r="T860" s="91"/>
      <c r="U860" s="91"/>
      <c r="V860" s="91"/>
      <c r="W860" s="91"/>
      <c r="X860" s="91"/>
      <c r="Y860" s="91"/>
      <c r="Z860" s="91"/>
    </row>
    <row r="861" spans="1:26" ht="15.75" customHeight="1" x14ac:dyDescent="0.25">
      <c r="A861" s="9"/>
      <c r="B861" s="189"/>
      <c r="C861" s="91"/>
      <c r="D861" s="91"/>
      <c r="E861" s="91"/>
      <c r="F861" s="91"/>
      <c r="G861" s="91"/>
      <c r="H861" s="91"/>
      <c r="I861" s="91"/>
      <c r="J861" s="91"/>
      <c r="K861" s="91"/>
      <c r="L861" s="91"/>
      <c r="M861" s="91"/>
      <c r="N861" s="91"/>
      <c r="O861" s="91"/>
      <c r="P861" s="91"/>
      <c r="Q861" s="91"/>
      <c r="R861" s="91"/>
      <c r="S861" s="91"/>
      <c r="T861" s="91"/>
      <c r="U861" s="91"/>
      <c r="V861" s="91"/>
      <c r="W861" s="91"/>
      <c r="X861" s="91"/>
      <c r="Y861" s="91"/>
      <c r="Z861" s="91"/>
    </row>
    <row r="862" spans="1:26" ht="15.75" customHeight="1" x14ac:dyDescent="0.25">
      <c r="A862" s="9"/>
      <c r="B862" s="189"/>
      <c r="C862" s="91"/>
      <c r="D862" s="91"/>
      <c r="E862" s="91"/>
      <c r="F862" s="91"/>
      <c r="G862" s="91"/>
      <c r="H862" s="91"/>
      <c r="I862" s="91"/>
      <c r="J862" s="91"/>
      <c r="K862" s="91"/>
      <c r="L862" s="91"/>
      <c r="M862" s="91"/>
      <c r="N862" s="91"/>
      <c r="O862" s="91"/>
      <c r="P862" s="91"/>
      <c r="Q862" s="91"/>
      <c r="R862" s="91"/>
      <c r="S862" s="91"/>
      <c r="T862" s="91"/>
      <c r="U862" s="91"/>
      <c r="V862" s="91"/>
      <c r="W862" s="91"/>
      <c r="X862" s="91"/>
      <c r="Y862" s="91"/>
      <c r="Z862" s="91"/>
    </row>
    <row r="863" spans="1:26" ht="15.75" customHeight="1" x14ac:dyDescent="0.25">
      <c r="A863" s="9"/>
      <c r="B863" s="189"/>
      <c r="C863" s="91"/>
      <c r="D863" s="91"/>
      <c r="E863" s="91"/>
      <c r="F863" s="91"/>
      <c r="G863" s="91"/>
      <c r="H863" s="91"/>
      <c r="I863" s="91"/>
      <c r="J863" s="91"/>
      <c r="K863" s="91"/>
      <c r="L863" s="91"/>
      <c r="M863" s="91"/>
      <c r="N863" s="91"/>
      <c r="O863" s="91"/>
      <c r="P863" s="91"/>
      <c r="Q863" s="91"/>
      <c r="R863" s="91"/>
      <c r="S863" s="91"/>
      <c r="T863" s="91"/>
      <c r="U863" s="91"/>
      <c r="V863" s="91"/>
      <c r="W863" s="91"/>
      <c r="X863" s="91"/>
      <c r="Y863" s="91"/>
      <c r="Z863" s="91"/>
    </row>
    <row r="864" spans="1:26" ht="15.75" customHeight="1" x14ac:dyDescent="0.25">
      <c r="A864" s="9"/>
      <c r="B864" s="189"/>
      <c r="C864" s="91"/>
      <c r="D864" s="91"/>
      <c r="E864" s="91"/>
      <c r="F864" s="91"/>
      <c r="G864" s="91"/>
      <c r="H864" s="91"/>
      <c r="I864" s="91"/>
      <c r="J864" s="91"/>
      <c r="K864" s="91"/>
      <c r="L864" s="91"/>
      <c r="M864" s="91"/>
      <c r="N864" s="91"/>
      <c r="O864" s="91"/>
      <c r="P864" s="91"/>
      <c r="Q864" s="91"/>
      <c r="R864" s="91"/>
      <c r="S864" s="91"/>
      <c r="T864" s="91"/>
      <c r="U864" s="91"/>
      <c r="V864" s="91"/>
      <c r="W864" s="91"/>
      <c r="X864" s="91"/>
      <c r="Y864" s="91"/>
      <c r="Z864" s="91"/>
    </row>
    <row r="865" spans="1:26" ht="15.75" customHeight="1" x14ac:dyDescent="0.25">
      <c r="A865" s="9"/>
      <c r="B865" s="189"/>
      <c r="C865" s="91"/>
      <c r="D865" s="91"/>
      <c r="E865" s="91"/>
      <c r="F865" s="91"/>
      <c r="G865" s="91"/>
      <c r="H865" s="91"/>
      <c r="I865" s="91"/>
      <c r="J865" s="91"/>
      <c r="K865" s="91"/>
      <c r="L865" s="91"/>
      <c r="M865" s="91"/>
      <c r="N865" s="91"/>
      <c r="O865" s="91"/>
      <c r="P865" s="91"/>
      <c r="Q865" s="91"/>
      <c r="R865" s="91"/>
      <c r="S865" s="91"/>
      <c r="T865" s="91"/>
      <c r="U865" s="91"/>
      <c r="V865" s="91"/>
      <c r="W865" s="91"/>
      <c r="X865" s="91"/>
      <c r="Y865" s="91"/>
      <c r="Z865" s="91"/>
    </row>
    <row r="866" spans="1:26" ht="15.75" customHeight="1" x14ac:dyDescent="0.25">
      <c r="A866" s="9"/>
      <c r="B866" s="189"/>
      <c r="C866" s="91"/>
      <c r="D866" s="91"/>
      <c r="E866" s="91"/>
      <c r="F866" s="91"/>
      <c r="G866" s="91"/>
      <c r="H866" s="91"/>
      <c r="I866" s="91"/>
      <c r="J866" s="91"/>
      <c r="K866" s="91"/>
      <c r="L866" s="91"/>
      <c r="M866" s="91"/>
      <c r="N866" s="91"/>
      <c r="O866" s="91"/>
      <c r="P866" s="91"/>
      <c r="Q866" s="91"/>
      <c r="R866" s="91"/>
      <c r="S866" s="91"/>
      <c r="T866" s="91"/>
      <c r="U866" s="91"/>
      <c r="V866" s="91"/>
      <c r="W866" s="91"/>
      <c r="X866" s="91"/>
      <c r="Y866" s="91"/>
      <c r="Z866" s="91"/>
    </row>
    <row r="867" spans="1:26" ht="15.75" customHeight="1" x14ac:dyDescent="0.25">
      <c r="A867" s="9"/>
      <c r="B867" s="189"/>
      <c r="C867" s="91"/>
      <c r="D867" s="91"/>
      <c r="E867" s="91"/>
      <c r="F867" s="91"/>
      <c r="G867" s="91"/>
      <c r="H867" s="91"/>
      <c r="I867" s="91"/>
      <c r="J867" s="91"/>
      <c r="K867" s="91"/>
      <c r="L867" s="91"/>
      <c r="M867" s="91"/>
      <c r="N867" s="91"/>
      <c r="O867" s="91"/>
      <c r="P867" s="91"/>
      <c r="Q867" s="91"/>
      <c r="R867" s="91"/>
      <c r="S867" s="91"/>
      <c r="T867" s="91"/>
      <c r="U867" s="91"/>
      <c r="V867" s="91"/>
      <c r="W867" s="91"/>
      <c r="X867" s="91"/>
      <c r="Y867" s="91"/>
      <c r="Z867" s="91"/>
    </row>
    <row r="868" spans="1:26" ht="15.75" customHeight="1" x14ac:dyDescent="0.25">
      <c r="A868" s="9"/>
      <c r="B868" s="189"/>
      <c r="C868" s="91"/>
      <c r="D868" s="91"/>
      <c r="E868" s="91"/>
      <c r="F868" s="91"/>
      <c r="G868" s="91"/>
      <c r="H868" s="91"/>
      <c r="I868" s="91"/>
      <c r="J868" s="91"/>
      <c r="K868" s="91"/>
      <c r="L868" s="91"/>
      <c r="M868" s="91"/>
      <c r="N868" s="91"/>
      <c r="O868" s="91"/>
      <c r="P868" s="91"/>
      <c r="Q868" s="91"/>
      <c r="R868" s="91"/>
      <c r="S868" s="91"/>
      <c r="T868" s="91"/>
      <c r="U868" s="91"/>
      <c r="V868" s="91"/>
      <c r="W868" s="91"/>
      <c r="X868" s="91"/>
      <c r="Y868" s="91"/>
      <c r="Z868" s="91"/>
    </row>
    <row r="869" spans="1:26" ht="15.75" customHeight="1" x14ac:dyDescent="0.25">
      <c r="A869" s="9"/>
      <c r="B869" s="189"/>
      <c r="C869" s="91"/>
      <c r="D869" s="91"/>
      <c r="E869" s="91"/>
      <c r="F869" s="91"/>
      <c r="G869" s="91"/>
      <c r="H869" s="91"/>
      <c r="I869" s="91"/>
      <c r="J869" s="91"/>
      <c r="K869" s="91"/>
      <c r="L869" s="91"/>
      <c r="M869" s="91"/>
      <c r="N869" s="91"/>
      <c r="O869" s="91"/>
      <c r="P869" s="91"/>
      <c r="Q869" s="91"/>
      <c r="R869" s="91"/>
      <c r="S869" s="91"/>
      <c r="T869" s="91"/>
      <c r="U869" s="91"/>
      <c r="V869" s="91"/>
      <c r="W869" s="91"/>
      <c r="X869" s="91"/>
      <c r="Y869" s="91"/>
      <c r="Z869" s="91"/>
    </row>
    <row r="870" spans="1:26" ht="15.75" customHeight="1" x14ac:dyDescent="0.25">
      <c r="A870" s="9"/>
      <c r="B870" s="189"/>
      <c r="C870" s="91"/>
      <c r="D870" s="91"/>
      <c r="E870" s="91"/>
      <c r="F870" s="91"/>
      <c r="G870" s="91"/>
      <c r="H870" s="91"/>
      <c r="I870" s="91"/>
      <c r="J870" s="91"/>
      <c r="K870" s="91"/>
      <c r="L870" s="91"/>
      <c r="M870" s="91"/>
      <c r="N870" s="91"/>
      <c r="O870" s="91"/>
      <c r="P870" s="91"/>
      <c r="Q870" s="91"/>
      <c r="R870" s="91"/>
      <c r="S870" s="91"/>
      <c r="T870" s="91"/>
      <c r="U870" s="91"/>
      <c r="V870" s="91"/>
      <c r="W870" s="91"/>
      <c r="X870" s="91"/>
      <c r="Y870" s="91"/>
      <c r="Z870" s="91"/>
    </row>
    <row r="871" spans="1:26" ht="15.75" customHeight="1" x14ac:dyDescent="0.25">
      <c r="A871" s="9"/>
      <c r="B871" s="189"/>
      <c r="C871" s="91"/>
      <c r="D871" s="91"/>
      <c r="E871" s="91"/>
      <c r="F871" s="91"/>
      <c r="G871" s="91"/>
      <c r="H871" s="91"/>
      <c r="I871" s="91"/>
      <c r="J871" s="91"/>
      <c r="K871" s="91"/>
      <c r="L871" s="91"/>
      <c r="M871" s="91"/>
      <c r="N871" s="91"/>
      <c r="O871" s="91"/>
      <c r="P871" s="91"/>
      <c r="Q871" s="91"/>
      <c r="R871" s="91"/>
      <c r="S871" s="91"/>
      <c r="T871" s="91"/>
      <c r="U871" s="91"/>
      <c r="V871" s="91"/>
      <c r="W871" s="91"/>
      <c r="X871" s="91"/>
      <c r="Y871" s="91"/>
      <c r="Z871" s="91"/>
    </row>
    <row r="872" spans="1:26" ht="15.75" customHeight="1" x14ac:dyDescent="0.25">
      <c r="A872" s="9"/>
      <c r="B872" s="189"/>
      <c r="C872" s="91"/>
      <c r="D872" s="91"/>
      <c r="E872" s="91"/>
      <c r="F872" s="91"/>
      <c r="G872" s="91"/>
      <c r="H872" s="91"/>
      <c r="I872" s="91"/>
      <c r="J872" s="91"/>
      <c r="K872" s="91"/>
      <c r="L872" s="91"/>
      <c r="M872" s="91"/>
      <c r="N872" s="91"/>
      <c r="O872" s="91"/>
      <c r="P872" s="91"/>
      <c r="Q872" s="91"/>
      <c r="R872" s="91"/>
      <c r="S872" s="91"/>
      <c r="T872" s="91"/>
      <c r="U872" s="91"/>
      <c r="V872" s="91"/>
      <c r="W872" s="91"/>
      <c r="X872" s="91"/>
      <c r="Y872" s="91"/>
      <c r="Z872" s="91"/>
    </row>
    <row r="873" spans="1:26" ht="15.75" customHeight="1" x14ac:dyDescent="0.25">
      <c r="A873" s="9"/>
      <c r="B873" s="189"/>
      <c r="C873" s="91"/>
      <c r="D873" s="91"/>
      <c r="E873" s="91"/>
      <c r="F873" s="91"/>
      <c r="G873" s="91"/>
      <c r="H873" s="91"/>
      <c r="I873" s="91"/>
      <c r="J873" s="91"/>
      <c r="K873" s="91"/>
      <c r="L873" s="91"/>
      <c r="M873" s="91"/>
      <c r="N873" s="91"/>
      <c r="O873" s="91"/>
      <c r="P873" s="91"/>
      <c r="Q873" s="91"/>
      <c r="R873" s="91"/>
      <c r="S873" s="91"/>
      <c r="T873" s="91"/>
      <c r="U873" s="91"/>
      <c r="V873" s="91"/>
      <c r="W873" s="91"/>
      <c r="X873" s="91"/>
      <c r="Y873" s="91"/>
      <c r="Z873" s="91"/>
    </row>
    <row r="874" spans="1:26" ht="15.75" customHeight="1" x14ac:dyDescent="0.25">
      <c r="A874" s="9"/>
      <c r="B874" s="189"/>
      <c r="C874" s="91"/>
      <c r="D874" s="91"/>
      <c r="E874" s="91"/>
      <c r="F874" s="91"/>
      <c r="G874" s="91"/>
      <c r="H874" s="91"/>
      <c r="I874" s="91"/>
      <c r="J874" s="91"/>
      <c r="K874" s="91"/>
      <c r="L874" s="91"/>
      <c r="M874" s="91"/>
      <c r="N874" s="91"/>
      <c r="O874" s="91"/>
      <c r="P874" s="91"/>
      <c r="Q874" s="91"/>
      <c r="R874" s="91"/>
      <c r="S874" s="91"/>
      <c r="T874" s="91"/>
      <c r="U874" s="91"/>
      <c r="V874" s="91"/>
      <c r="W874" s="91"/>
      <c r="X874" s="91"/>
      <c r="Y874" s="91"/>
      <c r="Z874" s="91"/>
    </row>
    <row r="875" spans="1:26" ht="15.75" customHeight="1" x14ac:dyDescent="0.25">
      <c r="A875" s="9"/>
      <c r="B875" s="189"/>
      <c r="C875" s="91"/>
      <c r="D875" s="91"/>
      <c r="E875" s="91"/>
      <c r="F875" s="91"/>
      <c r="G875" s="91"/>
      <c r="H875" s="91"/>
      <c r="I875" s="91"/>
      <c r="J875" s="91"/>
      <c r="K875" s="91"/>
      <c r="L875" s="91"/>
      <c r="M875" s="91"/>
      <c r="N875" s="91"/>
      <c r="O875" s="91"/>
      <c r="P875" s="91"/>
      <c r="Q875" s="91"/>
      <c r="R875" s="91"/>
      <c r="S875" s="91"/>
      <c r="T875" s="91"/>
      <c r="U875" s="91"/>
      <c r="V875" s="91"/>
      <c r="W875" s="91"/>
      <c r="X875" s="91"/>
      <c r="Y875" s="91"/>
      <c r="Z875" s="91"/>
    </row>
    <row r="876" spans="1:26" ht="15.75" customHeight="1" x14ac:dyDescent="0.25">
      <c r="A876" s="9"/>
      <c r="B876" s="189"/>
      <c r="C876" s="91"/>
      <c r="D876" s="91"/>
      <c r="E876" s="91"/>
      <c r="F876" s="91"/>
      <c r="G876" s="91"/>
      <c r="H876" s="91"/>
      <c r="I876" s="91"/>
      <c r="J876" s="91"/>
      <c r="K876" s="91"/>
      <c r="L876" s="91"/>
      <c r="M876" s="91"/>
      <c r="N876" s="91"/>
      <c r="O876" s="91"/>
      <c r="P876" s="91"/>
      <c r="Q876" s="91"/>
      <c r="R876" s="91"/>
      <c r="S876" s="91"/>
      <c r="T876" s="91"/>
      <c r="U876" s="91"/>
      <c r="V876" s="91"/>
      <c r="W876" s="91"/>
      <c r="X876" s="91"/>
      <c r="Y876" s="91"/>
      <c r="Z876" s="91"/>
    </row>
    <row r="877" spans="1:26" ht="15.75" customHeight="1" x14ac:dyDescent="0.25">
      <c r="A877" s="9"/>
      <c r="B877" s="189"/>
      <c r="C877" s="91"/>
      <c r="D877" s="91"/>
      <c r="E877" s="91"/>
      <c r="F877" s="91"/>
      <c r="G877" s="91"/>
      <c r="H877" s="91"/>
      <c r="I877" s="91"/>
      <c r="J877" s="91"/>
      <c r="K877" s="91"/>
      <c r="L877" s="91"/>
      <c r="M877" s="91"/>
      <c r="N877" s="91"/>
      <c r="O877" s="91"/>
      <c r="P877" s="91"/>
      <c r="Q877" s="91"/>
      <c r="R877" s="91"/>
      <c r="S877" s="91"/>
      <c r="T877" s="91"/>
      <c r="U877" s="91"/>
      <c r="V877" s="91"/>
      <c r="W877" s="91"/>
      <c r="X877" s="91"/>
      <c r="Y877" s="91"/>
      <c r="Z877" s="91"/>
    </row>
    <row r="878" spans="1:26" ht="15.75" customHeight="1" x14ac:dyDescent="0.25">
      <c r="A878" s="9"/>
      <c r="B878" s="189"/>
      <c r="C878" s="91"/>
      <c r="D878" s="91"/>
      <c r="E878" s="91"/>
      <c r="F878" s="91"/>
      <c r="G878" s="91"/>
      <c r="H878" s="91"/>
      <c r="I878" s="91"/>
      <c r="J878" s="91"/>
      <c r="K878" s="91"/>
      <c r="L878" s="91"/>
      <c r="M878" s="91"/>
      <c r="N878" s="91"/>
      <c r="O878" s="91"/>
      <c r="P878" s="91"/>
      <c r="Q878" s="91"/>
      <c r="R878" s="91"/>
      <c r="S878" s="91"/>
      <c r="T878" s="91"/>
      <c r="U878" s="91"/>
      <c r="V878" s="91"/>
      <c r="W878" s="91"/>
      <c r="X878" s="91"/>
      <c r="Y878" s="91"/>
      <c r="Z878" s="91"/>
    </row>
    <row r="879" spans="1:26" ht="15.75" customHeight="1" x14ac:dyDescent="0.25">
      <c r="A879" s="9"/>
      <c r="B879" s="189"/>
      <c r="C879" s="91"/>
      <c r="D879" s="91"/>
      <c r="E879" s="91"/>
      <c r="F879" s="91"/>
      <c r="G879" s="91"/>
      <c r="H879" s="91"/>
      <c r="I879" s="91"/>
      <c r="J879" s="91"/>
      <c r="K879" s="91"/>
      <c r="L879" s="91"/>
      <c r="M879" s="91"/>
      <c r="N879" s="91"/>
      <c r="O879" s="91"/>
      <c r="P879" s="91"/>
      <c r="Q879" s="91"/>
      <c r="R879" s="91"/>
      <c r="S879" s="91"/>
      <c r="T879" s="91"/>
      <c r="U879" s="91"/>
      <c r="V879" s="91"/>
      <c r="W879" s="91"/>
      <c r="X879" s="91"/>
      <c r="Y879" s="91"/>
      <c r="Z879" s="91"/>
    </row>
    <row r="880" spans="1:26" ht="15.75" customHeight="1" x14ac:dyDescent="0.25">
      <c r="A880" s="9"/>
      <c r="B880" s="189"/>
      <c r="C880" s="91"/>
      <c r="D880" s="91"/>
      <c r="E880" s="91"/>
      <c r="F880" s="91"/>
      <c r="G880" s="91"/>
      <c r="H880" s="91"/>
      <c r="I880" s="91"/>
      <c r="J880" s="91"/>
      <c r="K880" s="91"/>
      <c r="L880" s="91"/>
      <c r="M880" s="91"/>
      <c r="N880" s="91"/>
      <c r="O880" s="91"/>
      <c r="P880" s="91"/>
      <c r="Q880" s="91"/>
      <c r="R880" s="91"/>
      <c r="S880" s="91"/>
      <c r="T880" s="91"/>
      <c r="U880" s="91"/>
      <c r="V880" s="91"/>
      <c r="W880" s="91"/>
      <c r="X880" s="91"/>
      <c r="Y880" s="91"/>
      <c r="Z880" s="91"/>
    </row>
    <row r="881" spans="1:26" ht="15.75" customHeight="1" x14ac:dyDescent="0.25">
      <c r="A881" s="9"/>
      <c r="B881" s="189"/>
      <c r="C881" s="91"/>
      <c r="D881" s="91"/>
      <c r="E881" s="91"/>
      <c r="F881" s="91"/>
      <c r="G881" s="91"/>
      <c r="H881" s="91"/>
      <c r="I881" s="91"/>
      <c r="J881" s="91"/>
      <c r="K881" s="91"/>
      <c r="L881" s="91"/>
      <c r="M881" s="91"/>
      <c r="N881" s="91"/>
      <c r="O881" s="91"/>
      <c r="P881" s="91"/>
      <c r="Q881" s="91"/>
      <c r="R881" s="91"/>
      <c r="S881" s="91"/>
      <c r="T881" s="91"/>
      <c r="U881" s="91"/>
      <c r="V881" s="91"/>
      <c r="W881" s="91"/>
      <c r="X881" s="91"/>
      <c r="Y881" s="91"/>
      <c r="Z881" s="91"/>
    </row>
    <row r="882" spans="1:26" ht="15.75" customHeight="1" x14ac:dyDescent="0.25">
      <c r="A882" s="9"/>
      <c r="B882" s="189"/>
      <c r="C882" s="91"/>
      <c r="D882" s="91"/>
      <c r="E882" s="91"/>
      <c r="F882" s="91"/>
      <c r="G882" s="91"/>
      <c r="H882" s="91"/>
      <c r="I882" s="91"/>
      <c r="J882" s="91"/>
      <c r="K882" s="91"/>
      <c r="L882" s="91"/>
      <c r="M882" s="91"/>
      <c r="N882" s="91"/>
      <c r="O882" s="91"/>
      <c r="P882" s="91"/>
      <c r="Q882" s="91"/>
      <c r="R882" s="91"/>
      <c r="S882" s="91"/>
      <c r="T882" s="91"/>
      <c r="U882" s="91"/>
      <c r="V882" s="91"/>
      <c r="W882" s="91"/>
      <c r="X882" s="91"/>
      <c r="Y882" s="91"/>
      <c r="Z882" s="91"/>
    </row>
    <row r="883" spans="1:26" ht="15.75" customHeight="1" x14ac:dyDescent="0.25">
      <c r="A883" s="9"/>
      <c r="B883" s="189"/>
      <c r="C883" s="91"/>
      <c r="D883" s="91"/>
      <c r="E883" s="91"/>
      <c r="F883" s="91"/>
      <c r="G883" s="91"/>
      <c r="H883" s="91"/>
      <c r="I883" s="91"/>
      <c r="J883" s="91"/>
      <c r="K883" s="91"/>
      <c r="L883" s="91"/>
      <c r="M883" s="91"/>
      <c r="N883" s="91"/>
      <c r="O883" s="91"/>
      <c r="P883" s="91"/>
      <c r="Q883" s="91"/>
      <c r="R883" s="91"/>
      <c r="S883" s="91"/>
      <c r="T883" s="91"/>
      <c r="U883" s="91"/>
      <c r="V883" s="91"/>
      <c r="W883" s="91"/>
      <c r="X883" s="91"/>
      <c r="Y883" s="91"/>
      <c r="Z883" s="91"/>
    </row>
    <row r="884" spans="1:26" ht="15.75" customHeight="1" x14ac:dyDescent="0.25">
      <c r="A884" s="9"/>
      <c r="B884" s="189"/>
      <c r="C884" s="91"/>
      <c r="D884" s="91"/>
      <c r="E884" s="91"/>
      <c r="F884" s="91"/>
      <c r="G884" s="91"/>
      <c r="H884" s="91"/>
      <c r="I884" s="91"/>
      <c r="J884" s="91"/>
      <c r="K884" s="91"/>
      <c r="L884" s="91"/>
      <c r="M884" s="91"/>
      <c r="N884" s="91"/>
      <c r="O884" s="91"/>
      <c r="P884" s="91"/>
      <c r="Q884" s="91"/>
      <c r="R884" s="91"/>
      <c r="S884" s="91"/>
      <c r="T884" s="91"/>
      <c r="U884" s="91"/>
      <c r="V884" s="91"/>
      <c r="W884" s="91"/>
      <c r="X884" s="91"/>
      <c r="Y884" s="91"/>
      <c r="Z884" s="91"/>
    </row>
    <row r="885" spans="1:26" ht="15.75" customHeight="1" x14ac:dyDescent="0.25">
      <c r="A885" s="9"/>
      <c r="B885" s="189"/>
      <c r="C885" s="91"/>
      <c r="D885" s="91"/>
      <c r="E885" s="91"/>
      <c r="F885" s="91"/>
      <c r="G885" s="91"/>
      <c r="H885" s="91"/>
      <c r="I885" s="91"/>
      <c r="J885" s="91"/>
      <c r="K885" s="91"/>
      <c r="L885" s="91"/>
      <c r="M885" s="91"/>
      <c r="N885" s="91"/>
      <c r="O885" s="91"/>
      <c r="P885" s="91"/>
      <c r="Q885" s="91"/>
      <c r="R885" s="91"/>
      <c r="S885" s="91"/>
      <c r="T885" s="91"/>
      <c r="U885" s="91"/>
      <c r="V885" s="91"/>
      <c r="W885" s="91"/>
      <c r="X885" s="91"/>
      <c r="Y885" s="91"/>
      <c r="Z885" s="91"/>
    </row>
    <row r="886" spans="1:26" ht="15.75" customHeight="1" x14ac:dyDescent="0.25">
      <c r="A886" s="9"/>
      <c r="B886" s="189"/>
      <c r="C886" s="91"/>
      <c r="D886" s="91"/>
      <c r="E886" s="91"/>
      <c r="F886" s="91"/>
      <c r="G886" s="91"/>
      <c r="H886" s="91"/>
      <c r="I886" s="91"/>
      <c r="J886" s="91"/>
      <c r="K886" s="91"/>
      <c r="L886" s="91"/>
      <c r="M886" s="91"/>
      <c r="N886" s="91"/>
      <c r="O886" s="91"/>
      <c r="P886" s="91"/>
      <c r="Q886" s="91"/>
      <c r="R886" s="91"/>
      <c r="S886" s="91"/>
      <c r="T886" s="91"/>
      <c r="U886" s="91"/>
      <c r="V886" s="91"/>
      <c r="W886" s="91"/>
      <c r="X886" s="91"/>
      <c r="Y886" s="91"/>
      <c r="Z886" s="91"/>
    </row>
    <row r="887" spans="1:26" ht="15.75" customHeight="1" x14ac:dyDescent="0.25">
      <c r="A887" s="9"/>
      <c r="B887" s="189"/>
      <c r="C887" s="91"/>
      <c r="D887" s="91"/>
      <c r="E887" s="91"/>
      <c r="F887" s="91"/>
      <c r="G887" s="91"/>
      <c r="H887" s="91"/>
      <c r="I887" s="91"/>
      <c r="J887" s="91"/>
      <c r="K887" s="91"/>
      <c r="L887" s="91"/>
      <c r="M887" s="91"/>
      <c r="N887" s="91"/>
      <c r="O887" s="91"/>
      <c r="P887" s="91"/>
      <c r="Q887" s="91"/>
      <c r="R887" s="91"/>
      <c r="S887" s="91"/>
      <c r="T887" s="91"/>
      <c r="U887" s="91"/>
      <c r="V887" s="91"/>
      <c r="W887" s="91"/>
      <c r="X887" s="91"/>
      <c r="Y887" s="91"/>
      <c r="Z887" s="91"/>
    </row>
    <row r="888" spans="1:26" ht="15.75" customHeight="1" x14ac:dyDescent="0.25">
      <c r="A888" s="9"/>
      <c r="B888" s="189"/>
      <c r="C888" s="91"/>
      <c r="D888" s="91"/>
      <c r="E888" s="91"/>
      <c r="F888" s="91"/>
      <c r="G888" s="91"/>
      <c r="H888" s="91"/>
      <c r="I888" s="91"/>
      <c r="J888" s="91"/>
      <c r="K888" s="91"/>
      <c r="L888" s="91"/>
      <c r="M888" s="91"/>
      <c r="N888" s="91"/>
      <c r="O888" s="91"/>
      <c r="P888" s="91"/>
      <c r="Q888" s="91"/>
      <c r="R888" s="91"/>
      <c r="S888" s="91"/>
      <c r="T888" s="91"/>
      <c r="U888" s="91"/>
      <c r="V888" s="91"/>
      <c r="W888" s="91"/>
      <c r="X888" s="91"/>
      <c r="Y888" s="91"/>
      <c r="Z888" s="91"/>
    </row>
    <row r="889" spans="1:26" ht="15.75" customHeight="1" x14ac:dyDescent="0.25">
      <c r="A889" s="9"/>
      <c r="B889" s="189"/>
      <c r="C889" s="91"/>
      <c r="D889" s="91"/>
      <c r="E889" s="91"/>
      <c r="F889" s="91"/>
      <c r="G889" s="91"/>
      <c r="H889" s="91"/>
      <c r="I889" s="91"/>
      <c r="J889" s="91"/>
      <c r="K889" s="91"/>
      <c r="L889" s="91"/>
      <c r="M889" s="91"/>
      <c r="N889" s="91"/>
      <c r="O889" s="91"/>
      <c r="P889" s="91"/>
      <c r="Q889" s="91"/>
      <c r="R889" s="91"/>
      <c r="S889" s="91"/>
      <c r="T889" s="91"/>
      <c r="U889" s="91"/>
      <c r="V889" s="91"/>
      <c r="W889" s="91"/>
      <c r="X889" s="91"/>
      <c r="Y889" s="91"/>
      <c r="Z889" s="91"/>
    </row>
    <row r="890" spans="1:26" ht="15.75" customHeight="1" x14ac:dyDescent="0.25">
      <c r="A890" s="9"/>
      <c r="B890" s="189"/>
      <c r="C890" s="91"/>
      <c r="D890" s="91"/>
      <c r="E890" s="91"/>
      <c r="F890" s="91"/>
      <c r="G890" s="91"/>
      <c r="H890" s="91"/>
      <c r="I890" s="91"/>
      <c r="J890" s="91"/>
      <c r="K890" s="91"/>
      <c r="L890" s="91"/>
      <c r="M890" s="91"/>
      <c r="N890" s="91"/>
      <c r="O890" s="91"/>
      <c r="P890" s="91"/>
      <c r="Q890" s="91"/>
      <c r="R890" s="91"/>
      <c r="S890" s="91"/>
      <c r="T890" s="91"/>
      <c r="U890" s="91"/>
      <c r="V890" s="91"/>
      <c r="W890" s="91"/>
      <c r="X890" s="91"/>
      <c r="Y890" s="91"/>
      <c r="Z890" s="91"/>
    </row>
    <row r="891" spans="1:26" ht="15.75" customHeight="1" x14ac:dyDescent="0.25">
      <c r="A891" s="9"/>
      <c r="B891" s="189"/>
      <c r="C891" s="91"/>
      <c r="D891" s="91"/>
      <c r="E891" s="91"/>
      <c r="F891" s="91"/>
      <c r="G891" s="91"/>
      <c r="H891" s="91"/>
      <c r="I891" s="91"/>
      <c r="J891" s="91"/>
      <c r="K891" s="91"/>
      <c r="L891" s="91"/>
      <c r="M891" s="91"/>
      <c r="N891" s="91"/>
      <c r="O891" s="91"/>
      <c r="P891" s="91"/>
      <c r="Q891" s="91"/>
      <c r="R891" s="91"/>
      <c r="S891" s="91"/>
      <c r="T891" s="91"/>
      <c r="U891" s="91"/>
      <c r="V891" s="91"/>
      <c r="W891" s="91"/>
      <c r="X891" s="91"/>
      <c r="Y891" s="91"/>
      <c r="Z891" s="91"/>
    </row>
    <row r="892" spans="1:26" ht="15.75" customHeight="1" x14ac:dyDescent="0.25">
      <c r="A892" s="9"/>
      <c r="B892" s="189"/>
      <c r="C892" s="91"/>
      <c r="D892" s="91"/>
      <c r="E892" s="91"/>
      <c r="F892" s="91"/>
      <c r="G892" s="91"/>
      <c r="H892" s="91"/>
      <c r="I892" s="91"/>
      <c r="J892" s="91"/>
      <c r="K892" s="91"/>
      <c r="L892" s="91"/>
      <c r="M892" s="91"/>
      <c r="N892" s="91"/>
      <c r="O892" s="91"/>
      <c r="P892" s="91"/>
      <c r="Q892" s="91"/>
      <c r="R892" s="91"/>
      <c r="S892" s="91"/>
      <c r="T892" s="91"/>
      <c r="U892" s="91"/>
      <c r="V892" s="91"/>
      <c r="W892" s="91"/>
      <c r="X892" s="91"/>
      <c r="Y892" s="91"/>
      <c r="Z892" s="91"/>
    </row>
    <row r="893" spans="1:26" ht="15.75" customHeight="1" x14ac:dyDescent="0.25">
      <c r="A893" s="9"/>
      <c r="B893" s="189"/>
      <c r="C893" s="91"/>
      <c r="D893" s="91"/>
      <c r="E893" s="91"/>
      <c r="F893" s="91"/>
      <c r="G893" s="91"/>
      <c r="H893" s="91"/>
      <c r="I893" s="91"/>
      <c r="J893" s="91"/>
      <c r="K893" s="91"/>
      <c r="L893" s="91"/>
      <c r="M893" s="91"/>
      <c r="N893" s="91"/>
      <c r="O893" s="91"/>
      <c r="P893" s="91"/>
      <c r="Q893" s="91"/>
      <c r="R893" s="91"/>
      <c r="S893" s="91"/>
      <c r="T893" s="91"/>
      <c r="U893" s="91"/>
      <c r="V893" s="91"/>
      <c r="W893" s="91"/>
      <c r="X893" s="91"/>
      <c r="Y893" s="91"/>
      <c r="Z893" s="91"/>
    </row>
    <row r="894" spans="1:26" ht="15.75" customHeight="1" x14ac:dyDescent="0.25">
      <c r="A894" s="9"/>
      <c r="B894" s="189"/>
      <c r="C894" s="91"/>
      <c r="D894" s="91"/>
      <c r="E894" s="91"/>
      <c r="F894" s="91"/>
      <c r="G894" s="91"/>
      <c r="H894" s="91"/>
      <c r="I894" s="91"/>
      <c r="J894" s="91"/>
      <c r="K894" s="91"/>
      <c r="L894" s="91"/>
      <c r="M894" s="91"/>
      <c r="N894" s="91"/>
      <c r="O894" s="91"/>
      <c r="P894" s="91"/>
      <c r="Q894" s="91"/>
      <c r="R894" s="91"/>
      <c r="S894" s="91"/>
      <c r="T894" s="91"/>
      <c r="U894" s="91"/>
      <c r="V894" s="91"/>
      <c r="W894" s="91"/>
      <c r="X894" s="91"/>
      <c r="Y894" s="91"/>
      <c r="Z894" s="91"/>
    </row>
    <row r="895" spans="1:26" ht="15.75" customHeight="1" x14ac:dyDescent="0.25">
      <c r="A895" s="9"/>
      <c r="B895" s="189"/>
      <c r="C895" s="91"/>
      <c r="D895" s="91"/>
      <c r="E895" s="91"/>
      <c r="F895" s="91"/>
      <c r="G895" s="91"/>
      <c r="H895" s="91"/>
      <c r="I895" s="91"/>
      <c r="J895" s="91"/>
      <c r="K895" s="91"/>
      <c r="L895" s="91"/>
      <c r="M895" s="91"/>
      <c r="N895" s="91"/>
      <c r="O895" s="91"/>
      <c r="P895" s="91"/>
      <c r="Q895" s="91"/>
      <c r="R895" s="91"/>
      <c r="S895" s="91"/>
      <c r="T895" s="91"/>
      <c r="U895" s="91"/>
      <c r="V895" s="91"/>
      <c r="W895" s="91"/>
      <c r="X895" s="91"/>
      <c r="Y895" s="91"/>
      <c r="Z895" s="91"/>
    </row>
    <row r="896" spans="1:26" ht="15.75" customHeight="1" x14ac:dyDescent="0.25">
      <c r="A896" s="9"/>
      <c r="B896" s="189"/>
      <c r="C896" s="91"/>
      <c r="D896" s="91"/>
      <c r="E896" s="91"/>
      <c r="F896" s="91"/>
      <c r="G896" s="91"/>
      <c r="H896" s="91"/>
      <c r="I896" s="91"/>
      <c r="J896" s="91"/>
      <c r="K896" s="91"/>
      <c r="L896" s="91"/>
      <c r="M896" s="91"/>
      <c r="N896" s="91"/>
      <c r="O896" s="91"/>
      <c r="P896" s="91"/>
      <c r="Q896" s="91"/>
      <c r="R896" s="91"/>
      <c r="S896" s="91"/>
      <c r="T896" s="91"/>
      <c r="U896" s="91"/>
      <c r="V896" s="91"/>
      <c r="W896" s="91"/>
      <c r="X896" s="91"/>
      <c r="Y896" s="91"/>
      <c r="Z896" s="91"/>
    </row>
    <row r="897" spans="1:26" ht="15.75" customHeight="1" x14ac:dyDescent="0.25">
      <c r="A897" s="9"/>
      <c r="B897" s="189"/>
      <c r="C897" s="91"/>
      <c r="D897" s="91"/>
      <c r="E897" s="91"/>
      <c r="F897" s="91"/>
      <c r="G897" s="91"/>
      <c r="H897" s="91"/>
      <c r="I897" s="91"/>
      <c r="J897" s="91"/>
      <c r="K897" s="91"/>
      <c r="L897" s="91"/>
      <c r="M897" s="91"/>
      <c r="N897" s="91"/>
      <c r="O897" s="91"/>
      <c r="P897" s="91"/>
      <c r="Q897" s="91"/>
      <c r="R897" s="91"/>
      <c r="S897" s="91"/>
      <c r="T897" s="91"/>
      <c r="U897" s="91"/>
      <c r="V897" s="91"/>
      <c r="W897" s="91"/>
      <c r="X897" s="91"/>
      <c r="Y897" s="91"/>
      <c r="Z897" s="91"/>
    </row>
    <row r="898" spans="1:26" ht="15.75" customHeight="1" x14ac:dyDescent="0.25">
      <c r="A898" s="9"/>
      <c r="B898" s="189"/>
      <c r="C898" s="91"/>
      <c r="D898" s="91"/>
      <c r="E898" s="91"/>
      <c r="F898" s="91"/>
      <c r="G898" s="91"/>
      <c r="H898" s="91"/>
      <c r="I898" s="91"/>
      <c r="J898" s="91"/>
      <c r="K898" s="91"/>
      <c r="L898" s="91"/>
      <c r="M898" s="91"/>
      <c r="N898" s="91"/>
      <c r="O898" s="91"/>
      <c r="P898" s="91"/>
      <c r="Q898" s="91"/>
      <c r="R898" s="91"/>
      <c r="S898" s="91"/>
      <c r="T898" s="91"/>
      <c r="U898" s="91"/>
      <c r="V898" s="91"/>
      <c r="W898" s="91"/>
      <c r="X898" s="91"/>
      <c r="Y898" s="91"/>
      <c r="Z898" s="91"/>
    </row>
    <row r="899" spans="1:26" ht="15.75" customHeight="1" x14ac:dyDescent="0.25">
      <c r="A899" s="9"/>
      <c r="B899" s="189"/>
      <c r="C899" s="91"/>
      <c r="D899" s="91"/>
      <c r="E899" s="91"/>
      <c r="F899" s="91"/>
      <c r="G899" s="91"/>
      <c r="H899" s="91"/>
      <c r="I899" s="91"/>
      <c r="J899" s="91"/>
      <c r="K899" s="91"/>
      <c r="L899" s="91"/>
      <c r="M899" s="91"/>
      <c r="N899" s="91"/>
      <c r="O899" s="91"/>
      <c r="P899" s="91"/>
      <c r="Q899" s="91"/>
      <c r="R899" s="91"/>
      <c r="S899" s="91"/>
      <c r="T899" s="91"/>
      <c r="U899" s="91"/>
      <c r="V899" s="91"/>
      <c r="W899" s="91"/>
      <c r="X899" s="91"/>
      <c r="Y899" s="91"/>
      <c r="Z899" s="91"/>
    </row>
    <row r="900" spans="1:26" ht="15.75" customHeight="1" x14ac:dyDescent="0.25">
      <c r="A900" s="9"/>
      <c r="B900" s="189"/>
      <c r="C900" s="91"/>
      <c r="D900" s="91"/>
      <c r="E900" s="91"/>
      <c r="F900" s="91"/>
      <c r="G900" s="91"/>
      <c r="H900" s="91"/>
      <c r="I900" s="91"/>
      <c r="J900" s="91"/>
      <c r="K900" s="91"/>
      <c r="L900" s="91"/>
      <c r="M900" s="91"/>
      <c r="N900" s="91"/>
      <c r="O900" s="91"/>
      <c r="P900" s="91"/>
      <c r="Q900" s="91"/>
      <c r="R900" s="91"/>
      <c r="S900" s="91"/>
      <c r="T900" s="91"/>
      <c r="U900" s="91"/>
      <c r="V900" s="91"/>
      <c r="W900" s="91"/>
      <c r="X900" s="91"/>
      <c r="Y900" s="91"/>
      <c r="Z900" s="91"/>
    </row>
    <row r="901" spans="1:26" ht="15.75" customHeight="1" x14ac:dyDescent="0.25">
      <c r="A901" s="9"/>
      <c r="B901" s="189"/>
      <c r="C901" s="91"/>
      <c r="D901" s="91"/>
      <c r="E901" s="91"/>
      <c r="F901" s="91"/>
      <c r="G901" s="91"/>
      <c r="H901" s="91"/>
      <c r="I901" s="91"/>
      <c r="J901" s="91"/>
      <c r="K901" s="91"/>
      <c r="L901" s="91"/>
      <c r="M901" s="91"/>
      <c r="N901" s="91"/>
      <c r="O901" s="91"/>
      <c r="P901" s="91"/>
      <c r="Q901" s="91"/>
      <c r="R901" s="91"/>
      <c r="S901" s="91"/>
      <c r="T901" s="91"/>
      <c r="U901" s="91"/>
      <c r="V901" s="91"/>
      <c r="W901" s="91"/>
      <c r="X901" s="91"/>
      <c r="Y901" s="91"/>
      <c r="Z901" s="91"/>
    </row>
    <row r="902" spans="1:26" ht="15.75" customHeight="1" x14ac:dyDescent="0.25">
      <c r="A902" s="9"/>
      <c r="B902" s="189"/>
      <c r="C902" s="91"/>
      <c r="D902" s="91"/>
      <c r="E902" s="91"/>
      <c r="F902" s="91"/>
      <c r="G902" s="91"/>
      <c r="H902" s="91"/>
      <c r="I902" s="91"/>
      <c r="J902" s="91"/>
      <c r="K902" s="91"/>
      <c r="L902" s="91"/>
      <c r="M902" s="91"/>
      <c r="N902" s="91"/>
      <c r="O902" s="91"/>
      <c r="P902" s="91"/>
      <c r="Q902" s="91"/>
      <c r="R902" s="91"/>
      <c r="S902" s="91"/>
      <c r="T902" s="91"/>
      <c r="U902" s="91"/>
      <c r="V902" s="91"/>
      <c r="W902" s="91"/>
      <c r="X902" s="91"/>
      <c r="Y902" s="91"/>
      <c r="Z902" s="91"/>
    </row>
    <row r="903" spans="1:26" ht="15.75" customHeight="1" x14ac:dyDescent="0.25">
      <c r="A903" s="9"/>
      <c r="B903" s="189"/>
      <c r="C903" s="91"/>
      <c r="D903" s="91"/>
      <c r="E903" s="91"/>
      <c r="F903" s="91"/>
      <c r="G903" s="91"/>
      <c r="H903" s="91"/>
      <c r="I903" s="91"/>
      <c r="J903" s="91"/>
      <c r="K903" s="91"/>
      <c r="L903" s="91"/>
      <c r="M903" s="91"/>
      <c r="N903" s="91"/>
      <c r="O903" s="91"/>
      <c r="P903" s="91"/>
      <c r="Q903" s="91"/>
      <c r="R903" s="91"/>
      <c r="S903" s="91"/>
      <c r="T903" s="91"/>
      <c r="U903" s="91"/>
      <c r="V903" s="91"/>
      <c r="W903" s="91"/>
      <c r="X903" s="91"/>
      <c r="Y903" s="91"/>
      <c r="Z903" s="91"/>
    </row>
    <row r="904" spans="1:26" ht="15.75" customHeight="1" x14ac:dyDescent="0.25">
      <c r="A904" s="9"/>
      <c r="B904" s="189"/>
      <c r="C904" s="91"/>
      <c r="D904" s="91"/>
      <c r="E904" s="91"/>
      <c r="F904" s="91"/>
      <c r="G904" s="91"/>
      <c r="H904" s="91"/>
      <c r="I904" s="91"/>
      <c r="J904" s="91"/>
      <c r="K904" s="91"/>
      <c r="L904" s="91"/>
      <c r="M904" s="91"/>
      <c r="N904" s="91"/>
      <c r="O904" s="91"/>
      <c r="P904" s="91"/>
      <c r="Q904" s="91"/>
      <c r="R904" s="91"/>
      <c r="S904" s="91"/>
      <c r="T904" s="91"/>
      <c r="U904" s="91"/>
      <c r="V904" s="91"/>
      <c r="W904" s="91"/>
      <c r="X904" s="91"/>
      <c r="Y904" s="91"/>
      <c r="Z904" s="91"/>
    </row>
    <row r="905" spans="1:26" ht="15.75" customHeight="1" x14ac:dyDescent="0.25">
      <c r="A905" s="9"/>
      <c r="B905" s="189"/>
      <c r="C905" s="91"/>
      <c r="D905" s="91"/>
      <c r="E905" s="91"/>
      <c r="F905" s="91"/>
      <c r="G905" s="91"/>
      <c r="H905" s="91"/>
      <c r="I905" s="91"/>
      <c r="J905" s="91"/>
      <c r="K905" s="91"/>
      <c r="L905" s="91"/>
      <c r="M905" s="91"/>
      <c r="N905" s="91"/>
      <c r="O905" s="91"/>
      <c r="P905" s="91"/>
      <c r="Q905" s="91"/>
      <c r="R905" s="91"/>
      <c r="S905" s="91"/>
      <c r="T905" s="91"/>
      <c r="U905" s="91"/>
      <c r="V905" s="91"/>
      <c r="W905" s="91"/>
      <c r="X905" s="91"/>
      <c r="Y905" s="91"/>
      <c r="Z905" s="91"/>
    </row>
    <row r="906" spans="1:26" ht="15.75" customHeight="1" x14ac:dyDescent="0.25">
      <c r="A906" s="9"/>
      <c r="B906" s="189"/>
      <c r="C906" s="91"/>
      <c r="D906" s="91"/>
      <c r="E906" s="91"/>
      <c r="F906" s="91"/>
      <c r="G906" s="91"/>
      <c r="H906" s="91"/>
      <c r="I906" s="91"/>
      <c r="J906" s="91"/>
      <c r="K906" s="91"/>
      <c r="L906" s="91"/>
      <c r="M906" s="91"/>
      <c r="N906" s="91"/>
      <c r="O906" s="91"/>
      <c r="P906" s="91"/>
      <c r="Q906" s="91"/>
      <c r="R906" s="91"/>
      <c r="S906" s="91"/>
      <c r="T906" s="91"/>
      <c r="U906" s="91"/>
      <c r="V906" s="91"/>
      <c r="W906" s="91"/>
      <c r="X906" s="91"/>
      <c r="Y906" s="91"/>
      <c r="Z906" s="91"/>
    </row>
    <row r="907" spans="1:26" ht="15.75" customHeight="1" x14ac:dyDescent="0.25">
      <c r="A907" s="9"/>
      <c r="B907" s="189"/>
      <c r="C907" s="91"/>
      <c r="D907" s="91"/>
      <c r="E907" s="91"/>
      <c r="F907" s="91"/>
      <c r="G907" s="91"/>
      <c r="H907" s="91"/>
      <c r="I907" s="91"/>
      <c r="J907" s="91"/>
      <c r="K907" s="91"/>
      <c r="L907" s="91"/>
      <c r="M907" s="91"/>
      <c r="N907" s="91"/>
      <c r="O907" s="91"/>
      <c r="P907" s="91"/>
      <c r="Q907" s="91"/>
      <c r="R907" s="91"/>
      <c r="S907" s="91"/>
      <c r="T907" s="91"/>
      <c r="U907" s="91"/>
      <c r="V907" s="91"/>
      <c r="W907" s="91"/>
      <c r="X907" s="91"/>
      <c r="Y907" s="91"/>
      <c r="Z907" s="91"/>
    </row>
    <row r="908" spans="1:26" ht="15.75" customHeight="1" x14ac:dyDescent="0.25">
      <c r="A908" s="9"/>
      <c r="B908" s="189"/>
      <c r="C908" s="91"/>
      <c r="D908" s="91"/>
      <c r="E908" s="91"/>
      <c r="F908" s="91"/>
      <c r="G908" s="91"/>
      <c r="H908" s="91"/>
      <c r="I908" s="91"/>
      <c r="J908" s="91"/>
      <c r="K908" s="91"/>
      <c r="L908" s="91"/>
      <c r="M908" s="91"/>
      <c r="N908" s="91"/>
      <c r="O908" s="91"/>
      <c r="P908" s="91"/>
      <c r="Q908" s="91"/>
      <c r="R908" s="91"/>
      <c r="S908" s="91"/>
      <c r="T908" s="91"/>
      <c r="U908" s="91"/>
      <c r="V908" s="91"/>
      <c r="W908" s="91"/>
      <c r="X908" s="91"/>
      <c r="Y908" s="91"/>
      <c r="Z908" s="91"/>
    </row>
    <row r="909" spans="1:26" ht="15.75" customHeight="1" x14ac:dyDescent="0.25">
      <c r="A909" s="9"/>
      <c r="B909" s="189"/>
      <c r="C909" s="91"/>
      <c r="D909" s="91"/>
      <c r="E909" s="91"/>
      <c r="F909" s="91"/>
      <c r="G909" s="91"/>
      <c r="H909" s="91"/>
      <c r="I909" s="91"/>
      <c r="J909" s="91"/>
      <c r="K909" s="91"/>
      <c r="L909" s="91"/>
      <c r="M909" s="91"/>
      <c r="N909" s="91"/>
      <c r="O909" s="91"/>
      <c r="P909" s="91"/>
      <c r="Q909" s="91"/>
      <c r="R909" s="91"/>
      <c r="S909" s="91"/>
      <c r="T909" s="91"/>
      <c r="U909" s="91"/>
      <c r="V909" s="91"/>
      <c r="W909" s="91"/>
      <c r="X909" s="91"/>
      <c r="Y909" s="91"/>
      <c r="Z909" s="91"/>
    </row>
    <row r="910" spans="1:26" ht="15.75" customHeight="1" x14ac:dyDescent="0.25">
      <c r="A910" s="9"/>
      <c r="B910" s="189"/>
      <c r="C910" s="91"/>
      <c r="D910" s="91"/>
      <c r="E910" s="91"/>
      <c r="F910" s="91"/>
      <c r="G910" s="91"/>
      <c r="H910" s="91"/>
      <c r="I910" s="91"/>
      <c r="J910" s="91"/>
      <c r="K910" s="91"/>
      <c r="L910" s="91"/>
      <c r="M910" s="91"/>
      <c r="N910" s="91"/>
      <c r="O910" s="91"/>
      <c r="P910" s="91"/>
      <c r="Q910" s="91"/>
      <c r="R910" s="91"/>
      <c r="S910" s="91"/>
      <c r="T910" s="91"/>
      <c r="U910" s="91"/>
      <c r="V910" s="91"/>
      <c r="W910" s="91"/>
      <c r="X910" s="91"/>
      <c r="Y910" s="91"/>
      <c r="Z910" s="91"/>
    </row>
    <row r="911" spans="1:26" ht="15.75" customHeight="1" x14ac:dyDescent="0.25">
      <c r="A911" s="9"/>
      <c r="B911" s="189"/>
      <c r="C911" s="91"/>
      <c r="D911" s="91"/>
      <c r="E911" s="91"/>
      <c r="F911" s="91"/>
      <c r="G911" s="91"/>
      <c r="H911" s="91"/>
      <c r="I911" s="91"/>
      <c r="J911" s="91"/>
      <c r="K911" s="91"/>
      <c r="L911" s="91"/>
      <c r="M911" s="91"/>
      <c r="N911" s="91"/>
      <c r="O911" s="91"/>
      <c r="P911" s="91"/>
      <c r="Q911" s="91"/>
      <c r="R911" s="91"/>
      <c r="S911" s="91"/>
      <c r="T911" s="91"/>
      <c r="U911" s="91"/>
      <c r="V911" s="91"/>
      <c r="W911" s="91"/>
      <c r="X911" s="91"/>
      <c r="Y911" s="91"/>
      <c r="Z911" s="91"/>
    </row>
    <row r="912" spans="1:26" ht="15.75" customHeight="1" x14ac:dyDescent="0.25">
      <c r="A912" s="9"/>
      <c r="B912" s="189"/>
      <c r="C912" s="91"/>
      <c r="D912" s="91"/>
      <c r="E912" s="91"/>
      <c r="F912" s="91"/>
      <c r="G912" s="91"/>
      <c r="H912" s="91"/>
      <c r="I912" s="91"/>
      <c r="J912" s="91"/>
      <c r="K912" s="91"/>
      <c r="L912" s="91"/>
      <c r="M912" s="91"/>
      <c r="N912" s="91"/>
      <c r="O912" s="91"/>
      <c r="P912" s="91"/>
      <c r="Q912" s="91"/>
      <c r="R912" s="91"/>
      <c r="S912" s="91"/>
      <c r="T912" s="91"/>
      <c r="U912" s="91"/>
      <c r="V912" s="91"/>
      <c r="W912" s="91"/>
      <c r="X912" s="91"/>
      <c r="Y912" s="91"/>
      <c r="Z912" s="91"/>
    </row>
    <row r="913" spans="1:26" ht="15.75" customHeight="1" x14ac:dyDescent="0.25">
      <c r="A913" s="9"/>
      <c r="B913" s="189"/>
      <c r="C913" s="91"/>
      <c r="D913" s="91"/>
      <c r="E913" s="91"/>
      <c r="F913" s="91"/>
      <c r="G913" s="91"/>
      <c r="H913" s="91"/>
      <c r="I913" s="91"/>
      <c r="J913" s="91"/>
      <c r="K913" s="91"/>
      <c r="L913" s="91"/>
      <c r="M913" s="91"/>
      <c r="N913" s="91"/>
      <c r="O913" s="91"/>
      <c r="P913" s="91"/>
      <c r="Q913" s="91"/>
      <c r="R913" s="91"/>
      <c r="S913" s="91"/>
      <c r="T913" s="91"/>
      <c r="U913" s="91"/>
      <c r="V913" s="91"/>
      <c r="W913" s="91"/>
      <c r="X913" s="91"/>
      <c r="Y913" s="91"/>
      <c r="Z913" s="91"/>
    </row>
    <row r="914" spans="1:26" ht="15.75" customHeight="1" x14ac:dyDescent="0.25">
      <c r="A914" s="9"/>
      <c r="B914" s="189"/>
      <c r="C914" s="91"/>
      <c r="D914" s="91"/>
      <c r="E914" s="91"/>
      <c r="F914" s="91"/>
      <c r="G914" s="91"/>
      <c r="H914" s="91"/>
      <c r="I914" s="91"/>
      <c r="J914" s="91"/>
      <c r="K914" s="91"/>
      <c r="L914" s="91"/>
      <c r="M914" s="91"/>
      <c r="N914" s="91"/>
      <c r="O914" s="91"/>
      <c r="P914" s="91"/>
      <c r="Q914" s="91"/>
      <c r="R914" s="91"/>
      <c r="S914" s="91"/>
      <c r="T914" s="91"/>
      <c r="U914" s="91"/>
      <c r="V914" s="91"/>
      <c r="W914" s="91"/>
      <c r="X914" s="91"/>
      <c r="Y914" s="91"/>
      <c r="Z914" s="91"/>
    </row>
    <row r="915" spans="1:26" ht="15.75" customHeight="1" x14ac:dyDescent="0.25">
      <c r="A915" s="9"/>
      <c r="B915" s="189"/>
      <c r="C915" s="91"/>
      <c r="D915" s="91"/>
      <c r="E915" s="91"/>
      <c r="F915" s="91"/>
      <c r="G915" s="91"/>
      <c r="H915" s="91"/>
      <c r="I915" s="91"/>
      <c r="J915" s="91"/>
      <c r="K915" s="91"/>
      <c r="L915" s="91"/>
      <c r="M915" s="91"/>
      <c r="N915" s="91"/>
      <c r="O915" s="91"/>
      <c r="P915" s="91"/>
      <c r="Q915" s="91"/>
      <c r="R915" s="91"/>
      <c r="S915" s="91"/>
      <c r="T915" s="91"/>
      <c r="U915" s="91"/>
      <c r="V915" s="91"/>
      <c r="W915" s="91"/>
      <c r="X915" s="91"/>
      <c r="Y915" s="91"/>
      <c r="Z915" s="91"/>
    </row>
    <row r="916" spans="1:26" ht="15.75" customHeight="1" x14ac:dyDescent="0.25">
      <c r="A916" s="9"/>
      <c r="B916" s="189"/>
      <c r="C916" s="91"/>
      <c r="D916" s="91"/>
      <c r="E916" s="91"/>
      <c r="F916" s="91"/>
      <c r="G916" s="91"/>
      <c r="H916" s="91"/>
      <c r="I916" s="91"/>
      <c r="J916" s="91"/>
      <c r="K916" s="91"/>
      <c r="L916" s="91"/>
      <c r="M916" s="91"/>
      <c r="N916" s="91"/>
      <c r="O916" s="91"/>
      <c r="P916" s="91"/>
      <c r="Q916" s="91"/>
      <c r="R916" s="91"/>
      <c r="S916" s="91"/>
      <c r="T916" s="91"/>
      <c r="U916" s="91"/>
      <c r="V916" s="91"/>
      <c r="W916" s="91"/>
      <c r="X916" s="91"/>
      <c r="Y916" s="91"/>
      <c r="Z916" s="91"/>
    </row>
    <row r="917" spans="1:26" ht="15.75" customHeight="1" x14ac:dyDescent="0.25">
      <c r="A917" s="9"/>
      <c r="B917" s="189"/>
      <c r="C917" s="91"/>
      <c r="D917" s="91"/>
      <c r="E917" s="91"/>
      <c r="F917" s="91"/>
      <c r="G917" s="91"/>
      <c r="H917" s="91"/>
      <c r="I917" s="91"/>
      <c r="J917" s="91"/>
      <c r="K917" s="91"/>
      <c r="L917" s="91"/>
      <c r="M917" s="91"/>
      <c r="N917" s="91"/>
      <c r="O917" s="91"/>
      <c r="P917" s="91"/>
      <c r="Q917" s="91"/>
      <c r="R917" s="91"/>
      <c r="S917" s="91"/>
      <c r="T917" s="91"/>
      <c r="U917" s="91"/>
      <c r="V917" s="91"/>
      <c r="W917" s="91"/>
      <c r="X917" s="91"/>
      <c r="Y917" s="91"/>
      <c r="Z917" s="91"/>
    </row>
    <row r="918" spans="1:26" ht="15.75" customHeight="1" x14ac:dyDescent="0.25">
      <c r="A918" s="9"/>
      <c r="B918" s="189"/>
      <c r="C918" s="91"/>
      <c r="D918" s="91"/>
      <c r="E918" s="91"/>
      <c r="F918" s="91"/>
      <c r="G918" s="91"/>
      <c r="H918" s="91"/>
      <c r="I918" s="91"/>
      <c r="J918" s="91"/>
      <c r="K918" s="91"/>
      <c r="L918" s="91"/>
      <c r="M918" s="91"/>
      <c r="N918" s="91"/>
      <c r="O918" s="91"/>
      <c r="P918" s="91"/>
      <c r="Q918" s="91"/>
      <c r="R918" s="91"/>
      <c r="S918" s="91"/>
      <c r="T918" s="91"/>
      <c r="U918" s="91"/>
      <c r="V918" s="91"/>
      <c r="W918" s="91"/>
      <c r="X918" s="91"/>
      <c r="Y918" s="91"/>
      <c r="Z918" s="91"/>
    </row>
    <row r="919" spans="1:26" ht="15.75" customHeight="1" x14ac:dyDescent="0.25">
      <c r="A919" s="9"/>
      <c r="B919" s="189"/>
      <c r="C919" s="91"/>
      <c r="D919" s="91"/>
      <c r="E919" s="91"/>
      <c r="F919" s="91"/>
      <c r="G919" s="91"/>
      <c r="H919" s="91"/>
      <c r="I919" s="91"/>
      <c r="J919" s="91"/>
      <c r="K919" s="91"/>
      <c r="L919" s="91"/>
      <c r="M919" s="91"/>
      <c r="N919" s="91"/>
      <c r="O919" s="91"/>
      <c r="P919" s="91"/>
      <c r="Q919" s="91"/>
      <c r="R919" s="91"/>
      <c r="S919" s="91"/>
      <c r="T919" s="91"/>
      <c r="U919" s="91"/>
      <c r="V919" s="91"/>
      <c r="W919" s="91"/>
      <c r="X919" s="91"/>
      <c r="Y919" s="91"/>
      <c r="Z919" s="91"/>
    </row>
    <row r="920" spans="1:26" ht="15.75" customHeight="1" x14ac:dyDescent="0.25">
      <c r="A920" s="9"/>
      <c r="B920" s="189"/>
      <c r="C920" s="91"/>
      <c r="D920" s="91"/>
      <c r="E920" s="91"/>
      <c r="F920" s="91"/>
      <c r="G920" s="91"/>
      <c r="H920" s="91"/>
      <c r="I920" s="91"/>
      <c r="J920" s="91"/>
      <c r="K920" s="91"/>
      <c r="L920" s="91"/>
      <c r="M920" s="91"/>
      <c r="N920" s="91"/>
      <c r="O920" s="91"/>
      <c r="P920" s="91"/>
      <c r="Q920" s="91"/>
      <c r="R920" s="91"/>
      <c r="S920" s="91"/>
      <c r="T920" s="91"/>
      <c r="U920" s="91"/>
      <c r="V920" s="91"/>
      <c r="W920" s="91"/>
      <c r="X920" s="91"/>
      <c r="Y920" s="91"/>
      <c r="Z920" s="91"/>
    </row>
    <row r="921" spans="1:26" ht="15.75" customHeight="1" x14ac:dyDescent="0.25">
      <c r="A921" s="9"/>
      <c r="B921" s="189"/>
      <c r="C921" s="91"/>
      <c r="D921" s="91"/>
      <c r="E921" s="91"/>
      <c r="F921" s="91"/>
      <c r="G921" s="91"/>
      <c r="H921" s="91"/>
      <c r="I921" s="91"/>
      <c r="J921" s="91"/>
      <c r="K921" s="91"/>
      <c r="L921" s="91"/>
      <c r="M921" s="91"/>
      <c r="N921" s="91"/>
      <c r="O921" s="91"/>
      <c r="P921" s="91"/>
      <c r="Q921" s="91"/>
      <c r="R921" s="91"/>
      <c r="S921" s="91"/>
      <c r="T921" s="91"/>
      <c r="U921" s="91"/>
      <c r="V921" s="91"/>
      <c r="W921" s="91"/>
      <c r="X921" s="91"/>
      <c r="Y921" s="91"/>
      <c r="Z921" s="91"/>
    </row>
    <row r="922" spans="1:26" ht="15.75" customHeight="1" x14ac:dyDescent="0.25">
      <c r="A922" s="9"/>
      <c r="B922" s="189"/>
      <c r="C922" s="91"/>
      <c r="D922" s="91"/>
      <c r="E922" s="91"/>
      <c r="F922" s="91"/>
      <c r="G922" s="91"/>
      <c r="H922" s="91"/>
      <c r="I922" s="91"/>
      <c r="J922" s="91"/>
      <c r="K922" s="91"/>
      <c r="L922" s="91"/>
      <c r="M922" s="91"/>
      <c r="N922" s="91"/>
      <c r="O922" s="91"/>
      <c r="P922" s="91"/>
      <c r="Q922" s="91"/>
      <c r="R922" s="91"/>
      <c r="S922" s="91"/>
      <c r="T922" s="91"/>
      <c r="U922" s="91"/>
      <c r="V922" s="91"/>
      <c r="W922" s="91"/>
      <c r="X922" s="91"/>
      <c r="Y922" s="91"/>
      <c r="Z922" s="91"/>
    </row>
    <row r="923" spans="1:26" ht="15.75" customHeight="1" x14ac:dyDescent="0.25">
      <c r="A923" s="9"/>
      <c r="B923" s="189"/>
      <c r="C923" s="91"/>
      <c r="D923" s="91"/>
      <c r="E923" s="91"/>
      <c r="F923" s="91"/>
      <c r="G923" s="91"/>
      <c r="H923" s="91"/>
      <c r="I923" s="91"/>
      <c r="J923" s="91"/>
      <c r="K923" s="91"/>
      <c r="L923" s="91"/>
      <c r="M923" s="91"/>
      <c r="N923" s="91"/>
      <c r="O923" s="91"/>
      <c r="P923" s="91"/>
      <c r="Q923" s="91"/>
      <c r="R923" s="91"/>
      <c r="S923" s="91"/>
      <c r="T923" s="91"/>
      <c r="U923" s="91"/>
      <c r="V923" s="91"/>
      <c r="W923" s="91"/>
      <c r="X923" s="91"/>
      <c r="Y923" s="91"/>
      <c r="Z923" s="91"/>
    </row>
    <row r="924" spans="1:26" ht="15.75" customHeight="1" x14ac:dyDescent="0.25">
      <c r="A924" s="9"/>
      <c r="B924" s="189"/>
      <c r="C924" s="91"/>
      <c r="D924" s="91"/>
      <c r="E924" s="91"/>
      <c r="F924" s="91"/>
      <c r="G924" s="91"/>
      <c r="H924" s="91"/>
      <c r="I924" s="91"/>
      <c r="J924" s="91"/>
      <c r="K924" s="91"/>
      <c r="L924" s="91"/>
      <c r="M924" s="91"/>
      <c r="N924" s="91"/>
      <c r="O924" s="91"/>
      <c r="P924" s="91"/>
      <c r="Q924" s="91"/>
      <c r="R924" s="91"/>
      <c r="S924" s="91"/>
      <c r="T924" s="91"/>
      <c r="U924" s="91"/>
      <c r="V924" s="91"/>
      <c r="W924" s="91"/>
      <c r="X924" s="91"/>
      <c r="Y924" s="91"/>
      <c r="Z924" s="91"/>
    </row>
    <row r="925" spans="1:26" ht="15.75" customHeight="1" x14ac:dyDescent="0.25">
      <c r="A925" s="9"/>
      <c r="B925" s="189"/>
      <c r="C925" s="91"/>
      <c r="D925" s="91"/>
      <c r="E925" s="91"/>
      <c r="F925" s="91"/>
      <c r="G925" s="91"/>
      <c r="H925" s="91"/>
      <c r="I925" s="91"/>
      <c r="J925" s="91"/>
      <c r="K925" s="91"/>
      <c r="L925" s="91"/>
      <c r="M925" s="91"/>
      <c r="N925" s="91"/>
      <c r="O925" s="91"/>
      <c r="P925" s="91"/>
      <c r="Q925" s="91"/>
      <c r="R925" s="91"/>
      <c r="S925" s="91"/>
      <c r="T925" s="91"/>
      <c r="U925" s="91"/>
      <c r="V925" s="91"/>
      <c r="W925" s="91"/>
      <c r="X925" s="91"/>
      <c r="Y925" s="91"/>
      <c r="Z925" s="91"/>
    </row>
    <row r="926" spans="1:26" ht="15.75" customHeight="1" x14ac:dyDescent="0.25">
      <c r="A926" s="9"/>
      <c r="B926" s="189"/>
      <c r="C926" s="91"/>
      <c r="D926" s="91"/>
      <c r="E926" s="91"/>
      <c r="F926" s="91"/>
      <c r="G926" s="91"/>
      <c r="H926" s="91"/>
      <c r="I926" s="91"/>
      <c r="J926" s="91"/>
      <c r="K926" s="91"/>
      <c r="L926" s="91"/>
      <c r="M926" s="91"/>
      <c r="N926" s="91"/>
      <c r="O926" s="91"/>
      <c r="P926" s="91"/>
      <c r="Q926" s="91"/>
      <c r="R926" s="91"/>
      <c r="S926" s="91"/>
      <c r="T926" s="91"/>
      <c r="U926" s="91"/>
      <c r="V926" s="91"/>
      <c r="W926" s="91"/>
      <c r="X926" s="91"/>
      <c r="Y926" s="91"/>
      <c r="Z926" s="91"/>
    </row>
    <row r="927" spans="1:26" ht="15.75" customHeight="1" x14ac:dyDescent="0.25">
      <c r="A927" s="9"/>
      <c r="B927" s="189"/>
      <c r="C927" s="91"/>
      <c r="D927" s="91"/>
      <c r="E927" s="91"/>
      <c r="F927" s="91"/>
      <c r="G927" s="91"/>
      <c r="H927" s="91"/>
      <c r="I927" s="91"/>
      <c r="J927" s="91"/>
      <c r="K927" s="91"/>
      <c r="L927" s="91"/>
      <c r="M927" s="91"/>
      <c r="N927" s="91"/>
      <c r="O927" s="91"/>
      <c r="P927" s="91"/>
      <c r="Q927" s="91"/>
      <c r="R927" s="91"/>
      <c r="S927" s="91"/>
      <c r="T927" s="91"/>
      <c r="U927" s="91"/>
      <c r="V927" s="91"/>
      <c r="W927" s="91"/>
      <c r="X927" s="91"/>
      <c r="Y927" s="91"/>
      <c r="Z927" s="91"/>
    </row>
    <row r="928" spans="1:26" ht="15.75" customHeight="1" x14ac:dyDescent="0.25">
      <c r="A928" s="9"/>
      <c r="B928" s="189"/>
      <c r="C928" s="91"/>
      <c r="D928" s="91"/>
      <c r="E928" s="91"/>
      <c r="F928" s="91"/>
      <c r="G928" s="91"/>
      <c r="H928" s="91"/>
      <c r="I928" s="91"/>
      <c r="J928" s="91"/>
      <c r="K928" s="91"/>
      <c r="L928" s="91"/>
      <c r="M928" s="91"/>
      <c r="N928" s="91"/>
      <c r="O928" s="91"/>
      <c r="P928" s="91"/>
      <c r="Q928" s="91"/>
      <c r="R928" s="91"/>
      <c r="S928" s="91"/>
      <c r="T928" s="91"/>
      <c r="U928" s="91"/>
      <c r="V928" s="91"/>
      <c r="W928" s="91"/>
      <c r="X928" s="91"/>
      <c r="Y928" s="91"/>
      <c r="Z928" s="91"/>
    </row>
    <row r="929" spans="1:26" ht="15.75" customHeight="1" x14ac:dyDescent="0.25">
      <c r="A929" s="9"/>
      <c r="B929" s="189"/>
      <c r="C929" s="91"/>
      <c r="D929" s="91"/>
      <c r="E929" s="91"/>
      <c r="F929" s="91"/>
      <c r="G929" s="91"/>
      <c r="H929" s="91"/>
      <c r="I929" s="91"/>
      <c r="J929" s="91"/>
      <c r="K929" s="91"/>
      <c r="L929" s="91"/>
      <c r="M929" s="91"/>
      <c r="N929" s="91"/>
      <c r="O929" s="91"/>
      <c r="P929" s="91"/>
      <c r="Q929" s="91"/>
      <c r="R929" s="91"/>
      <c r="S929" s="91"/>
      <c r="T929" s="91"/>
      <c r="U929" s="91"/>
      <c r="V929" s="91"/>
      <c r="W929" s="91"/>
      <c r="X929" s="91"/>
      <c r="Y929" s="91"/>
      <c r="Z929" s="91"/>
    </row>
    <row r="930" spans="1:26" ht="15.75" customHeight="1" x14ac:dyDescent="0.25">
      <c r="A930" s="9"/>
      <c r="B930" s="189"/>
      <c r="C930" s="91"/>
      <c r="D930" s="91"/>
      <c r="E930" s="91"/>
      <c r="F930" s="91"/>
      <c r="G930" s="91"/>
      <c r="H930" s="91"/>
      <c r="I930" s="91"/>
      <c r="J930" s="91"/>
      <c r="K930" s="91"/>
      <c r="L930" s="91"/>
      <c r="M930" s="91"/>
      <c r="N930" s="91"/>
      <c r="O930" s="91"/>
      <c r="P930" s="91"/>
      <c r="Q930" s="91"/>
      <c r="R930" s="91"/>
      <c r="S930" s="91"/>
      <c r="T930" s="91"/>
      <c r="U930" s="91"/>
      <c r="V930" s="91"/>
      <c r="W930" s="91"/>
      <c r="X930" s="91"/>
      <c r="Y930" s="91"/>
      <c r="Z930" s="91"/>
    </row>
    <row r="931" spans="1:26" ht="15.75" customHeight="1" x14ac:dyDescent="0.25">
      <c r="A931" s="9"/>
      <c r="B931" s="189"/>
      <c r="C931" s="91"/>
      <c r="D931" s="91"/>
      <c r="E931" s="91"/>
      <c r="F931" s="91"/>
      <c r="G931" s="91"/>
      <c r="H931" s="91"/>
      <c r="I931" s="91"/>
      <c r="J931" s="91"/>
      <c r="K931" s="91"/>
      <c r="L931" s="91"/>
      <c r="M931" s="91"/>
      <c r="N931" s="91"/>
      <c r="O931" s="91"/>
      <c r="P931" s="91"/>
      <c r="Q931" s="91"/>
      <c r="R931" s="91"/>
      <c r="S931" s="91"/>
      <c r="T931" s="91"/>
      <c r="U931" s="91"/>
      <c r="V931" s="91"/>
      <c r="W931" s="91"/>
      <c r="X931" s="91"/>
      <c r="Y931" s="91"/>
      <c r="Z931" s="91"/>
    </row>
    <row r="932" spans="1:26" ht="15.75" customHeight="1" x14ac:dyDescent="0.25">
      <c r="A932" s="9"/>
      <c r="B932" s="189"/>
      <c r="C932" s="91"/>
      <c r="D932" s="91"/>
      <c r="E932" s="91"/>
      <c r="F932" s="91"/>
      <c r="G932" s="91"/>
      <c r="H932" s="91"/>
      <c r="I932" s="91"/>
      <c r="J932" s="91"/>
      <c r="K932" s="91"/>
      <c r="L932" s="91"/>
      <c r="M932" s="91"/>
      <c r="N932" s="91"/>
      <c r="O932" s="91"/>
      <c r="P932" s="91"/>
      <c r="Q932" s="91"/>
      <c r="R932" s="91"/>
      <c r="S932" s="91"/>
      <c r="T932" s="91"/>
      <c r="U932" s="91"/>
      <c r="V932" s="91"/>
      <c r="W932" s="91"/>
      <c r="X932" s="91"/>
      <c r="Y932" s="91"/>
      <c r="Z932" s="91"/>
    </row>
    <row r="933" spans="1:26" ht="15.75" customHeight="1" x14ac:dyDescent="0.25">
      <c r="A933" s="9"/>
      <c r="B933" s="189"/>
      <c r="C933" s="91"/>
      <c r="D933" s="91"/>
      <c r="E933" s="91"/>
      <c r="F933" s="91"/>
      <c r="G933" s="91"/>
      <c r="H933" s="91"/>
      <c r="I933" s="91"/>
      <c r="J933" s="91"/>
      <c r="K933" s="91"/>
      <c r="L933" s="91"/>
      <c r="M933" s="91"/>
      <c r="N933" s="91"/>
      <c r="O933" s="91"/>
      <c r="P933" s="91"/>
      <c r="Q933" s="91"/>
      <c r="R933" s="91"/>
      <c r="S933" s="91"/>
      <c r="T933" s="91"/>
      <c r="U933" s="91"/>
      <c r="V933" s="91"/>
      <c r="W933" s="91"/>
      <c r="X933" s="91"/>
      <c r="Y933" s="91"/>
      <c r="Z933" s="91"/>
    </row>
    <row r="934" spans="1:26" ht="15.75" customHeight="1" x14ac:dyDescent="0.25">
      <c r="A934" s="9"/>
      <c r="B934" s="189"/>
      <c r="C934" s="91"/>
      <c r="D934" s="91"/>
      <c r="E934" s="91"/>
      <c r="F934" s="91"/>
      <c r="G934" s="91"/>
      <c r="H934" s="91"/>
      <c r="I934" s="91"/>
      <c r="J934" s="91"/>
      <c r="K934" s="91"/>
      <c r="L934" s="91"/>
      <c r="M934" s="91"/>
      <c r="N934" s="91"/>
      <c r="O934" s="91"/>
      <c r="P934" s="91"/>
      <c r="Q934" s="91"/>
      <c r="R934" s="91"/>
      <c r="S934" s="91"/>
      <c r="T934" s="91"/>
      <c r="U934" s="91"/>
      <c r="V934" s="91"/>
      <c r="W934" s="91"/>
      <c r="X934" s="91"/>
      <c r="Y934" s="91"/>
      <c r="Z934" s="91"/>
    </row>
    <row r="935" spans="1:26" ht="15.75" customHeight="1" x14ac:dyDescent="0.25">
      <c r="A935" s="9"/>
      <c r="B935" s="189"/>
      <c r="C935" s="91"/>
      <c r="D935" s="91"/>
      <c r="E935" s="91"/>
      <c r="F935" s="91"/>
      <c r="G935" s="91"/>
      <c r="H935" s="91"/>
      <c r="I935" s="91"/>
      <c r="J935" s="91"/>
      <c r="K935" s="91"/>
      <c r="L935" s="91"/>
      <c r="M935" s="91"/>
      <c r="N935" s="91"/>
      <c r="O935" s="91"/>
      <c r="P935" s="91"/>
      <c r="Q935" s="91"/>
      <c r="R935" s="91"/>
      <c r="S935" s="91"/>
      <c r="T935" s="91"/>
      <c r="U935" s="91"/>
      <c r="V935" s="91"/>
      <c r="W935" s="91"/>
      <c r="X935" s="91"/>
      <c r="Y935" s="91"/>
      <c r="Z935" s="91"/>
    </row>
    <row r="936" spans="1:26" ht="15.75" customHeight="1" x14ac:dyDescent="0.25">
      <c r="A936" s="9"/>
      <c r="B936" s="189"/>
      <c r="C936" s="91"/>
      <c r="D936" s="91"/>
      <c r="E936" s="91"/>
      <c r="F936" s="91"/>
      <c r="G936" s="91"/>
      <c r="H936" s="91"/>
      <c r="I936" s="91"/>
      <c r="J936" s="91"/>
      <c r="K936" s="91"/>
      <c r="L936" s="91"/>
      <c r="M936" s="91"/>
      <c r="N936" s="91"/>
      <c r="O936" s="91"/>
      <c r="P936" s="91"/>
      <c r="Q936" s="91"/>
      <c r="R936" s="91"/>
      <c r="S936" s="91"/>
      <c r="T936" s="91"/>
      <c r="U936" s="91"/>
      <c r="V936" s="91"/>
      <c r="W936" s="91"/>
      <c r="X936" s="91"/>
      <c r="Y936" s="91"/>
      <c r="Z936" s="91"/>
    </row>
    <row r="937" spans="1:26" ht="15.75" customHeight="1" x14ac:dyDescent="0.25">
      <c r="A937" s="9"/>
      <c r="B937" s="189"/>
      <c r="C937" s="91"/>
      <c r="D937" s="91"/>
      <c r="E937" s="91"/>
      <c r="F937" s="91"/>
      <c r="G937" s="91"/>
      <c r="H937" s="91"/>
      <c r="I937" s="91"/>
      <c r="J937" s="91"/>
      <c r="K937" s="91"/>
      <c r="L937" s="91"/>
      <c r="M937" s="91"/>
      <c r="N937" s="91"/>
      <c r="O937" s="91"/>
      <c r="P937" s="91"/>
      <c r="Q937" s="91"/>
      <c r="R937" s="91"/>
      <c r="S937" s="91"/>
      <c r="T937" s="91"/>
      <c r="U937" s="91"/>
      <c r="V937" s="91"/>
      <c r="W937" s="91"/>
      <c r="X937" s="91"/>
      <c r="Y937" s="91"/>
      <c r="Z937" s="91"/>
    </row>
    <row r="938" spans="1:26" ht="15.75" customHeight="1" x14ac:dyDescent="0.25">
      <c r="A938" s="9"/>
      <c r="B938" s="189"/>
      <c r="C938" s="91"/>
      <c r="D938" s="91"/>
      <c r="E938" s="91"/>
      <c r="F938" s="91"/>
      <c r="G938" s="91"/>
      <c r="H938" s="91"/>
      <c r="I938" s="91"/>
      <c r="J938" s="91"/>
      <c r="K938" s="91"/>
      <c r="L938" s="91"/>
      <c r="M938" s="91"/>
      <c r="N938" s="91"/>
      <c r="O938" s="91"/>
      <c r="P938" s="91"/>
      <c r="Q938" s="91"/>
      <c r="R938" s="91"/>
      <c r="S938" s="91"/>
      <c r="T938" s="91"/>
      <c r="U938" s="91"/>
      <c r="V938" s="91"/>
      <c r="W938" s="91"/>
      <c r="X938" s="91"/>
      <c r="Y938" s="91"/>
      <c r="Z938" s="91"/>
    </row>
    <row r="939" spans="1:26" ht="15.75" customHeight="1" x14ac:dyDescent="0.25">
      <c r="A939" s="9"/>
      <c r="B939" s="189"/>
      <c r="C939" s="91"/>
      <c r="D939" s="91"/>
      <c r="E939" s="91"/>
      <c r="F939" s="91"/>
      <c r="G939" s="91"/>
      <c r="H939" s="91"/>
      <c r="I939" s="91"/>
      <c r="J939" s="91"/>
      <c r="K939" s="91"/>
      <c r="L939" s="91"/>
      <c r="M939" s="91"/>
      <c r="N939" s="91"/>
      <c r="O939" s="91"/>
      <c r="P939" s="91"/>
      <c r="Q939" s="91"/>
      <c r="R939" s="91"/>
      <c r="S939" s="91"/>
      <c r="T939" s="91"/>
      <c r="U939" s="91"/>
      <c r="V939" s="91"/>
      <c r="W939" s="91"/>
      <c r="X939" s="91"/>
      <c r="Y939" s="91"/>
      <c r="Z939" s="91"/>
    </row>
    <row r="940" spans="1:26" ht="15.75" customHeight="1" x14ac:dyDescent="0.25">
      <c r="A940" s="9"/>
      <c r="B940" s="189"/>
      <c r="C940" s="91"/>
      <c r="D940" s="91"/>
      <c r="E940" s="91"/>
      <c r="F940" s="91"/>
      <c r="G940" s="91"/>
      <c r="H940" s="91"/>
      <c r="I940" s="91"/>
      <c r="J940" s="91"/>
      <c r="K940" s="91"/>
      <c r="L940" s="91"/>
      <c r="M940" s="91"/>
      <c r="N940" s="91"/>
      <c r="O940" s="91"/>
      <c r="P940" s="91"/>
      <c r="Q940" s="91"/>
      <c r="R940" s="91"/>
      <c r="S940" s="91"/>
      <c r="T940" s="91"/>
      <c r="U940" s="91"/>
      <c r="V940" s="91"/>
      <c r="W940" s="91"/>
      <c r="X940" s="91"/>
      <c r="Y940" s="91"/>
      <c r="Z940" s="91"/>
    </row>
    <row r="941" spans="1:26" ht="15.75" customHeight="1" x14ac:dyDescent="0.25">
      <c r="A941" s="9"/>
      <c r="B941" s="189"/>
      <c r="C941" s="91"/>
      <c r="D941" s="91"/>
      <c r="E941" s="91"/>
      <c r="F941" s="91"/>
      <c r="G941" s="91"/>
      <c r="H941" s="91"/>
      <c r="I941" s="91"/>
      <c r="J941" s="91"/>
      <c r="K941" s="91"/>
      <c r="L941" s="91"/>
      <c r="M941" s="91"/>
      <c r="N941" s="91"/>
      <c r="O941" s="91"/>
      <c r="P941" s="91"/>
      <c r="Q941" s="91"/>
      <c r="R941" s="91"/>
      <c r="S941" s="91"/>
      <c r="T941" s="91"/>
      <c r="U941" s="91"/>
      <c r="V941" s="91"/>
      <c r="W941" s="91"/>
      <c r="X941" s="91"/>
      <c r="Y941" s="91"/>
      <c r="Z941" s="91"/>
    </row>
    <row r="942" spans="1:26" ht="15.75" customHeight="1" x14ac:dyDescent="0.25">
      <c r="A942" s="9"/>
      <c r="B942" s="189"/>
      <c r="C942" s="91"/>
      <c r="D942" s="91"/>
      <c r="E942" s="91"/>
      <c r="F942" s="91"/>
      <c r="G942" s="91"/>
      <c r="H942" s="91"/>
      <c r="I942" s="91"/>
      <c r="J942" s="91"/>
      <c r="K942" s="91"/>
      <c r="L942" s="91"/>
      <c r="M942" s="91"/>
      <c r="N942" s="91"/>
      <c r="O942" s="91"/>
      <c r="P942" s="91"/>
      <c r="Q942" s="91"/>
      <c r="R942" s="91"/>
      <c r="S942" s="91"/>
      <c r="T942" s="91"/>
      <c r="U942" s="91"/>
      <c r="V942" s="91"/>
      <c r="W942" s="91"/>
      <c r="X942" s="91"/>
      <c r="Y942" s="91"/>
      <c r="Z942" s="91"/>
    </row>
    <row r="943" spans="1:26" ht="15.75" customHeight="1" x14ac:dyDescent="0.25">
      <c r="A943" s="9"/>
      <c r="B943" s="189"/>
      <c r="C943" s="91"/>
      <c r="D943" s="91"/>
      <c r="E943" s="91"/>
      <c r="F943" s="91"/>
      <c r="G943" s="91"/>
      <c r="H943" s="91"/>
      <c r="I943" s="91"/>
      <c r="J943" s="91"/>
      <c r="K943" s="91"/>
      <c r="L943" s="91"/>
      <c r="M943" s="91"/>
      <c r="N943" s="91"/>
      <c r="O943" s="91"/>
      <c r="P943" s="91"/>
      <c r="Q943" s="91"/>
      <c r="R943" s="91"/>
      <c r="S943" s="91"/>
      <c r="T943" s="91"/>
      <c r="U943" s="91"/>
      <c r="V943" s="91"/>
      <c r="W943" s="91"/>
      <c r="X943" s="91"/>
      <c r="Y943" s="91"/>
      <c r="Z943" s="91"/>
    </row>
    <row r="944" spans="1:26" ht="15.75" customHeight="1" x14ac:dyDescent="0.25">
      <c r="A944" s="9"/>
      <c r="B944" s="189"/>
      <c r="C944" s="91"/>
      <c r="D944" s="91"/>
      <c r="E944" s="91"/>
      <c r="F944" s="91"/>
      <c r="G944" s="91"/>
      <c r="H944" s="91"/>
      <c r="I944" s="91"/>
      <c r="J944" s="91"/>
      <c r="K944" s="91"/>
      <c r="L944" s="91"/>
      <c r="M944" s="91"/>
      <c r="N944" s="91"/>
      <c r="O944" s="91"/>
      <c r="P944" s="91"/>
      <c r="Q944" s="91"/>
      <c r="R944" s="91"/>
      <c r="S944" s="91"/>
      <c r="T944" s="91"/>
      <c r="U944" s="91"/>
      <c r="V944" s="91"/>
      <c r="W944" s="91"/>
      <c r="X944" s="91"/>
      <c r="Y944" s="91"/>
      <c r="Z944" s="91"/>
    </row>
    <row r="945" spans="1:26" ht="15.75" customHeight="1" x14ac:dyDescent="0.25">
      <c r="A945" s="9"/>
      <c r="B945" s="189"/>
      <c r="C945" s="91"/>
      <c r="D945" s="91"/>
      <c r="E945" s="91"/>
      <c r="F945" s="91"/>
      <c r="G945" s="91"/>
      <c r="H945" s="91"/>
      <c r="I945" s="91"/>
      <c r="J945" s="91"/>
      <c r="K945" s="91"/>
      <c r="L945" s="91"/>
      <c r="M945" s="91"/>
      <c r="N945" s="91"/>
      <c r="O945" s="91"/>
      <c r="P945" s="91"/>
      <c r="Q945" s="91"/>
      <c r="R945" s="91"/>
      <c r="S945" s="91"/>
      <c r="T945" s="91"/>
      <c r="U945" s="91"/>
      <c r="V945" s="91"/>
      <c r="W945" s="91"/>
      <c r="X945" s="91"/>
      <c r="Y945" s="91"/>
      <c r="Z945" s="91"/>
    </row>
    <row r="946" spans="1:26" ht="15.75" customHeight="1" x14ac:dyDescent="0.25">
      <c r="A946" s="9"/>
      <c r="B946" s="189"/>
      <c r="C946" s="91"/>
      <c r="D946" s="91"/>
      <c r="E946" s="91"/>
      <c r="F946" s="91"/>
      <c r="G946" s="91"/>
      <c r="H946" s="91"/>
      <c r="I946" s="91"/>
      <c r="J946" s="91"/>
      <c r="K946" s="91"/>
      <c r="L946" s="91"/>
      <c r="M946" s="91"/>
      <c r="N946" s="91"/>
      <c r="O946" s="91"/>
      <c r="P946" s="91"/>
      <c r="Q946" s="91"/>
      <c r="R946" s="91"/>
      <c r="S946" s="91"/>
      <c r="T946" s="91"/>
      <c r="U946" s="91"/>
      <c r="V946" s="91"/>
      <c r="W946" s="91"/>
      <c r="X946" s="91"/>
      <c r="Y946" s="91"/>
      <c r="Z946" s="91"/>
    </row>
    <row r="947" spans="1:26" ht="15.75" customHeight="1" x14ac:dyDescent="0.25">
      <c r="A947" s="9"/>
      <c r="B947" s="189"/>
      <c r="C947" s="91"/>
      <c r="D947" s="91"/>
      <c r="E947" s="91"/>
      <c r="F947" s="91"/>
      <c r="G947" s="91"/>
      <c r="H947" s="91"/>
      <c r="I947" s="91"/>
      <c r="J947" s="91"/>
      <c r="K947" s="91"/>
      <c r="L947" s="91"/>
      <c r="M947" s="91"/>
      <c r="N947" s="91"/>
      <c r="O947" s="91"/>
      <c r="P947" s="91"/>
      <c r="Q947" s="91"/>
      <c r="R947" s="91"/>
      <c r="S947" s="91"/>
      <c r="T947" s="91"/>
      <c r="U947" s="91"/>
      <c r="V947" s="91"/>
      <c r="W947" s="91"/>
      <c r="X947" s="91"/>
      <c r="Y947" s="91"/>
      <c r="Z947" s="91"/>
    </row>
    <row r="948" spans="1:26" ht="15.75" customHeight="1" x14ac:dyDescent="0.25">
      <c r="A948" s="9"/>
      <c r="B948" s="189"/>
      <c r="C948" s="91"/>
      <c r="D948" s="91"/>
      <c r="E948" s="91"/>
      <c r="F948" s="91"/>
      <c r="G948" s="91"/>
      <c r="H948" s="91"/>
      <c r="I948" s="91"/>
      <c r="J948" s="91"/>
      <c r="K948" s="91"/>
      <c r="L948" s="91"/>
      <c r="M948" s="91"/>
      <c r="N948" s="91"/>
      <c r="O948" s="91"/>
      <c r="P948" s="91"/>
      <c r="Q948" s="91"/>
      <c r="R948" s="91"/>
      <c r="S948" s="91"/>
      <c r="T948" s="91"/>
      <c r="U948" s="91"/>
      <c r="V948" s="91"/>
      <c r="W948" s="91"/>
      <c r="X948" s="91"/>
      <c r="Y948" s="91"/>
      <c r="Z948" s="91"/>
    </row>
    <row r="949" spans="1:26" ht="15.75" customHeight="1" x14ac:dyDescent="0.25">
      <c r="A949" s="9"/>
      <c r="B949" s="189"/>
      <c r="C949" s="91"/>
      <c r="D949" s="91"/>
      <c r="E949" s="91"/>
      <c r="F949" s="91"/>
      <c r="G949" s="91"/>
      <c r="H949" s="91"/>
      <c r="I949" s="91"/>
      <c r="J949" s="91"/>
      <c r="K949" s="91"/>
      <c r="L949" s="91"/>
      <c r="M949" s="91"/>
      <c r="N949" s="91"/>
      <c r="O949" s="91"/>
      <c r="P949" s="91"/>
      <c r="Q949" s="91"/>
      <c r="R949" s="91"/>
      <c r="S949" s="91"/>
      <c r="T949" s="91"/>
      <c r="U949" s="91"/>
      <c r="V949" s="91"/>
      <c r="W949" s="91"/>
      <c r="X949" s="91"/>
      <c r="Y949" s="91"/>
      <c r="Z949" s="91"/>
    </row>
    <row r="950" spans="1:26" ht="15.75" customHeight="1" x14ac:dyDescent="0.25">
      <c r="A950" s="9"/>
      <c r="B950" s="189"/>
      <c r="C950" s="91"/>
      <c r="D950" s="91"/>
      <c r="E950" s="91"/>
      <c r="F950" s="91"/>
      <c r="G950" s="91"/>
      <c r="H950" s="91"/>
      <c r="I950" s="91"/>
      <c r="J950" s="91"/>
      <c r="K950" s="91"/>
      <c r="L950" s="91"/>
      <c r="M950" s="91"/>
      <c r="N950" s="91"/>
      <c r="O950" s="91"/>
      <c r="P950" s="91"/>
      <c r="Q950" s="91"/>
      <c r="R950" s="91"/>
      <c r="S950" s="91"/>
      <c r="T950" s="91"/>
      <c r="U950" s="91"/>
      <c r="V950" s="91"/>
      <c r="W950" s="91"/>
      <c r="X950" s="91"/>
      <c r="Y950" s="91"/>
      <c r="Z950" s="91"/>
    </row>
    <row r="951" spans="1:26" ht="15.75" customHeight="1" x14ac:dyDescent="0.25">
      <c r="A951" s="9"/>
      <c r="B951" s="189"/>
      <c r="C951" s="91"/>
      <c r="D951" s="91"/>
      <c r="E951" s="91"/>
      <c r="F951" s="91"/>
      <c r="G951" s="91"/>
      <c r="H951" s="91"/>
      <c r="I951" s="91"/>
      <c r="J951" s="91"/>
      <c r="K951" s="91"/>
      <c r="L951" s="91"/>
      <c r="M951" s="91"/>
      <c r="N951" s="91"/>
      <c r="O951" s="91"/>
      <c r="P951" s="91"/>
      <c r="Q951" s="91"/>
      <c r="R951" s="91"/>
      <c r="S951" s="91"/>
      <c r="T951" s="91"/>
      <c r="U951" s="91"/>
      <c r="V951" s="91"/>
      <c r="W951" s="91"/>
      <c r="X951" s="91"/>
      <c r="Y951" s="91"/>
      <c r="Z951" s="91"/>
    </row>
    <row r="952" spans="1:26" ht="15.75" customHeight="1" x14ac:dyDescent="0.25">
      <c r="A952" s="9"/>
      <c r="B952" s="189"/>
      <c r="C952" s="91"/>
      <c r="D952" s="91"/>
      <c r="E952" s="91"/>
      <c r="F952" s="91"/>
      <c r="G952" s="91"/>
      <c r="H952" s="91"/>
      <c r="I952" s="91"/>
      <c r="J952" s="91"/>
      <c r="K952" s="91"/>
      <c r="L952" s="91"/>
      <c r="M952" s="91"/>
      <c r="N952" s="91"/>
      <c r="O952" s="91"/>
      <c r="P952" s="91"/>
      <c r="Q952" s="91"/>
      <c r="R952" s="91"/>
      <c r="S952" s="91"/>
      <c r="T952" s="91"/>
      <c r="U952" s="91"/>
      <c r="V952" s="91"/>
      <c r="W952" s="91"/>
      <c r="X952" s="91"/>
      <c r="Y952" s="91"/>
      <c r="Z952" s="91"/>
    </row>
    <row r="953" spans="1:26" ht="15.75" customHeight="1" x14ac:dyDescent="0.25">
      <c r="A953" s="9"/>
      <c r="B953" s="189"/>
      <c r="C953" s="91"/>
      <c r="D953" s="91"/>
      <c r="E953" s="91"/>
      <c r="F953" s="91"/>
      <c r="G953" s="91"/>
      <c r="H953" s="91"/>
      <c r="I953" s="91"/>
      <c r="J953" s="91"/>
      <c r="K953" s="91"/>
      <c r="L953" s="91"/>
      <c r="M953" s="91"/>
      <c r="N953" s="91"/>
      <c r="O953" s="91"/>
      <c r="P953" s="91"/>
      <c r="Q953" s="91"/>
      <c r="R953" s="91"/>
      <c r="S953" s="91"/>
      <c r="T953" s="91"/>
      <c r="U953" s="91"/>
      <c r="V953" s="91"/>
      <c r="W953" s="91"/>
      <c r="X953" s="91"/>
      <c r="Y953" s="91"/>
      <c r="Z953" s="91"/>
    </row>
    <row r="954" spans="1:26" ht="15.75" customHeight="1" x14ac:dyDescent="0.25">
      <c r="A954" s="9"/>
      <c r="B954" s="189"/>
      <c r="C954" s="91"/>
      <c r="D954" s="91"/>
      <c r="E954" s="91"/>
      <c r="F954" s="91"/>
      <c r="G954" s="91"/>
      <c r="H954" s="91"/>
      <c r="I954" s="91"/>
      <c r="J954" s="91"/>
      <c r="K954" s="91"/>
      <c r="L954" s="91"/>
      <c r="M954" s="91"/>
      <c r="N954" s="91"/>
      <c r="O954" s="91"/>
      <c r="P954" s="91"/>
      <c r="Q954" s="91"/>
      <c r="R954" s="91"/>
      <c r="S954" s="91"/>
      <c r="T954" s="91"/>
      <c r="U954" s="91"/>
      <c r="V954" s="91"/>
      <c r="W954" s="91"/>
      <c r="X954" s="91"/>
      <c r="Y954" s="91"/>
      <c r="Z954" s="91"/>
    </row>
    <row r="955" spans="1:26" ht="15.75" customHeight="1" x14ac:dyDescent="0.25">
      <c r="A955" s="9"/>
      <c r="B955" s="189"/>
      <c r="C955" s="91"/>
      <c r="D955" s="91"/>
      <c r="E955" s="91"/>
      <c r="F955" s="91"/>
      <c r="G955" s="91"/>
      <c r="H955" s="91"/>
      <c r="I955" s="91"/>
      <c r="J955" s="91"/>
      <c r="K955" s="91"/>
      <c r="L955" s="91"/>
      <c r="M955" s="91"/>
      <c r="N955" s="91"/>
      <c r="O955" s="91"/>
      <c r="P955" s="91"/>
      <c r="Q955" s="91"/>
      <c r="R955" s="91"/>
      <c r="S955" s="91"/>
      <c r="T955" s="91"/>
      <c r="U955" s="91"/>
      <c r="V955" s="91"/>
      <c r="W955" s="91"/>
      <c r="X955" s="91"/>
      <c r="Y955" s="91"/>
      <c r="Z955" s="91"/>
    </row>
    <row r="956" spans="1:26" ht="15.75" customHeight="1" x14ac:dyDescent="0.25">
      <c r="A956" s="9"/>
      <c r="B956" s="189"/>
      <c r="C956" s="91"/>
      <c r="D956" s="91"/>
      <c r="E956" s="91"/>
      <c r="F956" s="91"/>
      <c r="G956" s="91"/>
      <c r="H956" s="91"/>
      <c r="I956" s="91"/>
      <c r="J956" s="91"/>
      <c r="K956" s="91"/>
      <c r="L956" s="91"/>
      <c r="M956" s="91"/>
      <c r="N956" s="91"/>
      <c r="O956" s="91"/>
      <c r="P956" s="91"/>
      <c r="Q956" s="91"/>
      <c r="R956" s="91"/>
      <c r="S956" s="91"/>
      <c r="T956" s="91"/>
      <c r="U956" s="91"/>
      <c r="V956" s="91"/>
      <c r="W956" s="91"/>
      <c r="X956" s="91"/>
      <c r="Y956" s="91"/>
      <c r="Z956" s="91"/>
    </row>
    <row r="957" spans="1:26" ht="15.75" customHeight="1" x14ac:dyDescent="0.25">
      <c r="A957" s="9"/>
      <c r="B957" s="189"/>
      <c r="C957" s="91"/>
      <c r="D957" s="91"/>
      <c r="E957" s="91"/>
      <c r="F957" s="91"/>
      <c r="G957" s="91"/>
      <c r="H957" s="91"/>
      <c r="I957" s="91"/>
      <c r="J957" s="91"/>
      <c r="K957" s="91"/>
      <c r="L957" s="91"/>
      <c r="M957" s="91"/>
      <c r="N957" s="91"/>
      <c r="O957" s="91"/>
      <c r="P957" s="91"/>
      <c r="Q957" s="91"/>
      <c r="R957" s="91"/>
      <c r="S957" s="91"/>
      <c r="T957" s="91"/>
      <c r="U957" s="91"/>
      <c r="V957" s="91"/>
      <c r="W957" s="91"/>
      <c r="X957" s="91"/>
      <c r="Y957" s="91"/>
      <c r="Z957" s="91"/>
    </row>
    <row r="958" spans="1:26" ht="15.75" customHeight="1" x14ac:dyDescent="0.25">
      <c r="A958" s="9"/>
      <c r="B958" s="189"/>
      <c r="C958" s="91"/>
      <c r="D958" s="91"/>
      <c r="E958" s="91"/>
      <c r="F958" s="91"/>
      <c r="G958" s="91"/>
      <c r="H958" s="91"/>
      <c r="I958" s="91"/>
      <c r="J958" s="91"/>
      <c r="K958" s="91"/>
      <c r="L958" s="91"/>
      <c r="M958" s="91"/>
      <c r="N958" s="91"/>
      <c r="O958" s="91"/>
      <c r="P958" s="91"/>
      <c r="Q958" s="91"/>
      <c r="R958" s="91"/>
      <c r="S958" s="91"/>
      <c r="T958" s="91"/>
      <c r="U958" s="91"/>
      <c r="V958" s="91"/>
      <c r="W958" s="91"/>
      <c r="X958" s="91"/>
      <c r="Y958" s="91"/>
      <c r="Z958" s="91"/>
    </row>
    <row r="959" spans="1:26" ht="15.75" customHeight="1" x14ac:dyDescent="0.25">
      <c r="A959" s="9"/>
      <c r="B959" s="189"/>
      <c r="C959" s="91"/>
      <c r="D959" s="91"/>
      <c r="E959" s="91"/>
      <c r="F959" s="91"/>
      <c r="G959" s="91"/>
      <c r="H959" s="91"/>
      <c r="I959" s="91"/>
      <c r="J959" s="91"/>
      <c r="K959" s="91"/>
      <c r="L959" s="91"/>
      <c r="M959" s="91"/>
      <c r="N959" s="91"/>
      <c r="O959" s="91"/>
      <c r="P959" s="91"/>
      <c r="Q959" s="91"/>
      <c r="R959" s="91"/>
      <c r="S959" s="91"/>
      <c r="T959" s="91"/>
      <c r="U959" s="91"/>
      <c r="V959" s="91"/>
      <c r="W959" s="91"/>
      <c r="X959" s="91"/>
      <c r="Y959" s="91"/>
      <c r="Z959" s="91"/>
    </row>
    <row r="960" spans="1:26" ht="15.75" customHeight="1" x14ac:dyDescent="0.25">
      <c r="A960" s="9"/>
      <c r="B960" s="189"/>
      <c r="C960" s="91"/>
      <c r="D960" s="91"/>
      <c r="E960" s="91"/>
      <c r="F960" s="91"/>
      <c r="G960" s="91"/>
      <c r="H960" s="91"/>
      <c r="I960" s="91"/>
      <c r="J960" s="91"/>
      <c r="K960" s="91"/>
      <c r="L960" s="91"/>
      <c r="M960" s="91"/>
      <c r="N960" s="91"/>
      <c r="O960" s="91"/>
      <c r="P960" s="91"/>
      <c r="Q960" s="91"/>
      <c r="R960" s="91"/>
      <c r="S960" s="91"/>
      <c r="T960" s="91"/>
      <c r="U960" s="91"/>
      <c r="V960" s="91"/>
      <c r="W960" s="91"/>
      <c r="X960" s="91"/>
      <c r="Y960" s="91"/>
      <c r="Z960" s="91"/>
    </row>
    <row r="961" spans="1:26" ht="15.75" customHeight="1" x14ac:dyDescent="0.25">
      <c r="A961" s="9"/>
      <c r="B961" s="189"/>
      <c r="C961" s="91"/>
      <c r="D961" s="91"/>
      <c r="E961" s="91"/>
      <c r="F961" s="91"/>
      <c r="G961" s="91"/>
      <c r="H961" s="91"/>
      <c r="I961" s="91"/>
      <c r="J961" s="91"/>
      <c r="K961" s="91"/>
      <c r="L961" s="91"/>
      <c r="M961" s="91"/>
      <c r="N961" s="91"/>
      <c r="O961" s="91"/>
      <c r="P961" s="91"/>
      <c r="Q961" s="91"/>
      <c r="R961" s="91"/>
      <c r="S961" s="91"/>
      <c r="T961" s="91"/>
      <c r="U961" s="91"/>
      <c r="V961" s="91"/>
      <c r="W961" s="91"/>
      <c r="X961" s="91"/>
      <c r="Y961" s="91"/>
      <c r="Z961" s="91"/>
    </row>
    <row r="962" spans="1:26" ht="15.75" customHeight="1" x14ac:dyDescent="0.25">
      <c r="A962" s="9"/>
      <c r="B962" s="189"/>
      <c r="C962" s="91"/>
      <c r="D962" s="91"/>
      <c r="E962" s="91"/>
      <c r="F962" s="91"/>
      <c r="G962" s="91"/>
      <c r="H962" s="91"/>
      <c r="I962" s="91"/>
      <c r="J962" s="91"/>
      <c r="K962" s="91"/>
      <c r="L962" s="91"/>
      <c r="M962" s="91"/>
      <c r="N962" s="91"/>
      <c r="O962" s="91"/>
      <c r="P962" s="91"/>
      <c r="Q962" s="91"/>
      <c r="R962" s="91"/>
      <c r="S962" s="91"/>
      <c r="T962" s="91"/>
      <c r="U962" s="91"/>
      <c r="V962" s="91"/>
      <c r="W962" s="91"/>
      <c r="X962" s="91"/>
      <c r="Y962" s="91"/>
      <c r="Z962" s="91"/>
    </row>
    <row r="963" spans="1:26" ht="15.75" customHeight="1" x14ac:dyDescent="0.25">
      <c r="A963" s="9"/>
      <c r="B963" s="189"/>
      <c r="C963" s="91"/>
      <c r="D963" s="91"/>
      <c r="E963" s="91"/>
      <c r="F963" s="91"/>
      <c r="G963" s="91"/>
      <c r="H963" s="91"/>
      <c r="I963" s="91"/>
      <c r="J963" s="91"/>
      <c r="K963" s="91"/>
      <c r="L963" s="91"/>
      <c r="M963" s="91"/>
      <c r="N963" s="91"/>
      <c r="O963" s="91"/>
      <c r="P963" s="91"/>
      <c r="Q963" s="91"/>
      <c r="R963" s="91"/>
      <c r="S963" s="91"/>
      <c r="T963" s="91"/>
      <c r="U963" s="91"/>
      <c r="V963" s="91"/>
      <c r="W963" s="91"/>
      <c r="X963" s="91"/>
      <c r="Y963" s="91"/>
      <c r="Z963" s="91"/>
    </row>
    <row r="964" spans="1:26" ht="15.75" customHeight="1" x14ac:dyDescent="0.25">
      <c r="A964" s="9"/>
      <c r="B964" s="189"/>
      <c r="C964" s="91"/>
      <c r="D964" s="91"/>
      <c r="E964" s="91"/>
      <c r="F964" s="91"/>
      <c r="G964" s="91"/>
      <c r="H964" s="91"/>
      <c r="I964" s="91"/>
      <c r="J964" s="91"/>
      <c r="K964" s="91"/>
      <c r="L964" s="91"/>
      <c r="M964" s="91"/>
      <c r="N964" s="91"/>
      <c r="O964" s="91"/>
      <c r="P964" s="91"/>
      <c r="Q964" s="91"/>
      <c r="R964" s="91"/>
      <c r="S964" s="91"/>
      <c r="T964" s="91"/>
      <c r="U964" s="91"/>
      <c r="V964" s="91"/>
      <c r="W964" s="91"/>
      <c r="X964" s="91"/>
      <c r="Y964" s="91"/>
      <c r="Z964" s="91"/>
    </row>
    <row r="965" spans="1:26" ht="15.75" customHeight="1" x14ac:dyDescent="0.25">
      <c r="A965" s="9"/>
      <c r="B965" s="189"/>
      <c r="C965" s="91"/>
      <c r="D965" s="91"/>
      <c r="E965" s="91"/>
      <c r="F965" s="91"/>
      <c r="G965" s="91"/>
      <c r="H965" s="91"/>
      <c r="I965" s="91"/>
      <c r="J965" s="91"/>
      <c r="K965" s="91"/>
      <c r="L965" s="91"/>
      <c r="M965" s="91"/>
      <c r="N965" s="91"/>
      <c r="O965" s="91"/>
      <c r="P965" s="91"/>
      <c r="Q965" s="91"/>
      <c r="R965" s="91"/>
      <c r="S965" s="91"/>
      <c r="T965" s="91"/>
      <c r="U965" s="91"/>
      <c r="V965" s="91"/>
      <c r="W965" s="91"/>
      <c r="X965" s="91"/>
      <c r="Y965" s="91"/>
      <c r="Z965" s="91"/>
    </row>
    <row r="966" spans="1:26" ht="15.75" customHeight="1" x14ac:dyDescent="0.25">
      <c r="A966" s="9"/>
      <c r="B966" s="189"/>
      <c r="C966" s="91"/>
      <c r="D966" s="91"/>
      <c r="E966" s="91"/>
      <c r="F966" s="91"/>
      <c r="G966" s="91"/>
      <c r="H966" s="91"/>
      <c r="I966" s="91"/>
      <c r="J966" s="91"/>
      <c r="K966" s="91"/>
      <c r="L966" s="91"/>
      <c r="M966" s="91"/>
      <c r="N966" s="91"/>
      <c r="O966" s="91"/>
      <c r="P966" s="91"/>
      <c r="Q966" s="91"/>
      <c r="R966" s="91"/>
      <c r="S966" s="91"/>
      <c r="T966" s="91"/>
      <c r="U966" s="91"/>
      <c r="V966" s="91"/>
      <c r="W966" s="91"/>
      <c r="X966" s="91"/>
      <c r="Y966" s="91"/>
      <c r="Z966" s="91"/>
    </row>
    <row r="967" spans="1:26" ht="15.75" customHeight="1" x14ac:dyDescent="0.25">
      <c r="A967" s="9"/>
      <c r="B967" s="189"/>
      <c r="C967" s="91"/>
      <c r="D967" s="91"/>
      <c r="E967" s="91"/>
      <c r="F967" s="91"/>
      <c r="G967" s="91"/>
      <c r="H967" s="91"/>
      <c r="I967" s="91"/>
      <c r="J967" s="91"/>
      <c r="K967" s="91"/>
      <c r="L967" s="91"/>
      <c r="M967" s="91"/>
      <c r="N967" s="91"/>
      <c r="O967" s="91"/>
      <c r="P967" s="91"/>
      <c r="Q967" s="91"/>
      <c r="R967" s="91"/>
      <c r="S967" s="91"/>
      <c r="T967" s="91"/>
      <c r="U967" s="91"/>
      <c r="V967" s="91"/>
      <c r="W967" s="91"/>
      <c r="X967" s="91"/>
      <c r="Y967" s="91"/>
      <c r="Z967" s="91"/>
    </row>
    <row r="968" spans="1:26" ht="15.75" customHeight="1" x14ac:dyDescent="0.25">
      <c r="A968" s="9"/>
      <c r="B968" s="189"/>
      <c r="C968" s="91"/>
      <c r="D968" s="91"/>
      <c r="E968" s="91"/>
      <c r="F968" s="91"/>
      <c r="G968" s="91"/>
      <c r="H968" s="91"/>
      <c r="I968" s="91"/>
      <c r="J968" s="91"/>
      <c r="K968" s="91"/>
      <c r="L968" s="91"/>
      <c r="M968" s="91"/>
      <c r="N968" s="91"/>
      <c r="O968" s="91"/>
      <c r="P968" s="91"/>
      <c r="Q968" s="91"/>
      <c r="R968" s="91"/>
      <c r="S968" s="91"/>
      <c r="T968" s="91"/>
      <c r="U968" s="91"/>
      <c r="V968" s="91"/>
      <c r="W968" s="91"/>
      <c r="X968" s="91"/>
      <c r="Y968" s="91"/>
      <c r="Z968" s="91"/>
    </row>
    <row r="969" spans="1:26" ht="15.75" customHeight="1" x14ac:dyDescent="0.25">
      <c r="A969" s="9"/>
      <c r="B969" s="189"/>
      <c r="C969" s="91"/>
      <c r="D969" s="91"/>
      <c r="E969" s="91"/>
      <c r="F969" s="91"/>
      <c r="G969" s="91"/>
      <c r="H969" s="91"/>
      <c r="I969" s="91"/>
      <c r="J969" s="91"/>
      <c r="K969" s="91"/>
      <c r="L969" s="91"/>
      <c r="M969" s="91"/>
      <c r="N969" s="91"/>
      <c r="O969" s="91"/>
      <c r="P969" s="91"/>
      <c r="Q969" s="91"/>
      <c r="R969" s="91"/>
      <c r="S969" s="91"/>
      <c r="T969" s="91"/>
      <c r="U969" s="91"/>
      <c r="V969" s="91"/>
      <c r="W969" s="91"/>
      <c r="X969" s="91"/>
      <c r="Y969" s="91"/>
      <c r="Z969" s="91"/>
    </row>
    <row r="970" spans="1:26" ht="15.75" customHeight="1" x14ac:dyDescent="0.25">
      <c r="A970" s="9"/>
      <c r="B970" s="189"/>
      <c r="C970" s="91"/>
      <c r="D970" s="91"/>
      <c r="E970" s="91"/>
      <c r="F970" s="91"/>
      <c r="G970" s="91"/>
      <c r="H970" s="91"/>
      <c r="I970" s="91"/>
      <c r="J970" s="91"/>
      <c r="K970" s="91"/>
      <c r="L970" s="91"/>
      <c r="M970" s="91"/>
      <c r="N970" s="91"/>
      <c r="O970" s="91"/>
      <c r="P970" s="91"/>
      <c r="Q970" s="91"/>
      <c r="R970" s="91"/>
      <c r="S970" s="91"/>
      <c r="T970" s="91"/>
      <c r="U970" s="91"/>
      <c r="V970" s="91"/>
      <c r="W970" s="91"/>
      <c r="X970" s="91"/>
      <c r="Y970" s="91"/>
      <c r="Z970" s="91"/>
    </row>
    <row r="971" spans="1:26" ht="15.75" customHeight="1" x14ac:dyDescent="0.25">
      <c r="A971" s="9"/>
      <c r="B971" s="189"/>
      <c r="C971" s="91"/>
      <c r="D971" s="91"/>
      <c r="E971" s="91"/>
      <c r="F971" s="91"/>
      <c r="G971" s="91"/>
      <c r="H971" s="91"/>
      <c r="I971" s="91"/>
      <c r="J971" s="91"/>
      <c r="K971" s="91"/>
      <c r="L971" s="91"/>
      <c r="M971" s="91"/>
      <c r="N971" s="91"/>
      <c r="O971" s="91"/>
      <c r="P971" s="91"/>
      <c r="Q971" s="91"/>
      <c r="R971" s="91"/>
      <c r="S971" s="91"/>
      <c r="T971" s="91"/>
      <c r="U971" s="91"/>
      <c r="V971" s="91"/>
      <c r="W971" s="91"/>
      <c r="X971" s="91"/>
      <c r="Y971" s="91"/>
      <c r="Z971" s="91"/>
    </row>
    <row r="972" spans="1:26" ht="15.75" customHeight="1" x14ac:dyDescent="0.25">
      <c r="A972" s="9"/>
      <c r="B972" s="189"/>
      <c r="C972" s="91"/>
      <c r="D972" s="91"/>
      <c r="E972" s="91"/>
      <c r="F972" s="91"/>
      <c r="G972" s="91"/>
      <c r="H972" s="91"/>
      <c r="I972" s="91"/>
      <c r="J972" s="91"/>
      <c r="K972" s="91"/>
      <c r="L972" s="91"/>
      <c r="M972" s="91"/>
      <c r="N972" s="91"/>
      <c r="O972" s="91"/>
      <c r="P972" s="91"/>
      <c r="Q972" s="91"/>
      <c r="R972" s="91"/>
      <c r="S972" s="91"/>
      <c r="T972" s="91"/>
      <c r="U972" s="91"/>
      <c r="V972" s="91"/>
      <c r="W972" s="91"/>
      <c r="X972" s="91"/>
      <c r="Y972" s="91"/>
      <c r="Z972" s="91"/>
    </row>
    <row r="973" spans="1:26" ht="15.75" customHeight="1" x14ac:dyDescent="0.25">
      <c r="A973" s="9"/>
      <c r="B973" s="189"/>
      <c r="C973" s="91"/>
      <c r="D973" s="91"/>
      <c r="E973" s="91"/>
      <c r="F973" s="91"/>
      <c r="G973" s="91"/>
      <c r="H973" s="91"/>
      <c r="I973" s="91"/>
      <c r="J973" s="91"/>
      <c r="K973" s="91"/>
      <c r="L973" s="91"/>
      <c r="M973" s="91"/>
      <c r="N973" s="91"/>
      <c r="O973" s="91"/>
      <c r="P973" s="91"/>
      <c r="Q973" s="91"/>
      <c r="R973" s="91"/>
      <c r="S973" s="91"/>
      <c r="T973" s="91"/>
      <c r="U973" s="91"/>
      <c r="V973" s="91"/>
      <c r="W973" s="91"/>
      <c r="X973" s="91"/>
      <c r="Y973" s="91"/>
      <c r="Z973" s="91"/>
    </row>
    <row r="974" spans="1:26" ht="15.75" customHeight="1" x14ac:dyDescent="0.25">
      <c r="A974" s="9"/>
      <c r="B974" s="189"/>
      <c r="C974" s="91"/>
      <c r="D974" s="91"/>
      <c r="E974" s="91"/>
      <c r="F974" s="91"/>
      <c r="G974" s="91"/>
      <c r="H974" s="91"/>
      <c r="I974" s="91"/>
      <c r="J974" s="91"/>
      <c r="K974" s="91"/>
      <c r="L974" s="91"/>
      <c r="M974" s="91"/>
      <c r="N974" s="91"/>
      <c r="O974" s="91"/>
      <c r="P974" s="91"/>
      <c r="Q974" s="91"/>
      <c r="R974" s="91"/>
      <c r="S974" s="91"/>
      <c r="T974" s="91"/>
      <c r="U974" s="91"/>
      <c r="V974" s="91"/>
      <c r="W974" s="91"/>
      <c r="X974" s="91"/>
      <c r="Y974" s="91"/>
      <c r="Z974" s="91"/>
    </row>
    <row r="975" spans="1:26" ht="15.75" customHeight="1" x14ac:dyDescent="0.25">
      <c r="A975" s="9"/>
      <c r="B975" s="189"/>
      <c r="C975" s="91"/>
      <c r="D975" s="91"/>
      <c r="E975" s="91"/>
      <c r="F975" s="91"/>
      <c r="G975" s="91"/>
      <c r="H975" s="91"/>
      <c r="I975" s="91"/>
      <c r="J975" s="91"/>
      <c r="K975" s="91"/>
      <c r="L975" s="91"/>
      <c r="M975" s="91"/>
      <c r="N975" s="91"/>
      <c r="O975" s="91"/>
      <c r="P975" s="91"/>
      <c r="Q975" s="91"/>
      <c r="R975" s="91"/>
      <c r="S975" s="91"/>
      <c r="T975" s="91"/>
      <c r="U975" s="91"/>
      <c r="V975" s="91"/>
      <c r="W975" s="91"/>
      <c r="X975" s="91"/>
      <c r="Y975" s="91"/>
      <c r="Z975" s="91"/>
    </row>
    <row r="976" spans="1:26" ht="15.75" customHeight="1" x14ac:dyDescent="0.25">
      <c r="A976" s="9"/>
      <c r="B976" s="189"/>
      <c r="C976" s="91"/>
      <c r="D976" s="91"/>
      <c r="E976" s="91"/>
      <c r="F976" s="91"/>
      <c r="G976" s="91"/>
      <c r="H976" s="91"/>
      <c r="I976" s="91"/>
      <c r="J976" s="91"/>
      <c r="K976" s="91"/>
      <c r="L976" s="91"/>
      <c r="M976" s="91"/>
      <c r="N976" s="91"/>
      <c r="O976" s="91"/>
      <c r="P976" s="91"/>
      <c r="Q976" s="91"/>
      <c r="R976" s="91"/>
      <c r="S976" s="91"/>
      <c r="T976" s="91"/>
      <c r="U976" s="91"/>
      <c r="V976" s="91"/>
      <c r="W976" s="91"/>
      <c r="X976" s="91"/>
      <c r="Y976" s="91"/>
      <c r="Z976" s="91"/>
    </row>
    <row r="977" spans="1:26" ht="15.75" customHeight="1" x14ac:dyDescent="0.25">
      <c r="A977" s="9"/>
      <c r="B977" s="189"/>
      <c r="C977" s="91"/>
      <c r="D977" s="91"/>
      <c r="E977" s="91"/>
      <c r="F977" s="91"/>
      <c r="G977" s="91"/>
      <c r="H977" s="91"/>
      <c r="I977" s="91"/>
      <c r="J977" s="91"/>
      <c r="K977" s="91"/>
      <c r="L977" s="91"/>
      <c r="M977" s="91"/>
      <c r="N977" s="91"/>
      <c r="O977" s="91"/>
      <c r="P977" s="91"/>
      <c r="Q977" s="91"/>
      <c r="R977" s="91"/>
      <c r="S977" s="91"/>
      <c r="T977" s="91"/>
      <c r="U977" s="91"/>
      <c r="V977" s="91"/>
      <c r="W977" s="91"/>
      <c r="X977" s="91"/>
      <c r="Y977" s="91"/>
      <c r="Z977" s="91"/>
    </row>
    <row r="978" spans="1:26" ht="15.75" customHeight="1" x14ac:dyDescent="0.25">
      <c r="A978" s="9"/>
      <c r="B978" s="189"/>
      <c r="C978" s="91"/>
      <c r="D978" s="91"/>
      <c r="E978" s="91"/>
      <c r="F978" s="91"/>
      <c r="G978" s="91"/>
      <c r="H978" s="91"/>
      <c r="I978" s="91"/>
      <c r="J978" s="91"/>
      <c r="K978" s="91"/>
      <c r="L978" s="91"/>
      <c r="M978" s="91"/>
      <c r="N978" s="91"/>
      <c r="O978" s="91"/>
      <c r="P978" s="91"/>
      <c r="Q978" s="91"/>
      <c r="R978" s="91"/>
      <c r="S978" s="91"/>
      <c r="T978" s="91"/>
      <c r="U978" s="91"/>
      <c r="V978" s="91"/>
      <c r="W978" s="91"/>
      <c r="X978" s="91"/>
      <c r="Y978" s="91"/>
      <c r="Z978" s="91"/>
    </row>
    <row r="979" spans="1:26" ht="15.75" customHeight="1" x14ac:dyDescent="0.25">
      <c r="A979" s="9"/>
      <c r="B979" s="189"/>
      <c r="C979" s="91"/>
      <c r="D979" s="91"/>
      <c r="E979" s="91"/>
      <c r="F979" s="91"/>
      <c r="G979" s="91"/>
      <c r="H979" s="91"/>
      <c r="I979" s="91"/>
      <c r="J979" s="91"/>
      <c r="K979" s="91"/>
      <c r="L979" s="91"/>
      <c r="M979" s="91"/>
      <c r="N979" s="91"/>
      <c r="O979" s="91"/>
      <c r="P979" s="91"/>
      <c r="Q979" s="91"/>
      <c r="R979" s="91"/>
      <c r="S979" s="91"/>
      <c r="T979" s="91"/>
      <c r="U979" s="91"/>
      <c r="V979" s="91"/>
      <c r="W979" s="91"/>
      <c r="X979" s="91"/>
      <c r="Y979" s="91"/>
      <c r="Z979" s="91"/>
    </row>
    <row r="980" spans="1:26" ht="15.75" customHeight="1" x14ac:dyDescent="0.25">
      <c r="A980" s="9"/>
      <c r="B980" s="189"/>
      <c r="C980" s="91"/>
      <c r="D980" s="91"/>
      <c r="E980" s="91"/>
      <c r="F980" s="91"/>
      <c r="G980" s="91"/>
      <c r="H980" s="91"/>
      <c r="I980" s="91"/>
      <c r="J980" s="91"/>
      <c r="K980" s="91"/>
      <c r="L980" s="91"/>
      <c r="M980" s="91"/>
      <c r="N980" s="91"/>
      <c r="O980" s="91"/>
      <c r="P980" s="91"/>
      <c r="Q980" s="91"/>
      <c r="R980" s="91"/>
      <c r="S980" s="91"/>
      <c r="T980" s="91"/>
      <c r="U980" s="91"/>
      <c r="V980" s="91"/>
      <c r="W980" s="91"/>
      <c r="X980" s="91"/>
      <c r="Y980" s="91"/>
      <c r="Z980" s="91"/>
    </row>
    <row r="981" spans="1:26" ht="15.75" customHeight="1" x14ac:dyDescent="0.25">
      <c r="A981" s="9"/>
      <c r="B981" s="189"/>
      <c r="C981" s="91"/>
      <c r="D981" s="91"/>
      <c r="E981" s="91"/>
      <c r="F981" s="91"/>
      <c r="G981" s="91"/>
      <c r="H981" s="91"/>
      <c r="I981" s="91"/>
      <c r="J981" s="91"/>
      <c r="K981" s="91"/>
      <c r="L981" s="91"/>
      <c r="M981" s="91"/>
      <c r="N981" s="91"/>
      <c r="O981" s="91"/>
      <c r="P981" s="91"/>
      <c r="Q981" s="91"/>
      <c r="R981" s="91"/>
      <c r="S981" s="91"/>
      <c r="T981" s="91"/>
      <c r="U981" s="91"/>
      <c r="V981" s="91"/>
      <c r="W981" s="91"/>
      <c r="X981" s="91"/>
      <c r="Y981" s="91"/>
      <c r="Z981" s="91"/>
    </row>
    <row r="982" spans="1:26" ht="15.75" customHeight="1" x14ac:dyDescent="0.25">
      <c r="A982" s="9"/>
      <c r="B982" s="189"/>
      <c r="C982" s="91"/>
      <c r="D982" s="91"/>
      <c r="E982" s="91"/>
      <c r="F982" s="91"/>
      <c r="G982" s="91"/>
      <c r="H982" s="91"/>
      <c r="I982" s="91"/>
      <c r="J982" s="91"/>
      <c r="K982" s="91"/>
      <c r="L982" s="91"/>
      <c r="M982" s="91"/>
      <c r="N982" s="91"/>
      <c r="O982" s="91"/>
      <c r="P982" s="91"/>
      <c r="Q982" s="91"/>
      <c r="R982" s="91"/>
      <c r="S982" s="91"/>
      <c r="T982" s="91"/>
      <c r="U982" s="91"/>
      <c r="V982" s="91"/>
      <c r="W982" s="91"/>
      <c r="X982" s="91"/>
      <c r="Y982" s="91"/>
      <c r="Z982" s="91"/>
    </row>
    <row r="983" spans="1:26" ht="15.75" customHeight="1" x14ac:dyDescent="0.25">
      <c r="A983" s="9"/>
      <c r="B983" s="189"/>
      <c r="C983" s="91"/>
      <c r="D983" s="91"/>
      <c r="E983" s="91"/>
      <c r="F983" s="91"/>
      <c r="G983" s="91"/>
      <c r="H983" s="91"/>
      <c r="I983" s="91"/>
      <c r="J983" s="91"/>
      <c r="K983" s="91"/>
      <c r="L983" s="91"/>
      <c r="M983" s="91"/>
      <c r="N983" s="91"/>
      <c r="O983" s="91"/>
      <c r="P983" s="91"/>
      <c r="Q983" s="91"/>
      <c r="R983" s="91"/>
      <c r="S983" s="91"/>
      <c r="T983" s="91"/>
      <c r="U983" s="91"/>
      <c r="V983" s="91"/>
      <c r="W983" s="91"/>
      <c r="X983" s="91"/>
      <c r="Y983" s="91"/>
      <c r="Z983" s="91"/>
    </row>
    <row r="984" spans="1:26" ht="15.75" customHeight="1" x14ac:dyDescent="0.25">
      <c r="A984" s="9"/>
      <c r="B984" s="189"/>
      <c r="C984" s="91"/>
      <c r="D984" s="91"/>
      <c r="E984" s="91"/>
      <c r="F984" s="91"/>
      <c r="G984" s="91"/>
      <c r="H984" s="91"/>
      <c r="I984" s="91"/>
      <c r="J984" s="91"/>
      <c r="K984" s="91"/>
      <c r="L984" s="91"/>
      <c r="M984" s="91"/>
      <c r="N984" s="91"/>
      <c r="O984" s="91"/>
      <c r="P984" s="91"/>
      <c r="Q984" s="91"/>
      <c r="R984" s="91"/>
      <c r="S984" s="91"/>
      <c r="T984" s="91"/>
      <c r="U984" s="91"/>
      <c r="V984" s="91"/>
      <c r="W984" s="91"/>
      <c r="X984" s="91"/>
      <c r="Y984" s="91"/>
      <c r="Z984" s="91"/>
    </row>
    <row r="985" spans="1:26" ht="15.75" customHeight="1" x14ac:dyDescent="0.25">
      <c r="A985" s="9"/>
      <c r="B985" s="189"/>
      <c r="C985" s="91"/>
      <c r="D985" s="91"/>
      <c r="E985" s="91"/>
      <c r="F985" s="91"/>
      <c r="G985" s="91"/>
      <c r="H985" s="91"/>
      <c r="I985" s="91"/>
      <c r="J985" s="91"/>
      <c r="K985" s="91"/>
      <c r="L985" s="91"/>
      <c r="M985" s="91"/>
      <c r="N985" s="91"/>
      <c r="O985" s="91"/>
      <c r="P985" s="91"/>
      <c r="Q985" s="91"/>
      <c r="R985" s="91"/>
      <c r="S985" s="91"/>
      <c r="T985" s="91"/>
      <c r="U985" s="91"/>
      <c r="V985" s="91"/>
      <c r="W985" s="91"/>
      <c r="X985" s="91"/>
      <c r="Y985" s="91"/>
      <c r="Z985" s="91"/>
    </row>
    <row r="986" spans="1:26" ht="15.75" customHeight="1" x14ac:dyDescent="0.25">
      <c r="A986" s="9"/>
      <c r="B986" s="189"/>
      <c r="C986" s="91"/>
      <c r="D986" s="91"/>
      <c r="E986" s="91"/>
      <c r="F986" s="91"/>
      <c r="G986" s="91"/>
      <c r="H986" s="91"/>
      <c r="I986" s="91"/>
      <c r="J986" s="91"/>
      <c r="K986" s="91"/>
      <c r="L986" s="91"/>
      <c r="M986" s="91"/>
      <c r="N986" s="91"/>
      <c r="O986" s="91"/>
      <c r="P986" s="91"/>
      <c r="Q986" s="91"/>
      <c r="R986" s="91"/>
      <c r="S986" s="91"/>
      <c r="T986" s="91"/>
      <c r="U986" s="91"/>
      <c r="V986" s="91"/>
      <c r="W986" s="91"/>
      <c r="X986" s="91"/>
      <c r="Y986" s="91"/>
      <c r="Z986" s="91"/>
    </row>
    <row r="987" spans="1:26" ht="15.75" customHeight="1" x14ac:dyDescent="0.25">
      <c r="A987" s="9"/>
      <c r="B987" s="189"/>
      <c r="C987" s="91"/>
      <c r="D987" s="91"/>
      <c r="E987" s="91"/>
      <c r="F987" s="91"/>
      <c r="G987" s="91"/>
      <c r="H987" s="91"/>
      <c r="I987" s="91"/>
      <c r="J987" s="91"/>
      <c r="K987" s="91"/>
      <c r="L987" s="91"/>
      <c r="M987" s="91"/>
      <c r="N987" s="91"/>
      <c r="O987" s="91"/>
      <c r="P987" s="91"/>
      <c r="Q987" s="91"/>
      <c r="R987" s="91"/>
      <c r="S987" s="91"/>
      <c r="T987" s="91"/>
      <c r="U987" s="91"/>
      <c r="V987" s="91"/>
      <c r="W987" s="91"/>
      <c r="X987" s="91"/>
      <c r="Y987" s="91"/>
      <c r="Z987" s="91"/>
    </row>
    <row r="988" spans="1:26" ht="15.75" customHeight="1" x14ac:dyDescent="0.25">
      <c r="A988" s="9"/>
      <c r="B988" s="189"/>
      <c r="C988" s="91"/>
      <c r="D988" s="91"/>
      <c r="E988" s="91"/>
      <c r="F988" s="91"/>
      <c r="G988" s="91"/>
      <c r="H988" s="91"/>
      <c r="I988" s="91"/>
      <c r="J988" s="91"/>
      <c r="K988" s="91"/>
      <c r="L988" s="91"/>
      <c r="M988" s="91"/>
      <c r="N988" s="91"/>
      <c r="O988" s="91"/>
      <c r="P988" s="91"/>
      <c r="Q988" s="91"/>
      <c r="R988" s="91"/>
      <c r="S988" s="91"/>
      <c r="T988" s="91"/>
      <c r="U988" s="91"/>
      <c r="V988" s="91"/>
      <c r="W988" s="91"/>
      <c r="X988" s="91"/>
      <c r="Y988" s="91"/>
      <c r="Z988" s="91"/>
    </row>
    <row r="989" spans="1:26" ht="15.75" customHeight="1" x14ac:dyDescent="0.25">
      <c r="A989" s="9"/>
      <c r="B989" s="189"/>
      <c r="C989" s="91"/>
      <c r="D989" s="91"/>
      <c r="E989" s="91"/>
      <c r="F989" s="91"/>
      <c r="G989" s="91"/>
      <c r="H989" s="91"/>
      <c r="I989" s="91"/>
      <c r="J989" s="91"/>
      <c r="K989" s="91"/>
      <c r="L989" s="91"/>
      <c r="M989" s="91"/>
      <c r="N989" s="91"/>
      <c r="O989" s="91"/>
      <c r="P989" s="91"/>
      <c r="Q989" s="91"/>
      <c r="R989" s="91"/>
      <c r="S989" s="91"/>
      <c r="T989" s="91"/>
      <c r="U989" s="91"/>
      <c r="V989" s="91"/>
      <c r="W989" s="91"/>
      <c r="X989" s="91"/>
      <c r="Y989" s="91"/>
      <c r="Z989" s="91"/>
    </row>
    <row r="990" spans="1:26" ht="15.75" customHeight="1" x14ac:dyDescent="0.25">
      <c r="A990" s="9"/>
      <c r="B990" s="189"/>
      <c r="C990" s="91"/>
      <c r="D990" s="91"/>
      <c r="E990" s="91"/>
      <c r="F990" s="91"/>
      <c r="G990" s="91"/>
      <c r="H990" s="91"/>
      <c r="I990" s="91"/>
      <c r="J990" s="91"/>
      <c r="K990" s="91"/>
      <c r="L990" s="91"/>
      <c r="M990" s="91"/>
      <c r="N990" s="91"/>
      <c r="O990" s="91"/>
      <c r="P990" s="91"/>
      <c r="Q990" s="91"/>
      <c r="R990" s="91"/>
      <c r="S990" s="91"/>
      <c r="T990" s="91"/>
      <c r="U990" s="91"/>
      <c r="V990" s="91"/>
      <c r="W990" s="91"/>
      <c r="X990" s="91"/>
      <c r="Y990" s="91"/>
      <c r="Z990" s="91"/>
    </row>
    <row r="991" spans="1:26" ht="15.75" customHeight="1" x14ac:dyDescent="0.25">
      <c r="A991" s="9"/>
      <c r="B991" s="189"/>
      <c r="C991" s="91"/>
      <c r="D991" s="91"/>
      <c r="E991" s="91"/>
      <c r="F991" s="91"/>
      <c r="G991" s="91"/>
      <c r="H991" s="91"/>
      <c r="I991" s="91"/>
      <c r="J991" s="91"/>
      <c r="K991" s="91"/>
      <c r="L991" s="91"/>
      <c r="M991" s="91"/>
      <c r="N991" s="91"/>
      <c r="O991" s="91"/>
      <c r="P991" s="91"/>
      <c r="Q991" s="91"/>
      <c r="R991" s="91"/>
      <c r="S991" s="91"/>
      <c r="T991" s="91"/>
      <c r="U991" s="91"/>
      <c r="V991" s="91"/>
      <c r="W991" s="91"/>
      <c r="X991" s="91"/>
      <c r="Y991" s="91"/>
      <c r="Z991" s="91"/>
    </row>
    <row r="992" spans="1:26" ht="15.75" customHeight="1" x14ac:dyDescent="0.25">
      <c r="A992" s="9"/>
      <c r="B992" s="189"/>
      <c r="C992" s="91"/>
      <c r="D992" s="91"/>
      <c r="E992" s="91"/>
      <c r="F992" s="91"/>
      <c r="G992" s="91"/>
      <c r="H992" s="91"/>
      <c r="I992" s="91"/>
      <c r="J992" s="91"/>
      <c r="K992" s="91"/>
      <c r="L992" s="91"/>
      <c r="M992" s="91"/>
      <c r="N992" s="91"/>
      <c r="O992" s="91"/>
      <c r="P992" s="91"/>
      <c r="Q992" s="91"/>
      <c r="R992" s="91"/>
      <c r="S992" s="91"/>
      <c r="T992" s="91"/>
      <c r="U992" s="91"/>
      <c r="V992" s="91"/>
      <c r="W992" s="91"/>
      <c r="X992" s="91"/>
      <c r="Y992" s="91"/>
      <c r="Z992" s="91"/>
    </row>
    <row r="993" spans="1:26" ht="15.75" customHeight="1" x14ac:dyDescent="0.25">
      <c r="A993" s="9"/>
      <c r="B993" s="189"/>
      <c r="C993" s="91"/>
      <c r="D993" s="91"/>
      <c r="E993" s="91"/>
      <c r="F993" s="91"/>
      <c r="G993" s="91"/>
      <c r="H993" s="91"/>
      <c r="I993" s="91"/>
      <c r="J993" s="91"/>
      <c r="K993" s="91"/>
      <c r="L993" s="91"/>
      <c r="M993" s="91"/>
      <c r="N993" s="91"/>
      <c r="O993" s="91"/>
      <c r="P993" s="91"/>
      <c r="Q993" s="91"/>
      <c r="R993" s="91"/>
      <c r="S993" s="91"/>
      <c r="T993" s="91"/>
      <c r="U993" s="91"/>
      <c r="V993" s="91"/>
      <c r="W993" s="91"/>
      <c r="X993" s="91"/>
      <c r="Y993" s="91"/>
      <c r="Z993" s="91"/>
    </row>
    <row r="994" spans="1:26" ht="15.75" customHeight="1" x14ac:dyDescent="0.25">
      <c r="A994" s="9"/>
      <c r="B994" s="189"/>
      <c r="C994" s="91"/>
      <c r="D994" s="91"/>
      <c r="E994" s="91"/>
      <c r="F994" s="91"/>
      <c r="G994" s="91"/>
      <c r="H994" s="91"/>
      <c r="I994" s="91"/>
      <c r="J994" s="91"/>
      <c r="K994" s="91"/>
      <c r="L994" s="91"/>
      <c r="M994" s="91"/>
      <c r="N994" s="91"/>
      <c r="O994" s="91"/>
      <c r="P994" s="91"/>
      <c r="Q994" s="91"/>
      <c r="R994" s="91"/>
      <c r="S994" s="91"/>
      <c r="T994" s="91"/>
      <c r="U994" s="91"/>
      <c r="V994" s="91"/>
      <c r="W994" s="91"/>
      <c r="X994" s="91"/>
      <c r="Y994" s="91"/>
      <c r="Z994" s="91"/>
    </row>
    <row r="995" spans="1:26" ht="15.75" customHeight="1" x14ac:dyDescent="0.25">
      <c r="A995" s="9"/>
      <c r="B995" s="189"/>
      <c r="C995" s="91"/>
      <c r="D995" s="91"/>
      <c r="E995" s="91"/>
      <c r="F995" s="91"/>
      <c r="G995" s="91"/>
      <c r="H995" s="91"/>
      <c r="I995" s="91"/>
      <c r="J995" s="91"/>
      <c r="K995" s="91"/>
      <c r="L995" s="91"/>
      <c r="M995" s="91"/>
      <c r="N995" s="91"/>
      <c r="O995" s="91"/>
      <c r="P995" s="91"/>
      <c r="Q995" s="91"/>
      <c r="R995" s="91"/>
      <c r="S995" s="91"/>
      <c r="T995" s="91"/>
      <c r="U995" s="91"/>
      <c r="V995" s="91"/>
      <c r="W995" s="91"/>
      <c r="X995" s="91"/>
      <c r="Y995" s="91"/>
      <c r="Z995" s="91"/>
    </row>
    <row r="996" spans="1:26" ht="15.75" customHeight="1" x14ac:dyDescent="0.25">
      <c r="A996" s="9"/>
      <c r="B996" s="189"/>
      <c r="C996" s="91"/>
      <c r="D996" s="91"/>
      <c r="E996" s="91"/>
      <c r="F996" s="91"/>
      <c r="G996" s="91"/>
      <c r="H996" s="91"/>
      <c r="I996" s="91"/>
      <c r="J996" s="91"/>
      <c r="K996" s="91"/>
      <c r="L996" s="91"/>
      <c r="M996" s="91"/>
      <c r="N996" s="91"/>
      <c r="O996" s="91"/>
      <c r="P996" s="91"/>
      <c r="Q996" s="91"/>
      <c r="R996" s="91"/>
      <c r="S996" s="91"/>
      <c r="T996" s="91"/>
      <c r="U996" s="91"/>
      <c r="V996" s="91"/>
      <c r="W996" s="91"/>
      <c r="X996" s="91"/>
      <c r="Y996" s="91"/>
      <c r="Z996" s="91"/>
    </row>
    <row r="997" spans="1:26" ht="15.75" customHeight="1" x14ac:dyDescent="0.25">
      <c r="A997" s="9"/>
      <c r="B997" s="189"/>
      <c r="C997" s="91"/>
      <c r="D997" s="91"/>
      <c r="E997" s="91"/>
      <c r="F997" s="91"/>
      <c r="G997" s="91"/>
      <c r="H997" s="91"/>
      <c r="I997" s="91"/>
      <c r="J997" s="91"/>
      <c r="K997" s="91"/>
      <c r="L997" s="91"/>
      <c r="M997" s="91"/>
      <c r="N997" s="91"/>
      <c r="O997" s="91"/>
      <c r="P997" s="91"/>
      <c r="Q997" s="91"/>
      <c r="R997" s="91"/>
      <c r="S997" s="91"/>
      <c r="T997" s="91"/>
      <c r="U997" s="91"/>
      <c r="V997" s="91"/>
      <c r="W997" s="91"/>
      <c r="X997" s="91"/>
      <c r="Y997" s="91"/>
      <c r="Z997" s="91"/>
    </row>
    <row r="998" spans="1:26" ht="15.75" customHeight="1" x14ac:dyDescent="0.25">
      <c r="A998" s="9"/>
      <c r="B998" s="189"/>
      <c r="C998" s="91"/>
      <c r="D998" s="91"/>
      <c r="E998" s="91"/>
      <c r="F998" s="91"/>
      <c r="G998" s="91"/>
      <c r="H998" s="91"/>
      <c r="I998" s="91"/>
      <c r="J998" s="91"/>
      <c r="K998" s="91"/>
      <c r="L998" s="91"/>
      <c r="M998" s="91"/>
      <c r="N998" s="91"/>
      <c r="O998" s="91"/>
      <c r="P998" s="91"/>
      <c r="Q998" s="91"/>
      <c r="R998" s="91"/>
      <c r="S998" s="91"/>
      <c r="T998" s="91"/>
      <c r="U998" s="91"/>
      <c r="V998" s="91"/>
      <c r="W998" s="91"/>
      <c r="X998" s="91"/>
      <c r="Y998" s="91"/>
      <c r="Z998" s="91"/>
    </row>
    <row r="999" spans="1:26" ht="15.75" customHeight="1" x14ac:dyDescent="0.25">
      <c r="A999" s="9"/>
      <c r="B999" s="189"/>
      <c r="C999" s="91"/>
      <c r="D999" s="91"/>
      <c r="E999" s="91"/>
      <c r="F999" s="91"/>
      <c r="G999" s="91"/>
      <c r="H999" s="91"/>
      <c r="I999" s="91"/>
      <c r="J999" s="91"/>
      <c r="K999" s="91"/>
      <c r="L999" s="91"/>
      <c r="M999" s="91"/>
      <c r="N999" s="91"/>
      <c r="O999" s="91"/>
      <c r="P999" s="91"/>
      <c r="Q999" s="91"/>
      <c r="R999" s="91"/>
      <c r="S999" s="91"/>
      <c r="T999" s="91"/>
      <c r="U999" s="91"/>
      <c r="V999" s="91"/>
      <c r="W999" s="91"/>
      <c r="X999" s="91"/>
      <c r="Y999" s="91"/>
      <c r="Z999" s="91"/>
    </row>
    <row r="1000" spans="1:26" ht="15.75" customHeight="1" x14ac:dyDescent="0.25">
      <c r="A1000" s="9"/>
      <c r="B1000" s="189"/>
      <c r="C1000" s="91"/>
      <c r="D1000" s="91"/>
      <c r="E1000" s="91"/>
      <c r="F1000" s="91"/>
      <c r="G1000" s="91"/>
      <c r="H1000" s="91"/>
      <c r="I1000" s="91"/>
      <c r="J1000" s="91"/>
      <c r="K1000" s="91"/>
      <c r="L1000" s="91"/>
      <c r="M1000" s="91"/>
      <c r="N1000" s="91"/>
      <c r="O1000" s="91"/>
      <c r="P1000" s="91"/>
      <c r="Q1000" s="91"/>
      <c r="R1000" s="91"/>
      <c r="S1000" s="91"/>
      <c r="T1000" s="91"/>
      <c r="U1000" s="91"/>
      <c r="V1000" s="91"/>
      <c r="W1000" s="91"/>
      <c r="X1000" s="91"/>
      <c r="Y1000" s="91"/>
      <c r="Z1000" s="91"/>
    </row>
  </sheetData>
  <autoFilter ref="A1:C259" xr:uid="{00000000-0009-0000-0000-000009000000}"/>
  <pageMargins left="0.7" right="0.7" top="0.75" bottom="0.75"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theme="8" tint="0.59999389629810485"/>
  </sheetPr>
  <dimension ref="A1:S1000"/>
  <sheetViews>
    <sheetView workbookViewId="0">
      <selection activeCell="B286" sqref="B286"/>
    </sheetView>
  </sheetViews>
  <sheetFormatPr defaultColWidth="14.42578125" defaultRowHeight="15" customHeight="1" x14ac:dyDescent="0.25"/>
  <cols>
    <col min="1" max="1" width="16.5703125" customWidth="1"/>
    <col min="2" max="2" width="79.85546875" customWidth="1"/>
    <col min="3" max="3" width="9.140625" customWidth="1"/>
    <col min="4" max="4" width="27.42578125" customWidth="1"/>
    <col min="5" max="6" width="9.140625" customWidth="1"/>
    <col min="7" max="26" width="8.7109375" customWidth="1"/>
  </cols>
  <sheetData>
    <row r="1" spans="1:19" ht="14.25" customHeight="1" x14ac:dyDescent="0.25">
      <c r="A1" s="92" t="s">
        <v>3172</v>
      </c>
      <c r="B1" s="22" t="s">
        <v>70</v>
      </c>
      <c r="C1" s="23"/>
      <c r="D1" s="23"/>
      <c r="E1" s="23"/>
      <c r="F1" s="23"/>
      <c r="G1" s="23"/>
      <c r="H1" s="23"/>
      <c r="I1" s="23"/>
      <c r="J1" s="23"/>
      <c r="K1" s="23"/>
      <c r="L1" s="23"/>
      <c r="M1" s="23"/>
      <c r="N1" s="23"/>
      <c r="O1" s="23"/>
      <c r="P1" s="23"/>
      <c r="Q1" s="23"/>
      <c r="R1" s="23"/>
      <c r="S1" s="23"/>
    </row>
    <row r="2" spans="1:19" x14ac:dyDescent="0.25">
      <c r="A2" s="92" t="s">
        <v>3173</v>
      </c>
      <c r="B2" s="22" t="s">
        <v>3174</v>
      </c>
      <c r="C2" s="23"/>
      <c r="D2" s="23"/>
      <c r="E2" s="23"/>
      <c r="F2" s="23"/>
      <c r="G2" s="23"/>
      <c r="H2" s="23"/>
      <c r="I2" s="23"/>
      <c r="J2" s="23"/>
      <c r="K2" s="23"/>
      <c r="L2" s="23"/>
      <c r="M2" s="23"/>
      <c r="N2" s="23"/>
      <c r="O2" s="23"/>
      <c r="P2" s="23"/>
      <c r="Q2" s="23"/>
      <c r="R2" s="23"/>
      <c r="S2" s="23"/>
    </row>
    <row r="3" spans="1:19" x14ac:dyDescent="0.25">
      <c r="A3" s="92" t="s">
        <v>3175</v>
      </c>
      <c r="B3" s="22" t="s">
        <v>3176</v>
      </c>
      <c r="C3" s="23"/>
      <c r="D3" s="23"/>
      <c r="E3" s="23"/>
      <c r="F3" s="23"/>
      <c r="G3" s="23"/>
      <c r="H3" s="23"/>
      <c r="I3" s="23"/>
      <c r="J3" s="23"/>
      <c r="K3" s="23"/>
      <c r="L3" s="23"/>
      <c r="M3" s="23"/>
      <c r="N3" s="23"/>
      <c r="O3" s="23"/>
      <c r="P3" s="23"/>
      <c r="Q3" s="23"/>
      <c r="R3" s="23"/>
      <c r="S3" s="23"/>
    </row>
    <row r="4" spans="1:19" x14ac:dyDescent="0.25">
      <c r="A4" s="92" t="s">
        <v>3177</v>
      </c>
      <c r="B4" s="22" t="s">
        <v>3178</v>
      </c>
      <c r="C4" s="23"/>
      <c r="D4" s="23"/>
      <c r="E4" s="23"/>
      <c r="F4" s="23"/>
      <c r="G4" s="23"/>
      <c r="H4" s="23"/>
      <c r="I4" s="23"/>
      <c r="J4" s="23"/>
      <c r="K4" s="23"/>
      <c r="L4" s="23"/>
      <c r="M4" s="23"/>
      <c r="N4" s="23"/>
      <c r="O4" s="23"/>
      <c r="P4" s="23"/>
      <c r="Q4" s="23"/>
      <c r="R4" s="23"/>
      <c r="S4" s="23"/>
    </row>
    <row r="5" spans="1:19" x14ac:dyDescent="0.25">
      <c r="A5" s="92" t="s">
        <v>3179</v>
      </c>
      <c r="B5" s="22" t="s">
        <v>3180</v>
      </c>
      <c r="C5" s="23"/>
      <c r="D5" s="23"/>
      <c r="E5" s="23"/>
      <c r="F5" s="23"/>
      <c r="G5" s="23"/>
      <c r="H5" s="23"/>
      <c r="I5" s="23"/>
      <c r="J5" s="23"/>
      <c r="K5" s="23"/>
      <c r="L5" s="23"/>
      <c r="M5" s="23"/>
      <c r="N5" s="23"/>
      <c r="O5" s="23"/>
      <c r="P5" s="23"/>
      <c r="Q5" s="23"/>
      <c r="R5" s="23"/>
      <c r="S5" s="23"/>
    </row>
    <row r="6" spans="1:19" x14ac:dyDescent="0.25">
      <c r="A6" s="92" t="s">
        <v>3181</v>
      </c>
      <c r="B6" s="22" t="s">
        <v>3182</v>
      </c>
      <c r="C6" s="23"/>
      <c r="D6" s="23"/>
      <c r="E6" s="23"/>
      <c r="F6" s="23"/>
      <c r="G6" s="23"/>
      <c r="H6" s="23"/>
      <c r="I6" s="23"/>
      <c r="J6" s="23"/>
      <c r="K6" s="23"/>
      <c r="L6" s="23"/>
      <c r="M6" s="23"/>
      <c r="N6" s="23"/>
      <c r="O6" s="23"/>
      <c r="P6" s="23"/>
      <c r="Q6" s="23"/>
      <c r="R6" s="23"/>
      <c r="S6" s="23"/>
    </row>
    <row r="7" spans="1:19" x14ac:dyDescent="0.25">
      <c r="A7" s="92" t="s">
        <v>3183</v>
      </c>
      <c r="B7" s="22" t="s">
        <v>3184</v>
      </c>
      <c r="C7" s="23"/>
      <c r="D7" s="23"/>
      <c r="E7" s="23"/>
      <c r="F7" s="23"/>
      <c r="G7" s="23"/>
      <c r="H7" s="23"/>
      <c r="I7" s="23"/>
      <c r="J7" s="23"/>
      <c r="K7" s="23"/>
      <c r="L7" s="23"/>
      <c r="M7" s="23"/>
      <c r="N7" s="23"/>
      <c r="O7" s="23"/>
      <c r="P7" s="23"/>
      <c r="Q7" s="23"/>
      <c r="R7" s="23"/>
      <c r="S7" s="23"/>
    </row>
    <row r="8" spans="1:19" x14ac:dyDescent="0.25">
      <c r="A8" s="92" t="s">
        <v>3185</v>
      </c>
      <c r="B8" s="22" t="s">
        <v>3186</v>
      </c>
      <c r="C8" s="23"/>
      <c r="D8" s="23"/>
      <c r="E8" s="23"/>
      <c r="F8" s="23"/>
      <c r="G8" s="23"/>
      <c r="H8" s="23"/>
      <c r="I8" s="23"/>
      <c r="J8" s="23"/>
      <c r="K8" s="23"/>
      <c r="L8" s="23"/>
      <c r="M8" s="23"/>
      <c r="N8" s="23"/>
      <c r="O8" s="23"/>
      <c r="P8" s="23"/>
      <c r="Q8" s="23"/>
      <c r="R8" s="23"/>
      <c r="S8" s="23"/>
    </row>
    <row r="9" spans="1:19" x14ac:dyDescent="0.25">
      <c r="A9" s="92" t="s">
        <v>3187</v>
      </c>
      <c r="B9" s="22" t="s">
        <v>3188</v>
      </c>
      <c r="C9" s="23"/>
      <c r="D9" s="23"/>
      <c r="E9" s="23"/>
      <c r="F9" s="23"/>
      <c r="G9" s="23"/>
      <c r="H9" s="23"/>
      <c r="I9" s="23"/>
      <c r="J9" s="23"/>
      <c r="K9" s="23"/>
      <c r="L9" s="23"/>
      <c r="M9" s="23"/>
      <c r="N9" s="23"/>
      <c r="O9" s="23"/>
      <c r="P9" s="23"/>
      <c r="Q9" s="23"/>
      <c r="R9" s="23"/>
      <c r="S9" s="23"/>
    </row>
    <row r="10" spans="1:19" x14ac:dyDescent="0.25">
      <c r="A10" s="92" t="s">
        <v>3189</v>
      </c>
      <c r="B10" s="22" t="s">
        <v>3190</v>
      </c>
      <c r="C10" s="23"/>
      <c r="D10" s="23"/>
      <c r="E10" s="23"/>
      <c r="F10" s="23"/>
      <c r="G10" s="23"/>
      <c r="H10" s="23"/>
      <c r="I10" s="23"/>
      <c r="J10" s="23"/>
      <c r="K10" s="23"/>
      <c r="L10" s="23"/>
      <c r="M10" s="23"/>
      <c r="N10" s="23"/>
      <c r="O10" s="23"/>
      <c r="P10" s="23"/>
      <c r="Q10" s="23"/>
      <c r="R10" s="23"/>
      <c r="S10" s="23"/>
    </row>
    <row r="11" spans="1:19" x14ac:dyDescent="0.25">
      <c r="A11" s="92" t="s">
        <v>3191</v>
      </c>
      <c r="B11" s="22" t="s">
        <v>3192</v>
      </c>
      <c r="C11" s="23"/>
      <c r="D11" s="23"/>
      <c r="E11" s="23"/>
      <c r="F11" s="23"/>
      <c r="G11" s="23"/>
      <c r="H11" s="23"/>
      <c r="I11" s="23"/>
      <c r="J11" s="23"/>
      <c r="K11" s="23"/>
      <c r="L11" s="23"/>
      <c r="M11" s="23"/>
      <c r="N11" s="23"/>
      <c r="O11" s="23"/>
      <c r="P11" s="23"/>
      <c r="Q11" s="23"/>
      <c r="R11" s="23"/>
      <c r="S11" s="23"/>
    </row>
    <row r="12" spans="1:19" x14ac:dyDescent="0.25">
      <c r="A12" s="92" t="s">
        <v>3193</v>
      </c>
      <c r="B12" s="22" t="s">
        <v>3194</v>
      </c>
      <c r="C12" s="23"/>
      <c r="D12" s="23"/>
      <c r="E12" s="23"/>
      <c r="F12" s="23"/>
      <c r="G12" s="23"/>
      <c r="H12" s="23"/>
      <c r="I12" s="23"/>
      <c r="J12" s="23"/>
      <c r="K12" s="23"/>
      <c r="L12" s="23"/>
      <c r="M12" s="23"/>
      <c r="N12" s="23"/>
      <c r="O12" s="23"/>
      <c r="P12" s="23"/>
      <c r="Q12" s="23"/>
      <c r="R12" s="23"/>
      <c r="S12" s="23"/>
    </row>
    <row r="13" spans="1:19" x14ac:dyDescent="0.25">
      <c r="A13" s="92" t="s">
        <v>3195</v>
      </c>
      <c r="B13" s="22" t="s">
        <v>3196</v>
      </c>
      <c r="C13" s="23"/>
      <c r="D13" s="23"/>
      <c r="E13" s="23"/>
      <c r="F13" s="23"/>
      <c r="G13" s="23"/>
      <c r="H13" s="23"/>
      <c r="I13" s="23"/>
      <c r="J13" s="23"/>
      <c r="K13" s="23"/>
      <c r="L13" s="23"/>
      <c r="M13" s="23"/>
      <c r="N13" s="23"/>
      <c r="O13" s="23"/>
      <c r="P13" s="23"/>
      <c r="Q13" s="23"/>
      <c r="R13" s="23"/>
      <c r="S13" s="23"/>
    </row>
    <row r="14" spans="1:19" x14ac:dyDescent="0.25">
      <c r="A14" s="92" t="s">
        <v>3197</v>
      </c>
      <c r="B14" s="22" t="s">
        <v>3198</v>
      </c>
      <c r="C14" s="23"/>
      <c r="D14" s="23"/>
      <c r="E14" s="23"/>
      <c r="F14" s="23"/>
      <c r="G14" s="23"/>
      <c r="H14" s="23"/>
      <c r="I14" s="23"/>
      <c r="J14" s="23"/>
      <c r="K14" s="23"/>
      <c r="L14" s="23"/>
      <c r="M14" s="23"/>
      <c r="N14" s="23"/>
      <c r="O14" s="23"/>
      <c r="P14" s="23"/>
      <c r="Q14" s="23"/>
      <c r="R14" s="23"/>
      <c r="S14" s="23"/>
    </row>
    <row r="15" spans="1:19" x14ac:dyDescent="0.25">
      <c r="A15" s="92" t="s">
        <v>3199</v>
      </c>
      <c r="B15" s="22" t="s">
        <v>3200</v>
      </c>
      <c r="C15" s="23"/>
      <c r="D15" s="23"/>
      <c r="E15" s="23"/>
      <c r="F15" s="23"/>
      <c r="G15" s="23"/>
      <c r="H15" s="23"/>
      <c r="I15" s="23"/>
      <c r="J15" s="23"/>
      <c r="K15" s="23"/>
      <c r="L15" s="23"/>
      <c r="M15" s="23"/>
      <c r="N15" s="23"/>
      <c r="O15" s="23"/>
      <c r="P15" s="23"/>
      <c r="Q15" s="23"/>
      <c r="R15" s="23"/>
      <c r="S15" s="23"/>
    </row>
    <row r="16" spans="1:19" x14ac:dyDescent="0.25">
      <c r="A16" s="92" t="s">
        <v>3201</v>
      </c>
      <c r="B16" s="22" t="s">
        <v>3202</v>
      </c>
      <c r="C16" s="23"/>
      <c r="D16" s="23"/>
      <c r="E16" s="23"/>
      <c r="F16" s="23"/>
      <c r="G16" s="23"/>
      <c r="H16" s="23"/>
      <c r="I16" s="23"/>
      <c r="J16" s="23"/>
      <c r="K16" s="23"/>
      <c r="L16" s="23"/>
      <c r="M16" s="23"/>
      <c r="N16" s="23"/>
      <c r="O16" s="23"/>
      <c r="P16" s="23"/>
      <c r="Q16" s="23"/>
      <c r="R16" s="23"/>
      <c r="S16" s="23"/>
    </row>
    <row r="17" spans="1:19" x14ac:dyDescent="0.25">
      <c r="A17" s="92" t="s">
        <v>3203</v>
      </c>
      <c r="B17" s="22" t="s">
        <v>3204</v>
      </c>
      <c r="C17" s="23"/>
      <c r="D17" s="23"/>
      <c r="E17" s="23"/>
      <c r="F17" s="23"/>
      <c r="G17" s="23"/>
      <c r="H17" s="23"/>
      <c r="I17" s="23"/>
      <c r="J17" s="23"/>
      <c r="K17" s="23"/>
      <c r="L17" s="23"/>
      <c r="M17" s="23"/>
      <c r="N17" s="23"/>
      <c r="O17" s="23"/>
      <c r="P17" s="23"/>
      <c r="Q17" s="23"/>
      <c r="R17" s="23"/>
      <c r="S17" s="23"/>
    </row>
    <row r="18" spans="1:19" x14ac:dyDescent="0.25">
      <c r="A18" s="92" t="s">
        <v>3205</v>
      </c>
      <c r="B18" s="22" t="s">
        <v>3206</v>
      </c>
      <c r="C18" s="23"/>
      <c r="D18" s="23"/>
      <c r="E18" s="23"/>
      <c r="F18" s="23"/>
      <c r="G18" s="23"/>
      <c r="H18" s="23"/>
      <c r="I18" s="23"/>
      <c r="J18" s="23"/>
      <c r="K18" s="23"/>
      <c r="L18" s="23"/>
      <c r="M18" s="23"/>
      <c r="N18" s="23"/>
      <c r="O18" s="23"/>
      <c r="P18" s="23"/>
      <c r="Q18" s="23"/>
      <c r="R18" s="23"/>
      <c r="S18" s="23"/>
    </row>
    <row r="19" spans="1:19" x14ac:dyDescent="0.25">
      <c r="A19" s="92" t="s">
        <v>3207</v>
      </c>
      <c r="B19" s="22" t="s">
        <v>3208</v>
      </c>
      <c r="C19" s="23"/>
      <c r="D19" s="23"/>
      <c r="E19" s="23"/>
      <c r="F19" s="23"/>
      <c r="G19" s="23"/>
      <c r="H19" s="23"/>
      <c r="I19" s="23"/>
      <c r="J19" s="23"/>
      <c r="K19" s="23"/>
      <c r="L19" s="23"/>
      <c r="M19" s="23"/>
      <c r="N19" s="23"/>
      <c r="O19" s="23"/>
      <c r="P19" s="23"/>
      <c r="Q19" s="23"/>
      <c r="R19" s="23"/>
      <c r="S19" s="23"/>
    </row>
    <row r="20" spans="1:19" x14ac:dyDescent="0.25">
      <c r="A20" s="92" t="s">
        <v>3209</v>
      </c>
      <c r="B20" s="22" t="s">
        <v>3210</v>
      </c>
      <c r="C20" s="23"/>
      <c r="D20" s="23"/>
      <c r="E20" s="23"/>
      <c r="F20" s="23"/>
      <c r="G20" s="23"/>
      <c r="H20" s="23"/>
      <c r="I20" s="23"/>
      <c r="J20" s="23"/>
      <c r="K20" s="23"/>
      <c r="L20" s="23"/>
      <c r="M20" s="23"/>
      <c r="N20" s="23"/>
      <c r="O20" s="23"/>
      <c r="P20" s="23"/>
      <c r="Q20" s="23"/>
      <c r="R20" s="23"/>
      <c r="S20" s="23"/>
    </row>
    <row r="21" spans="1:19" ht="15.75" customHeight="1" x14ac:dyDescent="0.25">
      <c r="A21" s="92" t="s">
        <v>3211</v>
      </c>
      <c r="B21" s="22" t="s">
        <v>3212</v>
      </c>
      <c r="C21" s="23"/>
      <c r="D21" s="23"/>
      <c r="E21" s="23"/>
      <c r="F21" s="23"/>
      <c r="G21" s="23"/>
      <c r="H21" s="23"/>
      <c r="I21" s="23"/>
      <c r="J21" s="23"/>
      <c r="K21" s="23"/>
      <c r="L21" s="23"/>
      <c r="M21" s="23"/>
      <c r="N21" s="23"/>
      <c r="O21" s="23"/>
      <c r="P21" s="23"/>
      <c r="Q21" s="23"/>
      <c r="R21" s="23"/>
      <c r="S21" s="23"/>
    </row>
    <row r="22" spans="1:19" ht="15.75" customHeight="1" x14ac:dyDescent="0.25">
      <c r="A22" s="92" t="s">
        <v>3213</v>
      </c>
      <c r="B22" s="22" t="s">
        <v>3214</v>
      </c>
      <c r="C22" s="23"/>
      <c r="D22" s="23"/>
      <c r="E22" s="23"/>
      <c r="F22" s="23"/>
      <c r="G22" s="23"/>
      <c r="H22" s="23"/>
      <c r="I22" s="23"/>
      <c r="J22" s="23"/>
      <c r="K22" s="23"/>
      <c r="L22" s="23"/>
      <c r="M22" s="23"/>
      <c r="N22" s="23"/>
      <c r="O22" s="23"/>
      <c r="P22" s="23"/>
      <c r="Q22" s="23"/>
      <c r="R22" s="23"/>
      <c r="S22" s="23"/>
    </row>
    <row r="23" spans="1:19" ht="15.75" customHeight="1" x14ac:dyDescent="0.25">
      <c r="A23" s="92" t="s">
        <v>3215</v>
      </c>
      <c r="B23" s="22" t="s">
        <v>3216</v>
      </c>
      <c r="C23" s="23"/>
      <c r="D23" s="23"/>
      <c r="E23" s="23"/>
      <c r="F23" s="23"/>
      <c r="G23" s="23"/>
      <c r="H23" s="23"/>
      <c r="I23" s="23"/>
      <c r="J23" s="23"/>
      <c r="K23" s="23"/>
      <c r="L23" s="23"/>
      <c r="M23" s="23"/>
      <c r="N23" s="23"/>
      <c r="O23" s="23"/>
      <c r="P23" s="23"/>
      <c r="Q23" s="23"/>
      <c r="R23" s="23"/>
      <c r="S23" s="23"/>
    </row>
    <row r="24" spans="1:19" ht="15.75" customHeight="1" x14ac:dyDescent="0.25">
      <c r="A24" s="92" t="s">
        <v>3217</v>
      </c>
      <c r="B24" s="22" t="s">
        <v>3218</v>
      </c>
      <c r="C24" s="23"/>
      <c r="D24" s="23"/>
      <c r="E24" s="23"/>
      <c r="F24" s="23"/>
      <c r="G24" s="23"/>
      <c r="H24" s="23"/>
      <c r="I24" s="23"/>
      <c r="J24" s="23"/>
      <c r="K24" s="23"/>
      <c r="L24" s="23"/>
      <c r="M24" s="23"/>
      <c r="N24" s="23"/>
      <c r="O24" s="23"/>
      <c r="P24" s="23"/>
      <c r="Q24" s="23"/>
      <c r="R24" s="23"/>
      <c r="S24" s="23"/>
    </row>
    <row r="25" spans="1:19" ht="15.75" customHeight="1" x14ac:dyDescent="0.25">
      <c r="A25" s="92" t="s">
        <v>3219</v>
      </c>
      <c r="B25" s="22" t="s">
        <v>3220</v>
      </c>
      <c r="C25" s="23"/>
      <c r="D25" s="23"/>
      <c r="E25" s="23"/>
      <c r="F25" s="23"/>
      <c r="G25" s="23"/>
      <c r="H25" s="23"/>
      <c r="I25" s="23"/>
      <c r="J25" s="23"/>
      <c r="K25" s="23"/>
      <c r="L25" s="23"/>
      <c r="M25" s="23"/>
      <c r="N25" s="23"/>
      <c r="O25" s="23"/>
      <c r="P25" s="23"/>
      <c r="Q25" s="23"/>
      <c r="R25" s="23"/>
      <c r="S25" s="23"/>
    </row>
    <row r="26" spans="1:19" ht="15.75" customHeight="1" x14ac:dyDescent="0.25">
      <c r="A26" s="92" t="s">
        <v>3221</v>
      </c>
      <c r="B26" s="22" t="s">
        <v>3222</v>
      </c>
      <c r="C26" s="23"/>
      <c r="D26" s="23"/>
      <c r="E26" s="23"/>
      <c r="F26" s="23"/>
      <c r="G26" s="23"/>
      <c r="H26" s="23"/>
      <c r="I26" s="23"/>
      <c r="J26" s="23"/>
      <c r="K26" s="23"/>
      <c r="L26" s="23"/>
      <c r="M26" s="23"/>
      <c r="N26" s="23"/>
      <c r="O26" s="23"/>
      <c r="P26" s="23"/>
      <c r="Q26" s="23"/>
      <c r="R26" s="23"/>
      <c r="S26" s="23"/>
    </row>
    <row r="27" spans="1:19" ht="15.75" customHeight="1" x14ac:dyDescent="0.25">
      <c r="A27" s="92" t="s">
        <v>3223</v>
      </c>
      <c r="B27" s="22" t="s">
        <v>3224</v>
      </c>
      <c r="C27" s="23"/>
      <c r="D27" s="23"/>
      <c r="E27" s="23"/>
      <c r="F27" s="23"/>
      <c r="G27" s="23"/>
      <c r="H27" s="23"/>
      <c r="I27" s="23"/>
      <c r="J27" s="23"/>
      <c r="K27" s="23"/>
      <c r="L27" s="23"/>
      <c r="M27" s="23"/>
      <c r="N27" s="23"/>
      <c r="O27" s="23"/>
      <c r="P27" s="23"/>
      <c r="Q27" s="23"/>
      <c r="R27" s="23"/>
      <c r="S27" s="23"/>
    </row>
    <row r="28" spans="1:19" ht="15.75" customHeight="1" x14ac:dyDescent="0.25">
      <c r="A28" s="92" t="s">
        <v>3225</v>
      </c>
      <c r="B28" s="22" t="s">
        <v>3226</v>
      </c>
      <c r="C28" s="23"/>
      <c r="D28" s="23"/>
      <c r="E28" s="23"/>
      <c r="F28" s="23"/>
      <c r="G28" s="23"/>
      <c r="H28" s="23"/>
      <c r="I28" s="23"/>
      <c r="J28" s="23"/>
      <c r="K28" s="23"/>
      <c r="L28" s="23"/>
      <c r="M28" s="23"/>
      <c r="N28" s="23"/>
      <c r="O28" s="23"/>
      <c r="P28" s="23"/>
      <c r="Q28" s="23"/>
      <c r="R28" s="23"/>
      <c r="S28" s="23"/>
    </row>
    <row r="29" spans="1:19" ht="15.75" customHeight="1" x14ac:dyDescent="0.25">
      <c r="A29" s="92" t="s">
        <v>3227</v>
      </c>
      <c r="B29" s="22" t="s">
        <v>3228</v>
      </c>
      <c r="C29" s="23"/>
      <c r="D29" s="23"/>
      <c r="E29" s="23"/>
      <c r="F29" s="23"/>
      <c r="G29" s="23"/>
      <c r="H29" s="23"/>
      <c r="I29" s="23"/>
      <c r="J29" s="23"/>
      <c r="K29" s="23"/>
      <c r="L29" s="23"/>
      <c r="M29" s="23"/>
      <c r="N29" s="23"/>
      <c r="O29" s="23"/>
      <c r="P29" s="23"/>
      <c r="Q29" s="23"/>
      <c r="R29" s="23"/>
      <c r="S29" s="23"/>
    </row>
    <row r="30" spans="1:19" ht="15.75" customHeight="1" x14ac:dyDescent="0.25">
      <c r="A30" s="92" t="s">
        <v>3229</v>
      </c>
      <c r="B30" s="22" t="s">
        <v>3230</v>
      </c>
      <c r="C30" s="23"/>
      <c r="D30" s="23"/>
      <c r="E30" s="23"/>
      <c r="F30" s="23"/>
      <c r="G30" s="23"/>
      <c r="H30" s="23"/>
      <c r="I30" s="23"/>
      <c r="J30" s="23"/>
      <c r="K30" s="23"/>
      <c r="L30" s="23"/>
      <c r="M30" s="23"/>
      <c r="N30" s="23"/>
      <c r="O30" s="23"/>
      <c r="P30" s="23"/>
      <c r="Q30" s="23"/>
      <c r="R30" s="23"/>
      <c r="S30" s="23"/>
    </row>
    <row r="31" spans="1:19" ht="15.75" customHeight="1" x14ac:dyDescent="0.25">
      <c r="A31" s="92" t="s">
        <v>3231</v>
      </c>
      <c r="B31" s="22" t="s">
        <v>3232</v>
      </c>
      <c r="C31" s="23"/>
      <c r="D31" s="23"/>
      <c r="E31" s="23"/>
      <c r="F31" s="23"/>
      <c r="G31" s="23"/>
      <c r="H31" s="23"/>
      <c r="I31" s="23"/>
      <c r="J31" s="23"/>
      <c r="K31" s="23"/>
      <c r="L31" s="23"/>
      <c r="M31" s="23"/>
      <c r="N31" s="23"/>
      <c r="O31" s="23"/>
      <c r="P31" s="23"/>
      <c r="Q31" s="23"/>
      <c r="R31" s="23"/>
      <c r="S31" s="23"/>
    </row>
    <row r="32" spans="1:19" ht="15.75" customHeight="1" x14ac:dyDescent="0.25">
      <c r="A32" s="92" t="s">
        <v>3233</v>
      </c>
      <c r="B32" s="22" t="s">
        <v>3234</v>
      </c>
      <c r="C32" s="23"/>
      <c r="D32" s="23"/>
      <c r="E32" s="23"/>
      <c r="F32" s="23"/>
      <c r="G32" s="23"/>
      <c r="H32" s="23"/>
      <c r="I32" s="23"/>
      <c r="J32" s="23"/>
      <c r="K32" s="23"/>
      <c r="L32" s="23"/>
      <c r="M32" s="23"/>
      <c r="N32" s="23"/>
      <c r="O32" s="23"/>
      <c r="P32" s="23"/>
      <c r="Q32" s="23"/>
      <c r="R32" s="23"/>
      <c r="S32" s="23"/>
    </row>
    <row r="33" spans="1:19" ht="15.75" customHeight="1" x14ac:dyDescent="0.25">
      <c r="A33" s="92" t="s">
        <v>3235</v>
      </c>
      <c r="B33" s="22" t="s">
        <v>3236</v>
      </c>
      <c r="C33" s="23"/>
      <c r="D33" s="23"/>
      <c r="E33" s="23"/>
      <c r="F33" s="23"/>
      <c r="G33" s="23"/>
      <c r="H33" s="23"/>
      <c r="I33" s="23"/>
      <c r="J33" s="23"/>
      <c r="K33" s="23"/>
      <c r="L33" s="23"/>
      <c r="M33" s="23"/>
      <c r="N33" s="23"/>
      <c r="O33" s="23"/>
      <c r="P33" s="23"/>
      <c r="Q33" s="23"/>
      <c r="R33" s="23"/>
      <c r="S33" s="23"/>
    </row>
    <row r="34" spans="1:19" ht="15.75" customHeight="1" x14ac:dyDescent="0.25">
      <c r="A34" s="92" t="s">
        <v>3237</v>
      </c>
      <c r="B34" s="22" t="s">
        <v>3238</v>
      </c>
      <c r="C34" s="23"/>
      <c r="D34" s="23"/>
      <c r="E34" s="23"/>
      <c r="F34" s="23"/>
      <c r="G34" s="23"/>
      <c r="H34" s="23"/>
      <c r="I34" s="23"/>
      <c r="J34" s="23"/>
      <c r="K34" s="23"/>
      <c r="L34" s="23"/>
      <c r="M34" s="23"/>
      <c r="N34" s="23"/>
      <c r="O34" s="23"/>
      <c r="P34" s="23"/>
      <c r="Q34" s="23"/>
      <c r="R34" s="23"/>
      <c r="S34" s="23"/>
    </row>
    <row r="35" spans="1:19" ht="15.75" customHeight="1" x14ac:dyDescent="0.25">
      <c r="A35" s="92" t="s">
        <v>3239</v>
      </c>
      <c r="B35" s="22" t="s">
        <v>3240</v>
      </c>
      <c r="C35" s="23"/>
      <c r="D35" s="23"/>
      <c r="E35" s="23"/>
      <c r="F35" s="23"/>
      <c r="G35" s="23"/>
      <c r="H35" s="23"/>
      <c r="I35" s="23"/>
      <c r="J35" s="23"/>
      <c r="K35" s="23"/>
      <c r="L35" s="23"/>
      <c r="M35" s="23"/>
      <c r="N35" s="23"/>
      <c r="O35" s="23"/>
      <c r="P35" s="23"/>
      <c r="Q35" s="23"/>
      <c r="R35" s="23"/>
      <c r="S35" s="23"/>
    </row>
    <row r="36" spans="1:19" ht="15.75" customHeight="1" x14ac:dyDescent="0.25">
      <c r="A36" s="92" t="s">
        <v>3241</v>
      </c>
      <c r="B36" s="22" t="s">
        <v>3232</v>
      </c>
      <c r="C36" s="23"/>
      <c r="D36" s="23"/>
      <c r="E36" s="23"/>
      <c r="F36" s="23"/>
      <c r="G36" s="23"/>
      <c r="H36" s="23"/>
      <c r="I36" s="23"/>
      <c r="J36" s="23"/>
      <c r="K36" s="23"/>
      <c r="L36" s="23"/>
      <c r="M36" s="23"/>
      <c r="N36" s="23"/>
      <c r="O36" s="23"/>
      <c r="P36" s="23"/>
      <c r="Q36" s="23"/>
      <c r="R36" s="23"/>
      <c r="S36" s="23"/>
    </row>
    <row r="37" spans="1:19" ht="15.75" customHeight="1" x14ac:dyDescent="0.25">
      <c r="A37" s="92" t="s">
        <v>3242</v>
      </c>
      <c r="B37" s="22" t="s">
        <v>3243</v>
      </c>
      <c r="C37" s="23"/>
      <c r="D37" s="23"/>
      <c r="E37" s="23"/>
      <c r="F37" s="23"/>
      <c r="G37" s="23"/>
      <c r="H37" s="23"/>
      <c r="I37" s="23"/>
      <c r="J37" s="23"/>
      <c r="K37" s="23"/>
      <c r="L37" s="23"/>
      <c r="M37" s="23"/>
      <c r="N37" s="23"/>
      <c r="O37" s="23"/>
      <c r="P37" s="23"/>
      <c r="Q37" s="23"/>
      <c r="R37" s="23"/>
      <c r="S37" s="23"/>
    </row>
    <row r="38" spans="1:19" ht="15.75" customHeight="1" x14ac:dyDescent="0.25">
      <c r="A38" s="92" t="s">
        <v>3244</v>
      </c>
      <c r="B38" s="22" t="s">
        <v>3232</v>
      </c>
      <c r="C38" s="23"/>
      <c r="D38" s="23"/>
      <c r="E38" s="23"/>
      <c r="F38" s="23"/>
      <c r="G38" s="23"/>
      <c r="H38" s="23"/>
      <c r="I38" s="23"/>
      <c r="J38" s="23"/>
      <c r="K38" s="23"/>
      <c r="L38" s="23"/>
      <c r="M38" s="23"/>
      <c r="N38" s="23"/>
      <c r="O38" s="23"/>
      <c r="P38" s="23"/>
      <c r="Q38" s="23"/>
      <c r="R38" s="23"/>
      <c r="S38" s="23"/>
    </row>
    <row r="39" spans="1:19" ht="15.75" customHeight="1" x14ac:dyDescent="0.25">
      <c r="A39" s="92" t="s">
        <v>3245</v>
      </c>
      <c r="B39" s="22" t="s">
        <v>3246</v>
      </c>
      <c r="C39" s="23"/>
      <c r="D39" s="23"/>
      <c r="E39" s="23"/>
      <c r="F39" s="23"/>
      <c r="G39" s="23"/>
      <c r="H39" s="23"/>
      <c r="I39" s="23"/>
      <c r="J39" s="23"/>
      <c r="K39" s="23"/>
      <c r="L39" s="23"/>
      <c r="M39" s="23"/>
      <c r="N39" s="23"/>
      <c r="O39" s="23"/>
      <c r="P39" s="23"/>
      <c r="Q39" s="23"/>
      <c r="R39" s="23"/>
      <c r="S39" s="23"/>
    </row>
    <row r="40" spans="1:19" ht="15.75" customHeight="1" x14ac:dyDescent="0.25">
      <c r="A40" s="92" t="s">
        <v>3247</v>
      </c>
      <c r="B40" s="22" t="s">
        <v>3248</v>
      </c>
      <c r="C40" s="23"/>
      <c r="D40" s="23"/>
      <c r="E40" s="23"/>
      <c r="F40" s="23"/>
      <c r="G40" s="23"/>
      <c r="H40" s="23"/>
      <c r="I40" s="23"/>
      <c r="J40" s="23"/>
      <c r="K40" s="23"/>
      <c r="L40" s="23"/>
      <c r="M40" s="23"/>
      <c r="N40" s="23"/>
      <c r="O40" s="23"/>
      <c r="P40" s="23"/>
      <c r="Q40" s="23"/>
      <c r="R40" s="23"/>
      <c r="S40" s="23"/>
    </row>
    <row r="41" spans="1:19" ht="15.75" customHeight="1" x14ac:dyDescent="0.25">
      <c r="A41" s="92" t="s">
        <v>3249</v>
      </c>
      <c r="B41" s="22" t="s">
        <v>3250</v>
      </c>
      <c r="C41" s="23"/>
      <c r="D41" s="23"/>
      <c r="E41" s="23"/>
      <c r="F41" s="23"/>
      <c r="G41" s="23"/>
      <c r="H41" s="23"/>
      <c r="I41" s="23"/>
      <c r="J41" s="23"/>
      <c r="K41" s="23"/>
      <c r="L41" s="23"/>
      <c r="M41" s="23"/>
      <c r="N41" s="23"/>
      <c r="O41" s="23"/>
      <c r="P41" s="23"/>
      <c r="Q41" s="23"/>
      <c r="R41" s="23"/>
      <c r="S41" s="23"/>
    </row>
    <row r="42" spans="1:19" ht="15.75" customHeight="1" x14ac:dyDescent="0.25">
      <c r="A42" s="92" t="s">
        <v>3251</v>
      </c>
      <c r="B42" s="22" t="s">
        <v>3252</v>
      </c>
      <c r="C42" s="23"/>
      <c r="D42" s="23"/>
      <c r="E42" s="23"/>
      <c r="F42" s="23"/>
      <c r="G42" s="23"/>
      <c r="H42" s="23"/>
      <c r="I42" s="23"/>
      <c r="J42" s="23"/>
      <c r="K42" s="23"/>
      <c r="L42" s="23"/>
      <c r="M42" s="23"/>
      <c r="N42" s="23"/>
      <c r="O42" s="23"/>
      <c r="P42" s="23"/>
      <c r="Q42" s="23"/>
      <c r="R42" s="23"/>
      <c r="S42" s="23"/>
    </row>
    <row r="43" spans="1:19" ht="15.75" customHeight="1" x14ac:dyDescent="0.25">
      <c r="A43" s="92" t="s">
        <v>3253</v>
      </c>
      <c r="B43" s="22" t="s">
        <v>3254</v>
      </c>
      <c r="C43" s="23"/>
      <c r="D43" s="23"/>
      <c r="E43" s="23"/>
      <c r="F43" s="23"/>
      <c r="G43" s="23"/>
      <c r="H43" s="23"/>
      <c r="I43" s="23"/>
      <c r="J43" s="23"/>
      <c r="K43" s="23"/>
      <c r="L43" s="23"/>
      <c r="M43" s="23"/>
      <c r="N43" s="23"/>
      <c r="O43" s="23"/>
      <c r="P43" s="23"/>
      <c r="Q43" s="23"/>
      <c r="R43" s="23"/>
      <c r="S43" s="23"/>
    </row>
    <row r="44" spans="1:19" ht="15.75" customHeight="1" x14ac:dyDescent="0.25">
      <c r="A44" s="92" t="s">
        <v>3255</v>
      </c>
      <c r="B44" s="22" t="s">
        <v>3254</v>
      </c>
      <c r="C44" s="23"/>
      <c r="D44" s="23"/>
      <c r="E44" s="23"/>
      <c r="F44" s="23"/>
      <c r="G44" s="23"/>
      <c r="H44" s="23"/>
      <c r="I44" s="23"/>
      <c r="J44" s="23"/>
      <c r="K44" s="23"/>
      <c r="L44" s="23"/>
      <c r="M44" s="23"/>
      <c r="N44" s="23"/>
      <c r="O44" s="23"/>
      <c r="P44" s="23"/>
      <c r="Q44" s="23"/>
      <c r="R44" s="23"/>
      <c r="S44" s="23"/>
    </row>
    <row r="45" spans="1:19" ht="15.75" customHeight="1" x14ac:dyDescent="0.25">
      <c r="A45" s="92" t="s">
        <v>3256</v>
      </c>
      <c r="B45" s="22" t="s">
        <v>249</v>
      </c>
      <c r="C45" s="23"/>
      <c r="D45" s="23"/>
      <c r="E45" s="23"/>
      <c r="F45" s="23"/>
      <c r="G45" s="23"/>
      <c r="H45" s="23"/>
      <c r="I45" s="23"/>
      <c r="J45" s="23"/>
      <c r="K45" s="23"/>
      <c r="L45" s="23"/>
      <c r="M45" s="23"/>
      <c r="N45" s="23"/>
      <c r="O45" s="23"/>
      <c r="P45" s="23"/>
      <c r="Q45" s="23"/>
      <c r="R45" s="23"/>
      <c r="S45" s="23"/>
    </row>
    <row r="46" spans="1:19" ht="15.75" customHeight="1" x14ac:dyDescent="0.25">
      <c r="A46" s="92" t="s">
        <v>3257</v>
      </c>
      <c r="B46" s="22" t="s">
        <v>240</v>
      </c>
      <c r="C46" s="23"/>
      <c r="D46" s="23"/>
      <c r="E46" s="23"/>
      <c r="F46" s="23"/>
      <c r="G46" s="23"/>
      <c r="H46" s="23"/>
      <c r="I46" s="23"/>
      <c r="J46" s="23"/>
      <c r="K46" s="23"/>
      <c r="L46" s="23"/>
      <c r="M46" s="23"/>
      <c r="N46" s="23"/>
      <c r="O46" s="23"/>
      <c r="P46" s="23"/>
      <c r="Q46" s="23"/>
      <c r="R46" s="23"/>
      <c r="S46" s="23"/>
    </row>
    <row r="47" spans="1:19" ht="15.75" customHeight="1" x14ac:dyDescent="0.25">
      <c r="A47" s="92" t="s">
        <v>3258</v>
      </c>
      <c r="B47" s="22" t="s">
        <v>260</v>
      </c>
      <c r="C47" s="23"/>
      <c r="D47" s="23"/>
      <c r="E47" s="23"/>
      <c r="F47" s="23"/>
      <c r="G47" s="23"/>
      <c r="H47" s="23"/>
      <c r="I47" s="23"/>
      <c r="J47" s="23"/>
      <c r="K47" s="23"/>
      <c r="L47" s="23"/>
      <c r="M47" s="23"/>
      <c r="N47" s="23"/>
      <c r="O47" s="23"/>
      <c r="P47" s="23"/>
      <c r="Q47" s="23"/>
      <c r="R47" s="23"/>
      <c r="S47" s="23"/>
    </row>
    <row r="48" spans="1:19" ht="14.25" customHeight="1" x14ac:dyDescent="0.25">
      <c r="A48" s="92" t="s">
        <v>3259</v>
      </c>
      <c r="B48" s="22" t="s">
        <v>236</v>
      </c>
      <c r="C48" s="23"/>
      <c r="D48" s="23"/>
      <c r="E48" s="23"/>
      <c r="F48" s="23"/>
      <c r="G48" s="23"/>
      <c r="H48" s="23"/>
      <c r="I48" s="23"/>
      <c r="J48" s="23"/>
      <c r="K48" s="23"/>
      <c r="L48" s="23"/>
      <c r="M48" s="23"/>
      <c r="N48" s="23"/>
      <c r="O48" s="23"/>
      <c r="P48" s="23"/>
      <c r="Q48" s="23"/>
      <c r="R48" s="23"/>
      <c r="S48" s="23"/>
    </row>
    <row r="49" spans="1:19" ht="15.75" customHeight="1" x14ac:dyDescent="0.25">
      <c r="A49" s="92" t="s">
        <v>3260</v>
      </c>
      <c r="B49" s="22" t="s">
        <v>248</v>
      </c>
      <c r="C49" s="23"/>
      <c r="D49" s="23"/>
      <c r="E49" s="23"/>
      <c r="F49" s="23"/>
      <c r="G49" s="23"/>
      <c r="H49" s="23"/>
      <c r="I49" s="23"/>
      <c r="J49" s="23"/>
      <c r="K49" s="23"/>
      <c r="L49" s="23"/>
      <c r="M49" s="23"/>
      <c r="N49" s="23"/>
      <c r="O49" s="23"/>
      <c r="P49" s="23"/>
      <c r="Q49" s="23"/>
      <c r="R49" s="23"/>
      <c r="S49" s="23"/>
    </row>
    <row r="50" spans="1:19" ht="15.75" customHeight="1" x14ac:dyDescent="0.25">
      <c r="A50" s="92" t="s">
        <v>3261</v>
      </c>
      <c r="B50" s="22" t="s">
        <v>244</v>
      </c>
      <c r="C50" s="23"/>
      <c r="D50" s="23"/>
      <c r="E50" s="23"/>
      <c r="F50" s="23"/>
      <c r="G50" s="23"/>
      <c r="H50" s="23"/>
      <c r="I50" s="23"/>
      <c r="J50" s="23"/>
      <c r="K50" s="23"/>
      <c r="L50" s="23"/>
      <c r="M50" s="23"/>
      <c r="N50" s="23"/>
      <c r="O50" s="23"/>
      <c r="P50" s="23"/>
      <c r="Q50" s="23"/>
      <c r="R50" s="23"/>
      <c r="S50" s="23"/>
    </row>
    <row r="51" spans="1:19" ht="15.75" customHeight="1" x14ac:dyDescent="0.25">
      <c r="A51" s="92" t="s">
        <v>3262</v>
      </c>
      <c r="B51" s="22" t="s">
        <v>259</v>
      </c>
      <c r="C51" s="23"/>
      <c r="D51" s="23"/>
      <c r="E51" s="23"/>
      <c r="F51" s="23"/>
      <c r="G51" s="23"/>
      <c r="H51" s="23"/>
      <c r="I51" s="23"/>
      <c r="J51" s="23"/>
      <c r="K51" s="23"/>
      <c r="L51" s="23"/>
      <c r="M51" s="23"/>
      <c r="N51" s="23"/>
      <c r="O51" s="23"/>
      <c r="P51" s="23"/>
      <c r="Q51" s="23"/>
      <c r="R51" s="23"/>
      <c r="S51" s="23"/>
    </row>
    <row r="52" spans="1:19" ht="15.75" customHeight="1" x14ac:dyDescent="0.25">
      <c r="A52" s="92" t="s">
        <v>3263</v>
      </c>
      <c r="B52" s="22" t="s">
        <v>262</v>
      </c>
      <c r="C52" s="23"/>
      <c r="D52" s="23"/>
      <c r="E52" s="23"/>
      <c r="F52" s="23"/>
      <c r="G52" s="23"/>
      <c r="H52" s="23"/>
      <c r="I52" s="23"/>
      <c r="J52" s="23"/>
      <c r="K52" s="23"/>
      <c r="L52" s="23"/>
      <c r="M52" s="23"/>
      <c r="N52" s="23"/>
      <c r="O52" s="23"/>
      <c r="P52" s="23"/>
      <c r="Q52" s="23"/>
      <c r="R52" s="23"/>
      <c r="S52" s="23"/>
    </row>
    <row r="53" spans="1:19" ht="15.75" customHeight="1" x14ac:dyDescent="0.25">
      <c r="A53" s="92" t="s">
        <v>3264</v>
      </c>
      <c r="B53" s="22" t="s">
        <v>258</v>
      </c>
      <c r="C53" s="23"/>
      <c r="D53" s="23"/>
      <c r="E53" s="23"/>
      <c r="F53" s="23"/>
      <c r="G53" s="23"/>
      <c r="H53" s="23"/>
      <c r="I53" s="23"/>
      <c r="J53" s="23"/>
      <c r="K53" s="23"/>
      <c r="L53" s="23"/>
      <c r="M53" s="23"/>
      <c r="N53" s="23"/>
      <c r="O53" s="23"/>
      <c r="P53" s="23"/>
      <c r="Q53" s="23"/>
      <c r="R53" s="23"/>
      <c r="S53" s="23"/>
    </row>
    <row r="54" spans="1:19" ht="15.75" customHeight="1" x14ac:dyDescent="0.25">
      <c r="A54" s="92" t="s">
        <v>3265</v>
      </c>
      <c r="B54" s="22" t="s">
        <v>96</v>
      </c>
      <c r="C54" s="23"/>
      <c r="D54" s="23"/>
      <c r="E54" s="23"/>
      <c r="F54" s="23"/>
      <c r="G54" s="23"/>
      <c r="H54" s="23"/>
      <c r="I54" s="23"/>
      <c r="J54" s="23"/>
      <c r="K54" s="23"/>
      <c r="L54" s="23"/>
      <c r="M54" s="23"/>
      <c r="N54" s="23"/>
      <c r="O54" s="23"/>
      <c r="P54" s="23"/>
      <c r="Q54" s="23"/>
      <c r="R54" s="23"/>
      <c r="S54" s="23"/>
    </row>
    <row r="55" spans="1:19" ht="15.75" customHeight="1" x14ac:dyDescent="0.25">
      <c r="A55" s="92" t="s">
        <v>3266</v>
      </c>
      <c r="B55" s="22" t="s">
        <v>263</v>
      </c>
      <c r="C55" s="23"/>
      <c r="D55" s="23"/>
      <c r="E55" s="23"/>
      <c r="F55" s="23"/>
      <c r="G55" s="23"/>
      <c r="H55" s="23"/>
      <c r="I55" s="23"/>
      <c r="J55" s="23"/>
      <c r="K55" s="23"/>
      <c r="L55" s="23"/>
      <c r="M55" s="23"/>
      <c r="N55" s="23"/>
      <c r="O55" s="23"/>
      <c r="P55" s="23"/>
      <c r="Q55" s="23"/>
      <c r="R55" s="23"/>
      <c r="S55" s="23"/>
    </row>
    <row r="56" spans="1:19" ht="15.75" customHeight="1" x14ac:dyDescent="0.25">
      <c r="A56" s="92" t="s">
        <v>3267</v>
      </c>
      <c r="B56" s="22" t="s">
        <v>242</v>
      </c>
      <c r="C56" s="23"/>
      <c r="D56" s="23"/>
      <c r="E56" s="23"/>
      <c r="F56" s="23"/>
      <c r="G56" s="23"/>
      <c r="H56" s="23"/>
      <c r="I56" s="23"/>
      <c r="J56" s="23"/>
      <c r="K56" s="23"/>
      <c r="L56" s="23"/>
      <c r="M56" s="23"/>
      <c r="N56" s="23"/>
      <c r="O56" s="23"/>
      <c r="P56" s="23"/>
      <c r="Q56" s="23"/>
      <c r="R56" s="23"/>
      <c r="S56" s="23"/>
    </row>
    <row r="57" spans="1:19" ht="15.75" customHeight="1" x14ac:dyDescent="0.25">
      <c r="A57" s="92" t="s">
        <v>3268</v>
      </c>
      <c r="B57" s="22" t="s">
        <v>256</v>
      </c>
      <c r="C57" s="23"/>
      <c r="D57" s="23"/>
      <c r="E57" s="23"/>
      <c r="F57" s="23"/>
      <c r="G57" s="23"/>
      <c r="H57" s="23"/>
      <c r="I57" s="23"/>
      <c r="J57" s="23"/>
      <c r="K57" s="23"/>
      <c r="L57" s="23"/>
      <c r="M57" s="23"/>
      <c r="N57" s="23"/>
      <c r="O57" s="23"/>
      <c r="P57" s="23"/>
      <c r="Q57" s="23"/>
      <c r="R57" s="23"/>
      <c r="S57" s="23"/>
    </row>
    <row r="58" spans="1:19" ht="15.75" customHeight="1" x14ac:dyDescent="0.25">
      <c r="A58" s="92" t="s">
        <v>3269</v>
      </c>
      <c r="B58" s="22" t="s">
        <v>261</v>
      </c>
      <c r="C58" s="23"/>
      <c r="D58" s="23"/>
      <c r="E58" s="23"/>
      <c r="F58" s="23"/>
      <c r="G58" s="23"/>
      <c r="H58" s="23"/>
      <c r="I58" s="23"/>
      <c r="J58" s="23"/>
      <c r="K58" s="23"/>
      <c r="L58" s="23"/>
      <c r="M58" s="23"/>
      <c r="N58" s="23"/>
      <c r="O58" s="23"/>
      <c r="P58" s="23"/>
      <c r="Q58" s="23"/>
      <c r="R58" s="23"/>
      <c r="S58" s="23"/>
    </row>
    <row r="59" spans="1:19" ht="15.75" customHeight="1" x14ac:dyDescent="0.25">
      <c r="A59" s="92" t="s">
        <v>3270</v>
      </c>
      <c r="B59" s="22" t="s">
        <v>257</v>
      </c>
      <c r="C59" s="23"/>
      <c r="D59" s="23"/>
      <c r="E59" s="23"/>
      <c r="F59" s="23"/>
      <c r="G59" s="23"/>
      <c r="H59" s="23"/>
      <c r="I59" s="23"/>
      <c r="J59" s="23"/>
      <c r="K59" s="23"/>
      <c r="L59" s="23"/>
      <c r="M59" s="23"/>
      <c r="N59" s="23"/>
      <c r="O59" s="23"/>
      <c r="P59" s="23"/>
      <c r="Q59" s="23"/>
      <c r="R59" s="23"/>
      <c r="S59" s="23"/>
    </row>
    <row r="60" spans="1:19" ht="15.75" customHeight="1" x14ac:dyDescent="0.25">
      <c r="A60" s="92" t="s">
        <v>3271</v>
      </c>
      <c r="B60" s="22" t="s">
        <v>254</v>
      </c>
      <c r="C60" s="23"/>
      <c r="D60" s="23"/>
      <c r="E60" s="23"/>
      <c r="F60" s="23"/>
      <c r="G60" s="23"/>
      <c r="H60" s="23"/>
      <c r="I60" s="23"/>
      <c r="J60" s="23"/>
      <c r="K60" s="23"/>
      <c r="L60" s="23"/>
      <c r="M60" s="23"/>
      <c r="N60" s="23"/>
      <c r="O60" s="23"/>
      <c r="P60" s="23"/>
      <c r="Q60" s="23"/>
      <c r="R60" s="23"/>
      <c r="S60" s="23"/>
    </row>
    <row r="61" spans="1:19" ht="15.75" customHeight="1" x14ac:dyDescent="0.25">
      <c r="A61" s="92" t="s">
        <v>3272</v>
      </c>
      <c r="B61" s="22" t="s">
        <v>252</v>
      </c>
      <c r="C61" s="23"/>
      <c r="D61" s="23"/>
      <c r="E61" s="23"/>
      <c r="F61" s="23"/>
      <c r="G61" s="23"/>
      <c r="H61" s="23"/>
      <c r="I61" s="23"/>
      <c r="J61" s="23"/>
      <c r="K61" s="23"/>
      <c r="L61" s="23"/>
      <c r="M61" s="23"/>
      <c r="N61" s="23"/>
      <c r="O61" s="23"/>
      <c r="P61" s="23"/>
      <c r="Q61" s="23"/>
      <c r="R61" s="23"/>
      <c r="S61" s="23"/>
    </row>
    <row r="62" spans="1:19" ht="15.75" customHeight="1" x14ac:dyDescent="0.25">
      <c r="A62" s="92" t="s">
        <v>3273</v>
      </c>
      <c r="B62" s="22" t="s">
        <v>246</v>
      </c>
      <c r="C62" s="23"/>
      <c r="D62" s="23"/>
      <c r="E62" s="23"/>
      <c r="F62" s="23"/>
      <c r="G62" s="23"/>
      <c r="H62" s="23"/>
      <c r="I62" s="23"/>
      <c r="J62" s="23"/>
      <c r="K62" s="23"/>
      <c r="L62" s="23"/>
      <c r="M62" s="23"/>
      <c r="N62" s="23"/>
      <c r="O62" s="23"/>
      <c r="P62" s="23"/>
      <c r="Q62" s="23"/>
      <c r="R62" s="23"/>
      <c r="S62" s="23"/>
    </row>
    <row r="63" spans="1:19" ht="15.75" customHeight="1" x14ac:dyDescent="0.25">
      <c r="A63" s="92" t="s">
        <v>3274</v>
      </c>
      <c r="B63" s="22" t="s">
        <v>3275</v>
      </c>
      <c r="C63" s="23"/>
      <c r="D63" s="23"/>
      <c r="E63" s="23"/>
      <c r="F63" s="23"/>
      <c r="G63" s="23"/>
      <c r="H63" s="23"/>
      <c r="I63" s="23"/>
      <c r="J63" s="23"/>
      <c r="K63" s="23"/>
      <c r="L63" s="23"/>
      <c r="M63" s="23"/>
      <c r="N63" s="23"/>
      <c r="O63" s="23"/>
      <c r="P63" s="23"/>
      <c r="Q63" s="23"/>
      <c r="R63" s="23"/>
      <c r="S63" s="23"/>
    </row>
    <row r="64" spans="1:19" ht="15.75" customHeight="1" x14ac:dyDescent="0.25">
      <c r="A64" s="92" t="s">
        <v>3276</v>
      </c>
      <c r="B64" s="22" t="s">
        <v>3277</v>
      </c>
      <c r="C64" s="23"/>
      <c r="D64" s="23"/>
      <c r="E64" s="23"/>
      <c r="F64" s="23"/>
      <c r="G64" s="23"/>
      <c r="H64" s="23"/>
      <c r="I64" s="23"/>
      <c r="J64" s="23"/>
      <c r="K64" s="23"/>
      <c r="L64" s="23"/>
      <c r="M64" s="23"/>
      <c r="N64" s="23"/>
      <c r="O64" s="23"/>
      <c r="P64" s="23"/>
      <c r="Q64" s="23"/>
      <c r="R64" s="23"/>
      <c r="S64" s="23"/>
    </row>
    <row r="65" spans="1:19" ht="15.75" customHeight="1" x14ac:dyDescent="0.25">
      <c r="A65" s="92" t="s">
        <v>3278</v>
      </c>
      <c r="B65" s="22" t="s">
        <v>3279</v>
      </c>
      <c r="C65" s="23"/>
      <c r="D65" s="23"/>
      <c r="E65" s="23"/>
      <c r="F65" s="23"/>
      <c r="G65" s="23"/>
      <c r="H65" s="23"/>
      <c r="I65" s="23"/>
      <c r="J65" s="23"/>
      <c r="K65" s="23"/>
      <c r="L65" s="23"/>
      <c r="M65" s="23"/>
      <c r="N65" s="23"/>
      <c r="O65" s="23"/>
      <c r="P65" s="23"/>
      <c r="Q65" s="23"/>
      <c r="R65" s="23"/>
      <c r="S65" s="23"/>
    </row>
    <row r="66" spans="1:19" ht="15.75" customHeight="1" x14ac:dyDescent="0.25">
      <c r="A66" s="92" t="s">
        <v>3280</v>
      </c>
      <c r="B66" s="22" t="s">
        <v>3281</v>
      </c>
      <c r="C66" s="23"/>
      <c r="D66" s="23"/>
      <c r="E66" s="23"/>
      <c r="F66" s="23"/>
      <c r="G66" s="23"/>
      <c r="H66" s="23"/>
      <c r="I66" s="23"/>
      <c r="J66" s="23"/>
      <c r="K66" s="23"/>
      <c r="L66" s="23"/>
      <c r="M66" s="23"/>
      <c r="N66" s="23"/>
      <c r="O66" s="23"/>
      <c r="P66" s="23"/>
      <c r="Q66" s="23"/>
      <c r="R66" s="23"/>
      <c r="S66" s="23"/>
    </row>
    <row r="67" spans="1:19" ht="15.75" customHeight="1" x14ac:dyDescent="0.25">
      <c r="A67" s="92" t="s">
        <v>3282</v>
      </c>
      <c r="B67" s="22" t="s">
        <v>3283</v>
      </c>
      <c r="C67" s="23"/>
      <c r="D67" s="23"/>
      <c r="E67" s="23"/>
      <c r="F67" s="23"/>
      <c r="G67" s="23"/>
      <c r="H67" s="23"/>
      <c r="I67" s="23"/>
      <c r="J67" s="23"/>
      <c r="K67" s="23"/>
      <c r="L67" s="23"/>
      <c r="M67" s="23"/>
      <c r="N67" s="23"/>
      <c r="O67" s="23"/>
      <c r="P67" s="23"/>
      <c r="Q67" s="23"/>
      <c r="R67" s="23"/>
      <c r="S67" s="23"/>
    </row>
    <row r="68" spans="1:19" ht="15.75" customHeight="1" x14ac:dyDescent="0.25">
      <c r="A68" s="92" t="s">
        <v>3284</v>
      </c>
      <c r="B68" s="22" t="s">
        <v>3285</v>
      </c>
      <c r="C68" s="23"/>
      <c r="D68" s="23"/>
      <c r="E68" s="23"/>
      <c r="F68" s="23"/>
      <c r="G68" s="23"/>
      <c r="H68" s="23"/>
      <c r="I68" s="23"/>
      <c r="J68" s="23"/>
      <c r="K68" s="23"/>
      <c r="L68" s="23"/>
      <c r="M68" s="23"/>
      <c r="N68" s="23"/>
      <c r="O68" s="23"/>
      <c r="P68" s="23"/>
      <c r="Q68" s="23"/>
      <c r="R68" s="23"/>
      <c r="S68" s="23"/>
    </row>
    <row r="69" spans="1:19" ht="15.75" customHeight="1" x14ac:dyDescent="0.25">
      <c r="A69" s="92" t="s">
        <v>3286</v>
      </c>
      <c r="B69" s="22" t="s">
        <v>3287</v>
      </c>
      <c r="C69" s="23"/>
      <c r="D69" s="23"/>
      <c r="E69" s="23"/>
      <c r="F69" s="23"/>
      <c r="G69" s="23"/>
      <c r="H69" s="23"/>
      <c r="I69" s="23"/>
      <c r="J69" s="23"/>
      <c r="K69" s="23"/>
      <c r="L69" s="23"/>
      <c r="M69" s="23"/>
      <c r="N69" s="23"/>
      <c r="O69" s="23"/>
      <c r="P69" s="23"/>
      <c r="Q69" s="23"/>
      <c r="R69" s="23"/>
      <c r="S69" s="23"/>
    </row>
    <row r="70" spans="1:19" ht="15.75" customHeight="1" x14ac:dyDescent="0.25">
      <c r="A70" s="92" t="s">
        <v>3288</v>
      </c>
      <c r="B70" s="22" t="s">
        <v>3289</v>
      </c>
      <c r="C70" s="23"/>
      <c r="D70" s="23"/>
      <c r="E70" s="23"/>
      <c r="F70" s="23"/>
      <c r="G70" s="23"/>
      <c r="H70" s="23"/>
      <c r="I70" s="23"/>
      <c r="J70" s="23"/>
      <c r="K70" s="23"/>
      <c r="L70" s="23"/>
      <c r="M70" s="23"/>
      <c r="N70" s="23"/>
      <c r="O70" s="23"/>
      <c r="P70" s="23"/>
      <c r="Q70" s="23"/>
      <c r="R70" s="23"/>
      <c r="S70" s="23"/>
    </row>
    <row r="71" spans="1:19" ht="15.75" customHeight="1" x14ac:dyDescent="0.25">
      <c r="A71" s="92" t="s">
        <v>3290</v>
      </c>
      <c r="B71" s="22" t="s">
        <v>3291</v>
      </c>
      <c r="C71" s="23"/>
      <c r="D71" s="23"/>
      <c r="E71" s="23"/>
      <c r="F71" s="23"/>
      <c r="G71" s="23"/>
      <c r="H71" s="23"/>
      <c r="I71" s="23"/>
      <c r="J71" s="23"/>
      <c r="K71" s="23"/>
      <c r="L71" s="23"/>
      <c r="M71" s="23"/>
      <c r="N71" s="23"/>
      <c r="O71" s="23"/>
      <c r="P71" s="23"/>
      <c r="Q71" s="23"/>
      <c r="R71" s="23"/>
      <c r="S71" s="23"/>
    </row>
    <row r="72" spans="1:19" ht="15.75" customHeight="1" x14ac:dyDescent="0.25">
      <c r="A72" s="92" t="s">
        <v>3292</v>
      </c>
      <c r="B72" s="22" t="s">
        <v>3293</v>
      </c>
      <c r="C72" s="23"/>
      <c r="D72" s="23"/>
      <c r="E72" s="23"/>
      <c r="F72" s="23"/>
      <c r="G72" s="23"/>
      <c r="H72" s="23"/>
      <c r="I72" s="23"/>
      <c r="J72" s="23"/>
      <c r="K72" s="23"/>
      <c r="L72" s="23"/>
      <c r="M72" s="23"/>
      <c r="N72" s="23"/>
      <c r="O72" s="23"/>
      <c r="P72" s="23"/>
      <c r="Q72" s="23"/>
      <c r="R72" s="23"/>
      <c r="S72" s="23"/>
    </row>
    <row r="73" spans="1:19" ht="15.75" customHeight="1" x14ac:dyDescent="0.25">
      <c r="A73" s="92" t="s">
        <v>3294</v>
      </c>
      <c r="B73" s="22" t="s">
        <v>3295</v>
      </c>
      <c r="C73" s="23"/>
      <c r="D73" s="23"/>
      <c r="E73" s="23"/>
      <c r="F73" s="23"/>
      <c r="G73" s="23"/>
      <c r="H73" s="23"/>
      <c r="I73" s="23"/>
      <c r="J73" s="23"/>
      <c r="K73" s="23"/>
      <c r="L73" s="23"/>
      <c r="M73" s="23"/>
      <c r="N73" s="23"/>
      <c r="O73" s="23"/>
      <c r="P73" s="23"/>
      <c r="Q73" s="23"/>
      <c r="R73" s="23"/>
      <c r="S73" s="23"/>
    </row>
    <row r="74" spans="1:19" ht="15.75" customHeight="1" x14ac:dyDescent="0.25">
      <c r="A74" s="92" t="s">
        <v>3296</v>
      </c>
      <c r="B74" s="22" t="s">
        <v>3297</v>
      </c>
      <c r="C74" s="23"/>
      <c r="D74" s="23"/>
      <c r="E74" s="23"/>
      <c r="F74" s="23"/>
      <c r="G74" s="23"/>
      <c r="H74" s="23"/>
      <c r="I74" s="23"/>
      <c r="J74" s="23"/>
      <c r="K74" s="23"/>
      <c r="L74" s="23"/>
      <c r="M74" s="23"/>
      <c r="N74" s="23"/>
      <c r="O74" s="23"/>
      <c r="P74" s="23"/>
      <c r="Q74" s="23"/>
      <c r="R74" s="23"/>
      <c r="S74" s="23"/>
    </row>
    <row r="75" spans="1:19" ht="15.75" customHeight="1" x14ac:dyDescent="0.25">
      <c r="A75" s="92" t="s">
        <v>3298</v>
      </c>
      <c r="B75" s="22" t="s">
        <v>3299</v>
      </c>
      <c r="C75" s="23"/>
      <c r="D75" s="23"/>
      <c r="E75" s="23"/>
      <c r="F75" s="23"/>
      <c r="G75" s="23"/>
      <c r="H75" s="23"/>
      <c r="I75" s="23"/>
      <c r="J75" s="23"/>
      <c r="K75" s="23"/>
      <c r="L75" s="23"/>
      <c r="M75" s="23"/>
      <c r="N75" s="23"/>
      <c r="O75" s="23"/>
      <c r="P75" s="23"/>
      <c r="Q75" s="23"/>
      <c r="R75" s="23"/>
      <c r="S75" s="23"/>
    </row>
    <row r="76" spans="1:19" ht="15.75" customHeight="1" x14ac:dyDescent="0.25">
      <c r="A76" s="92" t="s">
        <v>3300</v>
      </c>
      <c r="B76" s="22" t="s">
        <v>3301</v>
      </c>
      <c r="C76" s="23"/>
      <c r="D76" s="23"/>
      <c r="E76" s="23"/>
      <c r="F76" s="23"/>
      <c r="G76" s="23"/>
      <c r="H76" s="23"/>
      <c r="I76" s="23"/>
      <c r="J76" s="23"/>
      <c r="K76" s="23"/>
      <c r="L76" s="23"/>
      <c r="M76" s="23"/>
      <c r="N76" s="23"/>
      <c r="O76" s="23"/>
      <c r="P76" s="23"/>
      <c r="Q76" s="23"/>
      <c r="R76" s="23"/>
      <c r="S76" s="23"/>
    </row>
    <row r="77" spans="1:19" ht="15.75" customHeight="1" x14ac:dyDescent="0.25">
      <c r="A77" s="92" t="s">
        <v>3302</v>
      </c>
      <c r="B77" s="22" t="s">
        <v>3303</v>
      </c>
      <c r="C77" s="23"/>
      <c r="D77" s="23"/>
      <c r="E77" s="23"/>
      <c r="F77" s="23"/>
      <c r="G77" s="23"/>
      <c r="H77" s="23"/>
      <c r="I77" s="23"/>
      <c r="J77" s="23"/>
      <c r="K77" s="23"/>
      <c r="L77" s="23"/>
      <c r="M77" s="23"/>
      <c r="N77" s="23"/>
      <c r="O77" s="23"/>
      <c r="P77" s="23"/>
      <c r="Q77" s="23"/>
      <c r="R77" s="23"/>
      <c r="S77" s="23"/>
    </row>
    <row r="78" spans="1:19" ht="15.75" customHeight="1" x14ac:dyDescent="0.25">
      <c r="A78" s="92" t="s">
        <v>3304</v>
      </c>
      <c r="B78" s="22" t="s">
        <v>3305</v>
      </c>
      <c r="C78" s="23"/>
      <c r="D78" s="23"/>
      <c r="E78" s="23"/>
      <c r="F78" s="23"/>
      <c r="G78" s="23"/>
      <c r="H78" s="23"/>
      <c r="I78" s="23"/>
      <c r="J78" s="23"/>
      <c r="K78" s="23"/>
      <c r="L78" s="23"/>
      <c r="M78" s="23"/>
      <c r="N78" s="23"/>
      <c r="O78" s="23"/>
      <c r="P78" s="23"/>
      <c r="Q78" s="23"/>
      <c r="R78" s="23"/>
      <c r="S78" s="23"/>
    </row>
    <row r="79" spans="1:19" ht="15.75" customHeight="1" x14ac:dyDescent="0.25">
      <c r="A79" s="92" t="s">
        <v>3306</v>
      </c>
      <c r="B79" s="22" t="s">
        <v>3307</v>
      </c>
      <c r="C79" s="23"/>
      <c r="D79" s="23"/>
      <c r="E79" s="23"/>
      <c r="F79" s="23"/>
      <c r="G79" s="23"/>
      <c r="H79" s="23"/>
      <c r="I79" s="23"/>
      <c r="J79" s="23"/>
      <c r="K79" s="23"/>
      <c r="L79" s="23"/>
      <c r="M79" s="23"/>
      <c r="N79" s="23"/>
      <c r="O79" s="23"/>
      <c r="P79" s="23"/>
      <c r="Q79" s="23"/>
      <c r="R79" s="23"/>
      <c r="S79" s="23"/>
    </row>
    <row r="80" spans="1:19" ht="15.75" customHeight="1" x14ac:dyDescent="0.25">
      <c r="A80" s="92" t="s">
        <v>3308</v>
      </c>
      <c r="B80" s="22" t="s">
        <v>3309</v>
      </c>
      <c r="C80" s="23"/>
      <c r="D80" s="23"/>
      <c r="E80" s="23"/>
      <c r="F80" s="23"/>
      <c r="G80" s="23"/>
      <c r="H80" s="23"/>
      <c r="I80" s="23"/>
      <c r="J80" s="23"/>
      <c r="K80" s="23"/>
      <c r="L80" s="23"/>
      <c r="M80" s="23"/>
      <c r="N80" s="23"/>
      <c r="O80" s="23"/>
      <c r="P80" s="23"/>
      <c r="Q80" s="23"/>
      <c r="R80" s="23"/>
      <c r="S80" s="23"/>
    </row>
    <row r="81" spans="1:19" ht="15.75" customHeight="1" x14ac:dyDescent="0.25">
      <c r="A81" s="92" t="s">
        <v>3310</v>
      </c>
      <c r="B81" s="22" t="s">
        <v>3311</v>
      </c>
      <c r="C81" s="23"/>
      <c r="D81" s="23"/>
      <c r="E81" s="23"/>
      <c r="F81" s="23"/>
      <c r="G81" s="23"/>
      <c r="H81" s="23"/>
      <c r="I81" s="23"/>
      <c r="J81" s="23"/>
      <c r="K81" s="23"/>
      <c r="L81" s="23"/>
      <c r="M81" s="23"/>
      <c r="N81" s="23"/>
      <c r="O81" s="23"/>
      <c r="P81" s="23"/>
      <c r="Q81" s="23"/>
      <c r="R81" s="23"/>
      <c r="S81" s="23"/>
    </row>
    <row r="82" spans="1:19" ht="15.75" customHeight="1" x14ac:dyDescent="0.25">
      <c r="A82" s="92" t="s">
        <v>3312</v>
      </c>
      <c r="B82" s="22" t="s">
        <v>3313</v>
      </c>
      <c r="C82" s="23"/>
      <c r="D82" s="23"/>
      <c r="E82" s="23"/>
      <c r="F82" s="23"/>
      <c r="G82" s="23"/>
      <c r="H82" s="23"/>
      <c r="I82" s="23"/>
      <c r="J82" s="23"/>
      <c r="K82" s="23"/>
      <c r="L82" s="23"/>
      <c r="M82" s="23"/>
      <c r="N82" s="23"/>
      <c r="O82" s="23"/>
      <c r="P82" s="23"/>
      <c r="Q82" s="23"/>
      <c r="R82" s="23"/>
      <c r="S82" s="23"/>
    </row>
    <row r="83" spans="1:19" ht="15.75" customHeight="1" x14ac:dyDescent="0.25">
      <c r="A83" s="92" t="s">
        <v>3314</v>
      </c>
      <c r="B83" s="22" t="s">
        <v>3315</v>
      </c>
      <c r="C83" s="23"/>
      <c r="D83" s="23"/>
      <c r="E83" s="23"/>
      <c r="F83" s="23"/>
      <c r="G83" s="23"/>
      <c r="H83" s="23"/>
      <c r="I83" s="23"/>
      <c r="J83" s="23"/>
      <c r="K83" s="23"/>
      <c r="L83" s="23"/>
      <c r="M83" s="23"/>
      <c r="N83" s="23"/>
      <c r="O83" s="23"/>
      <c r="P83" s="23"/>
      <c r="Q83" s="23"/>
      <c r="R83" s="23"/>
      <c r="S83" s="23"/>
    </row>
    <row r="84" spans="1:19" ht="15.75" customHeight="1" x14ac:dyDescent="0.25">
      <c r="A84" s="92" t="s">
        <v>3316</v>
      </c>
      <c r="B84" s="22" t="s">
        <v>3317</v>
      </c>
      <c r="C84" s="23"/>
      <c r="D84" s="23"/>
      <c r="E84" s="23"/>
      <c r="F84" s="23"/>
      <c r="G84" s="23"/>
      <c r="H84" s="23"/>
      <c r="I84" s="23"/>
      <c r="J84" s="23"/>
      <c r="K84" s="23"/>
      <c r="L84" s="23"/>
      <c r="M84" s="23"/>
      <c r="N84" s="23"/>
      <c r="O84" s="23"/>
      <c r="P84" s="23"/>
      <c r="Q84" s="23"/>
      <c r="R84" s="23"/>
      <c r="S84" s="23"/>
    </row>
    <row r="85" spans="1:19" ht="15.75" customHeight="1" x14ac:dyDescent="0.25">
      <c r="A85" s="92" t="s">
        <v>3318</v>
      </c>
      <c r="B85" s="22" t="s">
        <v>3319</v>
      </c>
      <c r="C85" s="23"/>
      <c r="D85" s="23"/>
      <c r="E85" s="23"/>
      <c r="F85" s="23"/>
      <c r="G85" s="23"/>
      <c r="H85" s="23"/>
      <c r="I85" s="23"/>
      <c r="J85" s="23"/>
      <c r="K85" s="23"/>
      <c r="L85" s="23"/>
      <c r="M85" s="23"/>
      <c r="N85" s="23"/>
      <c r="O85" s="23"/>
      <c r="P85" s="23"/>
      <c r="Q85" s="23"/>
      <c r="R85" s="23"/>
      <c r="S85" s="23"/>
    </row>
    <row r="86" spans="1:19" ht="15.75" customHeight="1" x14ac:dyDescent="0.25">
      <c r="A86" s="92" t="s">
        <v>3320</v>
      </c>
      <c r="B86" s="22" t="s">
        <v>3321</v>
      </c>
      <c r="C86" s="23"/>
      <c r="D86" s="23"/>
      <c r="E86" s="23"/>
      <c r="F86" s="23"/>
      <c r="G86" s="23"/>
      <c r="H86" s="23"/>
      <c r="I86" s="23"/>
      <c r="J86" s="23"/>
      <c r="K86" s="23"/>
      <c r="L86" s="23"/>
      <c r="M86" s="23"/>
      <c r="N86" s="23"/>
      <c r="O86" s="23"/>
      <c r="P86" s="23"/>
      <c r="Q86" s="23"/>
      <c r="R86" s="23"/>
      <c r="S86" s="23"/>
    </row>
    <row r="87" spans="1:19" ht="15.75" customHeight="1" x14ac:dyDescent="0.25">
      <c r="A87" s="92" t="s">
        <v>3322</v>
      </c>
      <c r="B87" s="22" t="s">
        <v>3323</v>
      </c>
      <c r="C87" s="23"/>
      <c r="D87" s="23"/>
      <c r="E87" s="23"/>
      <c r="F87" s="23"/>
      <c r="G87" s="23"/>
      <c r="H87" s="23"/>
      <c r="I87" s="23"/>
      <c r="J87" s="23"/>
      <c r="K87" s="23"/>
      <c r="L87" s="23"/>
      <c r="M87" s="23"/>
      <c r="N87" s="23"/>
      <c r="O87" s="23"/>
      <c r="P87" s="23"/>
      <c r="Q87" s="23"/>
      <c r="R87" s="23"/>
      <c r="S87" s="23"/>
    </row>
    <row r="88" spans="1:19" ht="15.75" customHeight="1" x14ac:dyDescent="0.25">
      <c r="A88" s="92" t="s">
        <v>3324</v>
      </c>
      <c r="B88" s="22" t="s">
        <v>3325</v>
      </c>
      <c r="C88" s="23"/>
      <c r="D88" s="23"/>
      <c r="E88" s="23"/>
      <c r="F88" s="23"/>
      <c r="G88" s="23"/>
      <c r="H88" s="23"/>
      <c r="I88" s="23"/>
      <c r="J88" s="23"/>
      <c r="K88" s="23"/>
      <c r="L88" s="23"/>
      <c r="M88" s="23"/>
      <c r="N88" s="23"/>
      <c r="O88" s="23"/>
      <c r="P88" s="23"/>
      <c r="Q88" s="23"/>
      <c r="R88" s="23"/>
      <c r="S88" s="23"/>
    </row>
    <row r="89" spans="1:19" ht="15.75" customHeight="1" x14ac:dyDescent="0.25">
      <c r="A89" s="92" t="s">
        <v>3326</v>
      </c>
      <c r="B89" s="22" t="s">
        <v>3327</v>
      </c>
      <c r="C89" s="23"/>
      <c r="D89" s="23"/>
      <c r="E89" s="23"/>
      <c r="F89" s="23"/>
      <c r="G89" s="23"/>
      <c r="H89" s="23"/>
      <c r="I89" s="23"/>
      <c r="J89" s="23"/>
      <c r="K89" s="23"/>
      <c r="L89" s="23"/>
      <c r="M89" s="23"/>
      <c r="N89" s="23"/>
      <c r="O89" s="23"/>
      <c r="P89" s="23"/>
      <c r="Q89" s="23"/>
      <c r="R89" s="23"/>
      <c r="S89" s="23"/>
    </row>
    <row r="90" spans="1:19" ht="15.75" customHeight="1" x14ac:dyDescent="0.25">
      <c r="A90" s="92" t="s">
        <v>3328</v>
      </c>
      <c r="B90" s="22" t="s">
        <v>3329</v>
      </c>
      <c r="C90" s="23"/>
      <c r="D90" s="23"/>
      <c r="E90" s="23"/>
      <c r="F90" s="23"/>
      <c r="G90" s="23"/>
      <c r="H90" s="23"/>
      <c r="I90" s="23"/>
      <c r="J90" s="23"/>
      <c r="K90" s="23"/>
      <c r="L90" s="23"/>
      <c r="M90" s="23"/>
      <c r="N90" s="23"/>
      <c r="O90" s="23"/>
      <c r="P90" s="23"/>
      <c r="Q90" s="23"/>
      <c r="R90" s="23"/>
      <c r="S90" s="23"/>
    </row>
    <row r="91" spans="1:19" ht="15.75" customHeight="1" x14ac:dyDescent="0.25">
      <c r="A91" s="92" t="s">
        <v>3330</v>
      </c>
      <c r="B91" s="22" t="s">
        <v>3331</v>
      </c>
      <c r="C91" s="23"/>
      <c r="D91" s="23"/>
      <c r="E91" s="23"/>
      <c r="F91" s="23"/>
      <c r="G91" s="23"/>
      <c r="H91" s="23"/>
      <c r="I91" s="23"/>
      <c r="J91" s="23"/>
      <c r="K91" s="23"/>
      <c r="L91" s="23"/>
      <c r="M91" s="23"/>
      <c r="N91" s="23"/>
      <c r="O91" s="23"/>
      <c r="P91" s="23"/>
      <c r="Q91" s="23"/>
      <c r="R91" s="23"/>
      <c r="S91" s="23"/>
    </row>
    <row r="92" spans="1:19" ht="15.75" customHeight="1" x14ac:dyDescent="0.25">
      <c r="A92" s="92" t="s">
        <v>3332</v>
      </c>
      <c r="B92" s="22" t="s">
        <v>3333</v>
      </c>
      <c r="C92" s="23"/>
      <c r="D92" s="23"/>
      <c r="E92" s="23"/>
      <c r="F92" s="23"/>
      <c r="G92" s="23"/>
      <c r="H92" s="23"/>
      <c r="I92" s="23"/>
      <c r="J92" s="23"/>
      <c r="K92" s="23"/>
      <c r="L92" s="23"/>
      <c r="M92" s="23"/>
      <c r="N92" s="23"/>
      <c r="O92" s="23"/>
      <c r="P92" s="23"/>
      <c r="Q92" s="23"/>
      <c r="R92" s="23"/>
      <c r="S92" s="23"/>
    </row>
    <row r="93" spans="1:19" ht="15.75" customHeight="1" x14ac:dyDescent="0.25">
      <c r="A93" s="92" t="s">
        <v>3334</v>
      </c>
      <c r="B93" s="22" t="s">
        <v>3335</v>
      </c>
      <c r="C93" s="23"/>
      <c r="D93" s="23"/>
      <c r="E93" s="23"/>
      <c r="F93" s="23"/>
      <c r="G93" s="23"/>
      <c r="H93" s="23"/>
      <c r="I93" s="23"/>
      <c r="J93" s="23"/>
      <c r="K93" s="23"/>
      <c r="L93" s="23"/>
      <c r="M93" s="23"/>
      <c r="N93" s="23"/>
      <c r="O93" s="23"/>
      <c r="P93" s="23"/>
      <c r="Q93" s="23"/>
      <c r="R93" s="23"/>
      <c r="S93" s="23"/>
    </row>
    <row r="94" spans="1:19" ht="15.75" customHeight="1" x14ac:dyDescent="0.25">
      <c r="A94" s="92" t="s">
        <v>3336</v>
      </c>
      <c r="B94" s="22" t="s">
        <v>3337</v>
      </c>
      <c r="C94" s="23"/>
      <c r="D94" s="23"/>
      <c r="E94" s="23"/>
      <c r="F94" s="23"/>
      <c r="G94" s="23"/>
      <c r="H94" s="23"/>
      <c r="I94" s="23"/>
      <c r="J94" s="23"/>
      <c r="K94" s="23"/>
      <c r="L94" s="23"/>
      <c r="M94" s="23"/>
      <c r="N94" s="23"/>
      <c r="O94" s="23"/>
      <c r="P94" s="23"/>
      <c r="Q94" s="23"/>
      <c r="R94" s="23"/>
      <c r="S94" s="23"/>
    </row>
    <row r="95" spans="1:19" ht="15.75" customHeight="1" x14ac:dyDescent="0.25">
      <c r="A95" s="92" t="s">
        <v>3338</v>
      </c>
      <c r="B95" s="22" t="s">
        <v>3339</v>
      </c>
      <c r="C95" s="23"/>
      <c r="D95" s="23"/>
      <c r="E95" s="23"/>
      <c r="F95" s="23"/>
      <c r="G95" s="23"/>
      <c r="H95" s="23"/>
      <c r="I95" s="23"/>
      <c r="J95" s="23"/>
      <c r="K95" s="23"/>
      <c r="L95" s="23"/>
      <c r="M95" s="23"/>
      <c r="N95" s="23"/>
      <c r="O95" s="23"/>
      <c r="P95" s="23"/>
      <c r="Q95" s="23"/>
      <c r="R95" s="23"/>
      <c r="S95" s="23"/>
    </row>
    <row r="96" spans="1:19" ht="15.75" customHeight="1" x14ac:dyDescent="0.25">
      <c r="A96" s="92" t="s">
        <v>3340</v>
      </c>
      <c r="B96" s="22" t="s">
        <v>3341</v>
      </c>
      <c r="C96" s="23"/>
      <c r="D96" s="23"/>
      <c r="E96" s="23"/>
      <c r="F96" s="23"/>
      <c r="G96" s="23"/>
      <c r="H96" s="23"/>
      <c r="I96" s="23"/>
      <c r="J96" s="23"/>
      <c r="K96" s="23"/>
      <c r="L96" s="23"/>
      <c r="M96" s="23"/>
      <c r="N96" s="23"/>
      <c r="O96" s="23"/>
      <c r="P96" s="23"/>
      <c r="Q96" s="23"/>
      <c r="R96" s="23"/>
      <c r="S96" s="23"/>
    </row>
    <row r="97" spans="1:19" ht="15.75" customHeight="1" x14ac:dyDescent="0.25">
      <c r="A97" s="92" t="s">
        <v>3342</v>
      </c>
      <c r="B97" s="22" t="s">
        <v>3343</v>
      </c>
      <c r="C97" s="23"/>
      <c r="D97" s="23"/>
      <c r="E97" s="23"/>
      <c r="F97" s="23"/>
      <c r="G97" s="23"/>
      <c r="H97" s="23"/>
      <c r="I97" s="23"/>
      <c r="J97" s="23"/>
      <c r="K97" s="23"/>
      <c r="L97" s="23"/>
      <c r="M97" s="23"/>
      <c r="N97" s="23"/>
      <c r="O97" s="23"/>
      <c r="P97" s="23"/>
      <c r="Q97" s="23"/>
      <c r="R97" s="23"/>
      <c r="S97" s="23"/>
    </row>
    <row r="98" spans="1:19" ht="15.75" customHeight="1" x14ac:dyDescent="0.25">
      <c r="A98" s="92" t="s">
        <v>3344</v>
      </c>
      <c r="B98" s="22" t="s">
        <v>3345</v>
      </c>
      <c r="C98" s="23"/>
      <c r="D98" s="23"/>
      <c r="E98" s="23"/>
      <c r="F98" s="23"/>
      <c r="G98" s="23"/>
      <c r="H98" s="23"/>
      <c r="I98" s="23"/>
      <c r="J98" s="23"/>
      <c r="K98" s="23"/>
      <c r="L98" s="23"/>
      <c r="M98" s="23"/>
      <c r="N98" s="23"/>
      <c r="O98" s="23"/>
      <c r="P98" s="23"/>
      <c r="Q98" s="23"/>
      <c r="R98" s="23"/>
      <c r="S98" s="23"/>
    </row>
    <row r="99" spans="1:19" ht="15.75" customHeight="1" x14ac:dyDescent="0.25">
      <c r="A99" s="92" t="s">
        <v>3346</v>
      </c>
      <c r="B99" s="22" t="s">
        <v>3347</v>
      </c>
      <c r="C99" s="23"/>
      <c r="D99" s="23"/>
      <c r="E99" s="23"/>
      <c r="F99" s="23"/>
      <c r="G99" s="23"/>
      <c r="H99" s="23"/>
      <c r="I99" s="23"/>
      <c r="J99" s="23"/>
      <c r="K99" s="23"/>
      <c r="L99" s="23"/>
      <c r="M99" s="23"/>
      <c r="N99" s="23"/>
      <c r="O99" s="23"/>
      <c r="P99" s="23"/>
      <c r="Q99" s="23"/>
      <c r="R99" s="23"/>
      <c r="S99" s="23"/>
    </row>
    <row r="100" spans="1:19" ht="15.75" customHeight="1" x14ac:dyDescent="0.25">
      <c r="A100" s="92" t="s">
        <v>3348</v>
      </c>
      <c r="B100" s="22" t="s">
        <v>3349</v>
      </c>
      <c r="C100" s="23"/>
      <c r="D100" s="23"/>
      <c r="E100" s="23"/>
      <c r="F100" s="23"/>
      <c r="G100" s="23"/>
      <c r="H100" s="23"/>
      <c r="I100" s="23"/>
      <c r="J100" s="23"/>
      <c r="K100" s="23"/>
      <c r="L100" s="23"/>
      <c r="M100" s="23"/>
      <c r="N100" s="23"/>
      <c r="O100" s="23"/>
      <c r="P100" s="23"/>
      <c r="Q100" s="23"/>
      <c r="R100" s="23"/>
      <c r="S100" s="23"/>
    </row>
    <row r="101" spans="1:19" ht="15.75" customHeight="1" x14ac:dyDescent="0.25">
      <c r="A101" s="92" t="s">
        <v>3350</v>
      </c>
      <c r="B101" s="22" t="s">
        <v>3351</v>
      </c>
      <c r="C101" s="23"/>
      <c r="D101" s="23"/>
      <c r="E101" s="23"/>
      <c r="F101" s="23"/>
      <c r="G101" s="23"/>
      <c r="H101" s="23"/>
      <c r="I101" s="23"/>
      <c r="J101" s="23"/>
      <c r="K101" s="23"/>
      <c r="L101" s="23"/>
      <c r="M101" s="23"/>
      <c r="N101" s="23"/>
      <c r="O101" s="23"/>
      <c r="P101" s="23"/>
      <c r="Q101" s="23"/>
      <c r="R101" s="23"/>
      <c r="S101" s="23"/>
    </row>
    <row r="102" spans="1:19" ht="15.75" customHeight="1" x14ac:dyDescent="0.25">
      <c r="A102" s="92" t="s">
        <v>3352</v>
      </c>
      <c r="B102" s="22" t="s">
        <v>3353</v>
      </c>
      <c r="C102" s="23"/>
      <c r="D102" s="23"/>
      <c r="E102" s="23"/>
      <c r="F102" s="23"/>
      <c r="G102" s="23"/>
      <c r="H102" s="23"/>
      <c r="I102" s="23"/>
      <c r="J102" s="23"/>
      <c r="K102" s="23"/>
      <c r="L102" s="23"/>
      <c r="M102" s="23"/>
      <c r="N102" s="23"/>
      <c r="O102" s="23"/>
      <c r="P102" s="23"/>
      <c r="Q102" s="23"/>
      <c r="R102" s="23"/>
      <c r="S102" s="23"/>
    </row>
    <row r="103" spans="1:19" ht="15.75" customHeight="1" x14ac:dyDescent="0.25">
      <c r="A103" s="92" t="s">
        <v>3354</v>
      </c>
      <c r="B103" s="22" t="s">
        <v>3355</v>
      </c>
      <c r="C103" s="23"/>
      <c r="D103" s="23"/>
      <c r="E103" s="23"/>
      <c r="F103" s="23"/>
      <c r="G103" s="23"/>
      <c r="H103" s="23"/>
      <c r="I103" s="23"/>
      <c r="J103" s="23"/>
      <c r="K103" s="23"/>
      <c r="L103" s="23"/>
      <c r="M103" s="23"/>
      <c r="N103" s="23"/>
      <c r="O103" s="23"/>
      <c r="P103" s="23"/>
      <c r="Q103" s="23"/>
      <c r="R103" s="23"/>
      <c r="S103" s="23"/>
    </row>
    <row r="104" spans="1:19" ht="15.75" customHeight="1" x14ac:dyDescent="0.25">
      <c r="A104" s="92" t="s">
        <v>3356</v>
      </c>
      <c r="B104" s="22" t="s">
        <v>3357</v>
      </c>
      <c r="C104" s="23"/>
      <c r="D104" s="23"/>
      <c r="E104" s="23"/>
      <c r="F104" s="23"/>
      <c r="G104" s="23"/>
      <c r="H104" s="23"/>
      <c r="I104" s="23"/>
      <c r="J104" s="23"/>
      <c r="K104" s="23"/>
      <c r="L104" s="23"/>
      <c r="M104" s="23"/>
      <c r="N104" s="23"/>
      <c r="O104" s="23"/>
      <c r="P104" s="23"/>
      <c r="Q104" s="23"/>
      <c r="R104" s="23"/>
      <c r="S104" s="23"/>
    </row>
    <row r="105" spans="1:19" ht="15.75" customHeight="1" x14ac:dyDescent="0.25">
      <c r="A105" s="92" t="s">
        <v>3358</v>
      </c>
      <c r="B105" s="22" t="s">
        <v>3359</v>
      </c>
      <c r="C105" s="23"/>
      <c r="D105" s="23"/>
      <c r="E105" s="23"/>
      <c r="F105" s="23"/>
      <c r="G105" s="23"/>
      <c r="H105" s="23"/>
      <c r="I105" s="23"/>
      <c r="J105" s="23"/>
      <c r="K105" s="23"/>
      <c r="L105" s="23"/>
      <c r="M105" s="23"/>
      <c r="N105" s="23"/>
      <c r="O105" s="23"/>
      <c r="P105" s="23"/>
      <c r="Q105" s="23"/>
      <c r="R105" s="23"/>
      <c r="S105" s="23"/>
    </row>
    <row r="106" spans="1:19" ht="15.75" customHeight="1" x14ac:dyDescent="0.25">
      <c r="A106" s="92" t="s">
        <v>3360</v>
      </c>
      <c r="B106" s="22" t="s">
        <v>3361</v>
      </c>
      <c r="C106" s="23"/>
      <c r="D106" s="23"/>
      <c r="E106" s="23"/>
      <c r="F106" s="23"/>
      <c r="G106" s="23"/>
      <c r="H106" s="23"/>
      <c r="I106" s="23"/>
      <c r="J106" s="23"/>
      <c r="K106" s="23"/>
      <c r="L106" s="23"/>
      <c r="M106" s="23"/>
      <c r="N106" s="23"/>
      <c r="O106" s="23"/>
      <c r="P106" s="23"/>
      <c r="Q106" s="23"/>
      <c r="R106" s="23"/>
      <c r="S106" s="23"/>
    </row>
    <row r="107" spans="1:19" ht="15.75" customHeight="1" x14ac:dyDescent="0.25">
      <c r="A107" s="92" t="s">
        <v>3362</v>
      </c>
      <c r="B107" s="22" t="s">
        <v>3363</v>
      </c>
      <c r="C107" s="23"/>
      <c r="D107" s="23"/>
      <c r="E107" s="23"/>
      <c r="F107" s="23"/>
      <c r="G107" s="23"/>
      <c r="H107" s="23"/>
      <c r="I107" s="23"/>
      <c r="J107" s="23"/>
      <c r="K107" s="23"/>
      <c r="L107" s="23"/>
      <c r="M107" s="23"/>
      <c r="N107" s="23"/>
      <c r="O107" s="23"/>
      <c r="P107" s="23"/>
      <c r="Q107" s="23"/>
      <c r="R107" s="23"/>
      <c r="S107" s="23"/>
    </row>
    <row r="108" spans="1:19" ht="15.75" customHeight="1" x14ac:dyDescent="0.25">
      <c r="A108" s="92" t="s">
        <v>3364</v>
      </c>
      <c r="B108" s="22" t="s">
        <v>3365</v>
      </c>
      <c r="C108" s="23"/>
      <c r="D108" s="23"/>
      <c r="E108" s="23"/>
      <c r="F108" s="23"/>
      <c r="G108" s="23"/>
      <c r="H108" s="23"/>
      <c r="I108" s="23"/>
      <c r="J108" s="23"/>
      <c r="K108" s="23"/>
      <c r="L108" s="23"/>
      <c r="M108" s="23"/>
      <c r="N108" s="23"/>
      <c r="O108" s="23"/>
      <c r="P108" s="23"/>
      <c r="Q108" s="23"/>
      <c r="R108" s="23"/>
      <c r="S108" s="23"/>
    </row>
    <row r="109" spans="1:19" ht="15.75" customHeight="1" x14ac:dyDescent="0.25">
      <c r="A109" s="92" t="s">
        <v>3366</v>
      </c>
      <c r="B109" s="22" t="s">
        <v>3367</v>
      </c>
      <c r="C109" s="23"/>
      <c r="D109" s="23"/>
      <c r="E109" s="23"/>
      <c r="F109" s="23"/>
      <c r="G109" s="23"/>
      <c r="H109" s="23"/>
      <c r="I109" s="23"/>
      <c r="J109" s="23"/>
      <c r="K109" s="23"/>
      <c r="L109" s="23"/>
      <c r="M109" s="23"/>
      <c r="N109" s="23"/>
      <c r="O109" s="23"/>
      <c r="P109" s="23"/>
      <c r="Q109" s="23"/>
      <c r="R109" s="23"/>
      <c r="S109" s="23"/>
    </row>
    <row r="110" spans="1:19" ht="15.75" customHeight="1" x14ac:dyDescent="0.25">
      <c r="A110" s="92" t="s">
        <v>3368</v>
      </c>
      <c r="B110" s="22" t="s">
        <v>3369</v>
      </c>
      <c r="C110" s="23"/>
      <c r="D110" s="23"/>
      <c r="E110" s="23"/>
      <c r="F110" s="23"/>
      <c r="G110" s="23"/>
      <c r="H110" s="23"/>
      <c r="I110" s="23"/>
      <c r="J110" s="23"/>
      <c r="K110" s="23"/>
      <c r="L110" s="23"/>
      <c r="M110" s="23"/>
      <c r="N110" s="23"/>
      <c r="O110" s="23"/>
      <c r="P110" s="23"/>
      <c r="Q110" s="23"/>
      <c r="R110" s="23"/>
      <c r="S110" s="23"/>
    </row>
    <row r="111" spans="1:19" ht="15.75" customHeight="1" x14ac:dyDescent="0.25">
      <c r="A111" s="92" t="s">
        <v>3370</v>
      </c>
      <c r="B111" s="22" t="s">
        <v>3371</v>
      </c>
      <c r="C111" s="23"/>
      <c r="D111" s="23"/>
      <c r="E111" s="23"/>
      <c r="F111" s="23"/>
      <c r="G111" s="23"/>
      <c r="H111" s="23"/>
      <c r="I111" s="23"/>
      <c r="J111" s="23"/>
      <c r="K111" s="23"/>
      <c r="L111" s="23"/>
      <c r="M111" s="23"/>
      <c r="N111" s="23"/>
      <c r="O111" s="23"/>
      <c r="P111" s="23"/>
      <c r="Q111" s="23"/>
      <c r="R111" s="23"/>
      <c r="S111" s="23"/>
    </row>
    <row r="112" spans="1:19" ht="15.75" customHeight="1" x14ac:dyDescent="0.25">
      <c r="A112" s="92" t="s">
        <v>3372</v>
      </c>
      <c r="B112" s="22" t="s">
        <v>3373</v>
      </c>
      <c r="C112" s="23"/>
      <c r="D112" s="23"/>
      <c r="E112" s="23"/>
      <c r="F112" s="23"/>
      <c r="G112" s="23"/>
      <c r="H112" s="23"/>
      <c r="I112" s="23"/>
      <c r="J112" s="23"/>
      <c r="K112" s="23"/>
      <c r="L112" s="23"/>
      <c r="M112" s="23"/>
      <c r="N112" s="23"/>
      <c r="O112" s="23"/>
      <c r="P112" s="23"/>
      <c r="Q112" s="23"/>
      <c r="R112" s="23"/>
      <c r="S112" s="23"/>
    </row>
    <row r="113" spans="1:19" ht="15.75" customHeight="1" x14ac:dyDescent="0.25">
      <c r="A113" s="92" t="s">
        <v>3374</v>
      </c>
      <c r="B113" s="22" t="s">
        <v>3375</v>
      </c>
      <c r="C113" s="23"/>
      <c r="D113" s="23"/>
      <c r="E113" s="23"/>
      <c r="F113" s="23"/>
      <c r="G113" s="23"/>
      <c r="H113" s="23"/>
      <c r="I113" s="23"/>
      <c r="J113" s="23"/>
      <c r="K113" s="23"/>
      <c r="L113" s="23"/>
      <c r="M113" s="23"/>
      <c r="N113" s="23"/>
      <c r="O113" s="23"/>
      <c r="P113" s="23"/>
      <c r="Q113" s="23"/>
      <c r="R113" s="23"/>
      <c r="S113" s="23"/>
    </row>
    <row r="114" spans="1:19" ht="15.75" customHeight="1" x14ac:dyDescent="0.25">
      <c r="A114" s="92" t="s">
        <v>3376</v>
      </c>
      <c r="B114" s="22" t="s">
        <v>3377</v>
      </c>
      <c r="C114" s="23"/>
      <c r="D114" s="23"/>
      <c r="E114" s="23"/>
      <c r="F114" s="23"/>
      <c r="G114" s="23"/>
      <c r="H114" s="23"/>
      <c r="I114" s="23"/>
      <c r="J114" s="23"/>
      <c r="K114" s="23"/>
      <c r="L114" s="23"/>
      <c r="M114" s="23"/>
      <c r="N114" s="23"/>
      <c r="O114" s="23"/>
      <c r="P114" s="23"/>
      <c r="Q114" s="23"/>
      <c r="R114" s="23"/>
      <c r="S114" s="23"/>
    </row>
    <row r="115" spans="1:19" ht="15.75" customHeight="1" x14ac:dyDescent="0.25">
      <c r="A115" s="92" t="s">
        <v>3378</v>
      </c>
      <c r="B115" s="22" t="s">
        <v>3379</v>
      </c>
      <c r="C115" s="23"/>
      <c r="D115" s="23"/>
      <c r="E115" s="23"/>
      <c r="F115" s="23"/>
      <c r="G115" s="23"/>
      <c r="H115" s="23"/>
      <c r="I115" s="23"/>
      <c r="J115" s="23"/>
      <c r="K115" s="23"/>
      <c r="L115" s="23"/>
      <c r="M115" s="23"/>
      <c r="N115" s="23"/>
      <c r="O115" s="23"/>
      <c r="P115" s="23"/>
      <c r="Q115" s="23"/>
      <c r="R115" s="23"/>
      <c r="S115" s="23"/>
    </row>
    <row r="116" spans="1:19" ht="15.75" customHeight="1" x14ac:dyDescent="0.25">
      <c r="A116" s="92" t="s">
        <v>3380</v>
      </c>
      <c r="B116" s="22" t="s">
        <v>3381</v>
      </c>
      <c r="C116" s="23"/>
      <c r="D116" s="23"/>
      <c r="E116" s="23"/>
      <c r="F116" s="23"/>
      <c r="G116" s="23"/>
      <c r="H116" s="23"/>
      <c r="I116" s="23"/>
      <c r="J116" s="23"/>
      <c r="K116" s="23"/>
      <c r="L116" s="23"/>
      <c r="M116" s="23"/>
      <c r="N116" s="23"/>
      <c r="O116" s="23"/>
      <c r="P116" s="23"/>
      <c r="Q116" s="23"/>
      <c r="R116" s="23"/>
      <c r="S116" s="23"/>
    </row>
    <row r="117" spans="1:19" ht="15.75" customHeight="1" x14ac:dyDescent="0.25">
      <c r="A117" s="92" t="s">
        <v>3382</v>
      </c>
      <c r="B117" s="22" t="s">
        <v>3383</v>
      </c>
      <c r="C117" s="23"/>
      <c r="D117" s="23"/>
      <c r="E117" s="23"/>
      <c r="F117" s="23"/>
      <c r="G117" s="23"/>
      <c r="H117" s="23"/>
      <c r="I117" s="23"/>
      <c r="J117" s="23"/>
      <c r="K117" s="23"/>
      <c r="L117" s="23"/>
      <c r="M117" s="23"/>
      <c r="N117" s="23"/>
      <c r="O117" s="23"/>
      <c r="P117" s="23"/>
      <c r="Q117" s="23"/>
      <c r="R117" s="23"/>
      <c r="S117" s="23"/>
    </row>
    <row r="118" spans="1:19" ht="15.75" customHeight="1" x14ac:dyDescent="0.25">
      <c r="A118" s="92" t="s">
        <v>3384</v>
      </c>
      <c r="B118" s="22" t="s">
        <v>3385</v>
      </c>
      <c r="C118" s="23"/>
      <c r="D118" s="23"/>
      <c r="E118" s="23"/>
      <c r="F118" s="23"/>
      <c r="G118" s="23"/>
      <c r="H118" s="23"/>
      <c r="I118" s="23"/>
      <c r="J118" s="23"/>
      <c r="K118" s="23"/>
      <c r="L118" s="23"/>
      <c r="M118" s="23"/>
      <c r="N118" s="23"/>
      <c r="O118" s="23"/>
      <c r="P118" s="23"/>
      <c r="Q118" s="23"/>
      <c r="R118" s="23"/>
      <c r="S118" s="23"/>
    </row>
    <row r="119" spans="1:19" ht="15.75" customHeight="1" x14ac:dyDescent="0.25">
      <c r="A119" s="92" t="s">
        <v>3386</v>
      </c>
      <c r="B119" s="22" t="s">
        <v>3387</v>
      </c>
      <c r="C119" s="23"/>
      <c r="D119" s="23"/>
      <c r="E119" s="23"/>
      <c r="F119" s="23"/>
      <c r="G119" s="23"/>
      <c r="H119" s="23"/>
      <c r="I119" s="23"/>
      <c r="J119" s="23"/>
      <c r="K119" s="23"/>
      <c r="L119" s="23"/>
      <c r="M119" s="23"/>
      <c r="N119" s="23"/>
      <c r="O119" s="23"/>
      <c r="P119" s="23"/>
      <c r="Q119" s="23"/>
      <c r="R119" s="23"/>
      <c r="S119" s="23"/>
    </row>
    <row r="120" spans="1:19" ht="15.75" customHeight="1" x14ac:dyDescent="0.25">
      <c r="A120" s="92" t="s">
        <v>3388</v>
      </c>
      <c r="B120" s="22" t="s">
        <v>3389</v>
      </c>
      <c r="C120" s="23"/>
      <c r="D120" s="23"/>
      <c r="E120" s="23"/>
      <c r="F120" s="23"/>
      <c r="G120" s="23"/>
      <c r="H120" s="23"/>
      <c r="I120" s="23"/>
      <c r="J120" s="23"/>
      <c r="K120" s="23"/>
      <c r="L120" s="23"/>
      <c r="M120" s="23"/>
      <c r="N120" s="23"/>
      <c r="O120" s="23"/>
      <c r="P120" s="23"/>
      <c r="Q120" s="23"/>
      <c r="R120" s="23"/>
      <c r="S120" s="23"/>
    </row>
    <row r="121" spans="1:19" ht="15.75" customHeight="1" x14ac:dyDescent="0.25">
      <c r="A121" s="92" t="s">
        <v>3390</v>
      </c>
      <c r="B121" s="22" t="s">
        <v>3391</v>
      </c>
      <c r="C121" s="23"/>
      <c r="D121" s="23"/>
      <c r="E121" s="23"/>
      <c r="F121" s="23"/>
      <c r="G121" s="23"/>
      <c r="H121" s="23"/>
      <c r="I121" s="23"/>
      <c r="J121" s="23"/>
      <c r="K121" s="23"/>
      <c r="L121" s="23"/>
      <c r="M121" s="23"/>
      <c r="N121" s="23"/>
      <c r="O121" s="23"/>
      <c r="P121" s="23"/>
      <c r="Q121" s="23"/>
      <c r="R121" s="23"/>
      <c r="S121" s="23"/>
    </row>
    <row r="122" spans="1:19" ht="15.75" customHeight="1" x14ac:dyDescent="0.25">
      <c r="A122" s="92" t="s">
        <v>3392</v>
      </c>
      <c r="B122" s="22" t="s">
        <v>3393</v>
      </c>
      <c r="C122" s="23"/>
      <c r="D122" s="23"/>
      <c r="E122" s="23"/>
      <c r="F122" s="23"/>
      <c r="G122" s="23"/>
      <c r="H122" s="23"/>
      <c r="I122" s="23"/>
      <c r="J122" s="23"/>
      <c r="K122" s="23"/>
      <c r="L122" s="23"/>
      <c r="M122" s="23"/>
      <c r="N122" s="23"/>
      <c r="O122" s="23"/>
      <c r="P122" s="23"/>
      <c r="Q122" s="23"/>
      <c r="R122" s="23"/>
      <c r="S122" s="23"/>
    </row>
    <row r="123" spans="1:19" ht="15.75" customHeight="1" x14ac:dyDescent="0.25">
      <c r="A123" s="92" t="s">
        <v>3394</v>
      </c>
      <c r="B123" s="22" t="s">
        <v>3395</v>
      </c>
      <c r="C123" s="23"/>
      <c r="D123" s="23"/>
      <c r="E123" s="23"/>
      <c r="F123" s="23"/>
      <c r="G123" s="23"/>
      <c r="H123" s="23"/>
      <c r="I123" s="23"/>
      <c r="J123" s="23"/>
      <c r="K123" s="23"/>
      <c r="L123" s="23"/>
      <c r="M123" s="23"/>
      <c r="N123" s="23"/>
      <c r="O123" s="23"/>
      <c r="P123" s="23"/>
      <c r="Q123" s="23"/>
      <c r="R123" s="23"/>
      <c r="S123" s="23"/>
    </row>
    <row r="124" spans="1:19" ht="15.75" customHeight="1" x14ac:dyDescent="0.25">
      <c r="A124" s="92" t="s">
        <v>3396</v>
      </c>
      <c r="B124" s="22" t="s">
        <v>3397</v>
      </c>
      <c r="C124" s="23"/>
      <c r="D124" s="23"/>
      <c r="E124" s="23"/>
      <c r="F124" s="23"/>
      <c r="G124" s="23"/>
      <c r="H124" s="23"/>
      <c r="I124" s="23"/>
      <c r="J124" s="23"/>
      <c r="K124" s="23"/>
      <c r="L124" s="23"/>
      <c r="M124" s="23"/>
      <c r="N124" s="23"/>
      <c r="O124" s="23"/>
      <c r="P124" s="23"/>
      <c r="Q124" s="23"/>
      <c r="R124" s="23"/>
      <c r="S124" s="23"/>
    </row>
    <row r="125" spans="1:19" ht="15.75" customHeight="1" x14ac:dyDescent="0.25">
      <c r="A125" s="92" t="s">
        <v>3398</v>
      </c>
      <c r="B125" s="22" t="s">
        <v>3399</v>
      </c>
      <c r="C125" s="23"/>
      <c r="D125" s="23"/>
      <c r="E125" s="23"/>
      <c r="F125" s="23"/>
      <c r="G125" s="23"/>
      <c r="H125" s="23"/>
      <c r="I125" s="23"/>
      <c r="J125" s="23"/>
      <c r="K125" s="23"/>
      <c r="L125" s="23"/>
      <c r="M125" s="23"/>
      <c r="N125" s="23"/>
      <c r="O125" s="23"/>
      <c r="P125" s="23"/>
      <c r="Q125" s="23"/>
      <c r="R125" s="23"/>
      <c r="S125" s="23"/>
    </row>
    <row r="126" spans="1:19" ht="15.75" customHeight="1" x14ac:dyDescent="0.25">
      <c r="A126" s="92" t="s">
        <v>3400</v>
      </c>
      <c r="B126" s="22" t="s">
        <v>3401</v>
      </c>
      <c r="C126" s="23"/>
      <c r="D126" s="23"/>
      <c r="E126" s="23"/>
      <c r="F126" s="23"/>
      <c r="G126" s="23"/>
      <c r="H126" s="23"/>
      <c r="I126" s="23"/>
      <c r="J126" s="23"/>
      <c r="K126" s="23"/>
      <c r="L126" s="23"/>
      <c r="M126" s="23"/>
      <c r="N126" s="23"/>
      <c r="O126" s="23"/>
      <c r="P126" s="23"/>
      <c r="Q126" s="23"/>
      <c r="R126" s="23"/>
      <c r="S126" s="23"/>
    </row>
    <row r="127" spans="1:19" ht="15.75" customHeight="1" x14ac:dyDescent="0.25">
      <c r="A127" s="92" t="s">
        <v>3402</v>
      </c>
      <c r="B127" s="22" t="s">
        <v>3403</v>
      </c>
      <c r="C127" s="23"/>
      <c r="D127" s="23"/>
      <c r="E127" s="23"/>
      <c r="F127" s="23"/>
      <c r="G127" s="23"/>
      <c r="H127" s="23"/>
      <c r="I127" s="23"/>
      <c r="J127" s="23"/>
      <c r="K127" s="23"/>
      <c r="L127" s="23"/>
      <c r="M127" s="23"/>
      <c r="N127" s="23"/>
      <c r="O127" s="23"/>
      <c r="P127" s="23"/>
      <c r="Q127" s="23"/>
      <c r="R127" s="23"/>
      <c r="S127" s="23"/>
    </row>
    <row r="128" spans="1:19" ht="15.75" customHeight="1" x14ac:dyDescent="0.25">
      <c r="A128" s="92" t="s">
        <v>3404</v>
      </c>
      <c r="B128" s="22" t="s">
        <v>3405</v>
      </c>
      <c r="C128" s="23"/>
      <c r="D128" s="23"/>
      <c r="E128" s="23"/>
      <c r="F128" s="23"/>
      <c r="G128" s="23"/>
      <c r="H128" s="23"/>
      <c r="I128" s="23"/>
      <c r="J128" s="23"/>
      <c r="K128" s="23"/>
      <c r="L128" s="23"/>
      <c r="M128" s="23"/>
      <c r="N128" s="23"/>
      <c r="O128" s="23"/>
      <c r="P128" s="23"/>
      <c r="Q128" s="23"/>
      <c r="R128" s="23"/>
      <c r="S128" s="23"/>
    </row>
    <row r="129" spans="1:19" ht="15.75" customHeight="1" x14ac:dyDescent="0.25">
      <c r="A129" s="92" t="s">
        <v>3406</v>
      </c>
      <c r="B129" s="22" t="s">
        <v>3407</v>
      </c>
      <c r="C129" s="23"/>
      <c r="D129" s="23"/>
      <c r="E129" s="23"/>
      <c r="F129" s="23"/>
      <c r="G129" s="23"/>
      <c r="H129" s="23"/>
      <c r="I129" s="23"/>
      <c r="J129" s="23"/>
      <c r="K129" s="23"/>
      <c r="L129" s="23"/>
      <c r="M129" s="23"/>
      <c r="N129" s="23"/>
      <c r="O129" s="23"/>
      <c r="P129" s="23"/>
      <c r="Q129" s="23"/>
      <c r="R129" s="23"/>
      <c r="S129" s="23"/>
    </row>
    <row r="130" spans="1:19" ht="15.75" customHeight="1" x14ac:dyDescent="0.25">
      <c r="A130" s="92" t="s">
        <v>3408</v>
      </c>
      <c r="B130" s="22" t="s">
        <v>3409</v>
      </c>
      <c r="C130" s="23"/>
      <c r="D130" s="23"/>
      <c r="E130" s="23"/>
      <c r="F130" s="23"/>
      <c r="G130" s="23"/>
      <c r="H130" s="23"/>
      <c r="I130" s="23"/>
      <c r="J130" s="23"/>
      <c r="K130" s="23"/>
      <c r="L130" s="23"/>
      <c r="M130" s="23"/>
      <c r="N130" s="23"/>
      <c r="O130" s="23"/>
      <c r="P130" s="23"/>
      <c r="Q130" s="23"/>
      <c r="R130" s="23"/>
      <c r="S130" s="23"/>
    </row>
    <row r="131" spans="1:19" ht="15.75" customHeight="1" x14ac:dyDescent="0.25">
      <c r="A131" s="92" t="s">
        <v>3410</v>
      </c>
      <c r="B131" s="22" t="s">
        <v>3411</v>
      </c>
      <c r="C131" s="23"/>
      <c r="D131" s="23"/>
      <c r="E131" s="23"/>
      <c r="F131" s="23"/>
      <c r="G131" s="23"/>
      <c r="H131" s="23"/>
      <c r="I131" s="23"/>
      <c r="J131" s="23"/>
      <c r="K131" s="23"/>
      <c r="L131" s="23"/>
      <c r="M131" s="23"/>
      <c r="N131" s="23"/>
      <c r="O131" s="23"/>
      <c r="P131" s="23"/>
      <c r="Q131" s="23"/>
      <c r="R131" s="23"/>
      <c r="S131" s="23"/>
    </row>
    <row r="132" spans="1:19" ht="15.75" customHeight="1" x14ac:dyDescent="0.25">
      <c r="A132" s="92" t="s">
        <v>3412</v>
      </c>
      <c r="B132" s="22" t="s">
        <v>3413</v>
      </c>
      <c r="C132" s="23"/>
      <c r="D132" s="23"/>
      <c r="E132" s="23"/>
      <c r="F132" s="23"/>
      <c r="G132" s="23"/>
      <c r="H132" s="23"/>
      <c r="I132" s="23"/>
      <c r="J132" s="23"/>
      <c r="K132" s="23"/>
      <c r="L132" s="23"/>
      <c r="M132" s="23"/>
      <c r="N132" s="23"/>
      <c r="O132" s="23"/>
      <c r="P132" s="23"/>
      <c r="Q132" s="23"/>
      <c r="R132" s="23"/>
      <c r="S132" s="23"/>
    </row>
    <row r="133" spans="1:19" ht="15.75" customHeight="1" x14ac:dyDescent="0.25">
      <c r="A133" s="92" t="s">
        <v>3414</v>
      </c>
      <c r="B133" s="22" t="s">
        <v>3415</v>
      </c>
      <c r="C133" s="23"/>
      <c r="D133" s="23"/>
      <c r="E133" s="23"/>
      <c r="F133" s="23"/>
      <c r="G133" s="23"/>
      <c r="H133" s="23"/>
      <c r="I133" s="23"/>
      <c r="J133" s="23"/>
      <c r="K133" s="23"/>
      <c r="L133" s="23"/>
      <c r="M133" s="23"/>
      <c r="N133" s="23"/>
      <c r="O133" s="23"/>
      <c r="P133" s="23"/>
      <c r="Q133" s="23"/>
      <c r="R133" s="23"/>
      <c r="S133" s="23"/>
    </row>
    <row r="134" spans="1:19" ht="15.75" customHeight="1" x14ac:dyDescent="0.25">
      <c r="A134" s="92" t="s">
        <v>3416</v>
      </c>
      <c r="B134" s="22" t="s">
        <v>3417</v>
      </c>
      <c r="C134" s="23"/>
      <c r="D134" s="23"/>
      <c r="E134" s="23"/>
      <c r="F134" s="23"/>
      <c r="G134" s="23"/>
      <c r="H134" s="23"/>
      <c r="I134" s="23"/>
      <c r="J134" s="23"/>
      <c r="K134" s="23"/>
      <c r="L134" s="23"/>
      <c r="M134" s="23"/>
      <c r="N134" s="23"/>
      <c r="O134" s="23"/>
      <c r="P134" s="23"/>
      <c r="Q134" s="23"/>
      <c r="R134" s="23"/>
      <c r="S134" s="23"/>
    </row>
    <row r="135" spans="1:19" ht="15.75" customHeight="1" x14ac:dyDescent="0.25">
      <c r="A135" s="92" t="s">
        <v>3418</v>
      </c>
      <c r="B135" s="22" t="s">
        <v>3419</v>
      </c>
      <c r="C135" s="23"/>
      <c r="D135" s="23"/>
      <c r="E135" s="23"/>
      <c r="F135" s="23"/>
      <c r="G135" s="23"/>
      <c r="H135" s="23"/>
      <c r="I135" s="23"/>
      <c r="J135" s="23"/>
      <c r="K135" s="23"/>
      <c r="L135" s="23"/>
      <c r="M135" s="23"/>
      <c r="N135" s="23"/>
      <c r="O135" s="23"/>
      <c r="P135" s="23"/>
      <c r="Q135" s="23"/>
      <c r="R135" s="23"/>
      <c r="S135" s="23"/>
    </row>
    <row r="136" spans="1:19" ht="15.75" customHeight="1" x14ac:dyDescent="0.25">
      <c r="A136" s="92" t="s">
        <v>3420</v>
      </c>
      <c r="B136" s="22" t="s">
        <v>3421</v>
      </c>
      <c r="C136" s="23"/>
      <c r="D136" s="23"/>
      <c r="E136" s="23"/>
      <c r="F136" s="23"/>
      <c r="G136" s="23"/>
      <c r="H136" s="23"/>
      <c r="I136" s="23"/>
      <c r="J136" s="23"/>
      <c r="K136" s="23"/>
      <c r="L136" s="23"/>
      <c r="M136" s="23"/>
      <c r="N136" s="23"/>
      <c r="O136" s="23"/>
      <c r="P136" s="23"/>
      <c r="Q136" s="23"/>
      <c r="R136" s="23"/>
      <c r="S136" s="23"/>
    </row>
    <row r="137" spans="1:19" ht="15.75" customHeight="1" x14ac:dyDescent="0.25">
      <c r="A137" s="92" t="s">
        <v>3422</v>
      </c>
      <c r="B137" s="22" t="s">
        <v>3423</v>
      </c>
      <c r="C137" s="23"/>
      <c r="D137" s="23"/>
      <c r="E137" s="23"/>
      <c r="F137" s="23"/>
      <c r="G137" s="23"/>
      <c r="H137" s="23"/>
      <c r="I137" s="23"/>
      <c r="J137" s="23"/>
      <c r="K137" s="23"/>
      <c r="L137" s="23"/>
      <c r="M137" s="23"/>
      <c r="N137" s="23"/>
      <c r="O137" s="23"/>
      <c r="P137" s="23"/>
      <c r="Q137" s="23"/>
      <c r="R137" s="23"/>
      <c r="S137" s="23"/>
    </row>
    <row r="138" spans="1:19" ht="15.75" customHeight="1" x14ac:dyDescent="0.25">
      <c r="A138" s="92" t="s">
        <v>3424</v>
      </c>
      <c r="B138" s="22" t="s">
        <v>3425</v>
      </c>
      <c r="C138" s="23"/>
      <c r="D138" s="23"/>
      <c r="E138" s="23"/>
      <c r="F138" s="23"/>
      <c r="G138" s="23"/>
      <c r="H138" s="23"/>
      <c r="I138" s="23"/>
      <c r="J138" s="23"/>
      <c r="K138" s="23"/>
      <c r="L138" s="23"/>
      <c r="M138" s="23"/>
      <c r="N138" s="23"/>
      <c r="O138" s="23"/>
      <c r="P138" s="23"/>
      <c r="Q138" s="23"/>
      <c r="R138" s="23"/>
      <c r="S138" s="23"/>
    </row>
    <row r="139" spans="1:19" ht="15.75" customHeight="1" x14ac:dyDescent="0.25">
      <c r="A139" s="92" t="s">
        <v>3426</v>
      </c>
      <c r="B139" s="22" t="s">
        <v>3427</v>
      </c>
      <c r="C139" s="23"/>
      <c r="D139" s="23"/>
      <c r="E139" s="23"/>
      <c r="F139" s="23"/>
      <c r="G139" s="23"/>
      <c r="H139" s="23"/>
      <c r="I139" s="23"/>
      <c r="J139" s="23"/>
      <c r="K139" s="23"/>
      <c r="L139" s="23"/>
      <c r="M139" s="23"/>
      <c r="N139" s="23"/>
      <c r="O139" s="23"/>
      <c r="P139" s="23"/>
      <c r="Q139" s="23"/>
      <c r="R139" s="23"/>
      <c r="S139" s="23"/>
    </row>
    <row r="140" spans="1:19" ht="15.75" customHeight="1" x14ac:dyDescent="0.25">
      <c r="A140" s="92" t="s">
        <v>3428</v>
      </c>
      <c r="B140" s="22" t="s">
        <v>3429</v>
      </c>
      <c r="C140" s="23"/>
      <c r="D140" s="23"/>
      <c r="E140" s="23"/>
      <c r="F140" s="23"/>
      <c r="G140" s="23"/>
      <c r="H140" s="23"/>
      <c r="I140" s="23"/>
      <c r="J140" s="23"/>
      <c r="K140" s="23"/>
      <c r="L140" s="23"/>
      <c r="M140" s="23"/>
      <c r="N140" s="23"/>
      <c r="O140" s="23"/>
      <c r="P140" s="23"/>
      <c r="Q140" s="23"/>
      <c r="R140" s="23"/>
      <c r="S140" s="23"/>
    </row>
    <row r="141" spans="1:19" ht="15.75" customHeight="1" x14ac:dyDescent="0.25">
      <c r="A141" s="92" t="s">
        <v>3430</v>
      </c>
      <c r="B141" s="22" t="s">
        <v>3431</v>
      </c>
      <c r="C141" s="23"/>
      <c r="D141" s="23"/>
      <c r="E141" s="23"/>
      <c r="F141" s="23"/>
      <c r="G141" s="23"/>
      <c r="H141" s="23"/>
      <c r="I141" s="23"/>
      <c r="J141" s="23"/>
      <c r="K141" s="23"/>
      <c r="L141" s="23"/>
      <c r="M141" s="23"/>
      <c r="N141" s="23"/>
      <c r="O141" s="23"/>
      <c r="P141" s="23"/>
      <c r="Q141" s="23"/>
      <c r="R141" s="23"/>
      <c r="S141" s="23"/>
    </row>
    <row r="142" spans="1:19" ht="15.75" customHeight="1" x14ac:dyDescent="0.25">
      <c r="A142" s="92" t="s">
        <v>3432</v>
      </c>
      <c r="B142" s="22" t="s">
        <v>3431</v>
      </c>
      <c r="C142" s="23"/>
      <c r="D142" s="23"/>
      <c r="E142" s="23"/>
      <c r="F142" s="23"/>
      <c r="G142" s="23"/>
      <c r="H142" s="23"/>
      <c r="I142" s="23"/>
      <c r="J142" s="23"/>
      <c r="K142" s="23"/>
      <c r="L142" s="23"/>
      <c r="M142" s="23"/>
      <c r="N142" s="23"/>
      <c r="O142" s="23"/>
      <c r="P142" s="23"/>
      <c r="Q142" s="23"/>
      <c r="R142" s="23"/>
      <c r="S142" s="23"/>
    </row>
    <row r="143" spans="1:19" ht="15.75" customHeight="1" x14ac:dyDescent="0.25">
      <c r="A143" s="92" t="s">
        <v>3433</v>
      </c>
      <c r="B143" s="22" t="s">
        <v>3431</v>
      </c>
      <c r="C143" s="23"/>
      <c r="D143" s="23"/>
      <c r="E143" s="23"/>
      <c r="F143" s="23"/>
      <c r="G143" s="23"/>
      <c r="H143" s="23"/>
      <c r="I143" s="23"/>
      <c r="J143" s="23"/>
      <c r="K143" s="23"/>
      <c r="L143" s="23"/>
      <c r="M143" s="23"/>
      <c r="N143" s="23"/>
      <c r="O143" s="23"/>
      <c r="P143" s="23"/>
      <c r="Q143" s="23"/>
      <c r="R143" s="23"/>
      <c r="S143" s="23"/>
    </row>
    <row r="144" spans="1:19" ht="15.75" customHeight="1" x14ac:dyDescent="0.25">
      <c r="A144" s="92" t="s">
        <v>3434</v>
      </c>
      <c r="B144" s="22" t="s">
        <v>3431</v>
      </c>
      <c r="C144" s="23"/>
      <c r="D144" s="23"/>
      <c r="E144" s="23"/>
      <c r="F144" s="23"/>
      <c r="G144" s="23"/>
      <c r="H144" s="23"/>
      <c r="I144" s="23"/>
      <c r="J144" s="23"/>
      <c r="K144" s="23"/>
      <c r="L144" s="23"/>
      <c r="M144" s="23"/>
      <c r="N144" s="23"/>
      <c r="O144" s="23"/>
      <c r="P144" s="23"/>
      <c r="Q144" s="23"/>
      <c r="R144" s="23"/>
      <c r="S144" s="23"/>
    </row>
    <row r="145" spans="1:19" ht="15.75" customHeight="1" x14ac:dyDescent="0.25">
      <c r="A145" s="92" t="s">
        <v>3435</v>
      </c>
      <c r="B145" s="22" t="s">
        <v>3436</v>
      </c>
      <c r="C145" s="23"/>
      <c r="D145" s="23"/>
      <c r="E145" s="23"/>
      <c r="F145" s="23"/>
      <c r="G145" s="23"/>
      <c r="H145" s="23"/>
      <c r="I145" s="23"/>
      <c r="J145" s="23"/>
      <c r="K145" s="23"/>
      <c r="L145" s="23"/>
      <c r="M145" s="23"/>
      <c r="N145" s="23"/>
      <c r="O145" s="23"/>
      <c r="P145" s="23"/>
      <c r="Q145" s="23"/>
      <c r="R145" s="23"/>
      <c r="S145" s="23"/>
    </row>
    <row r="146" spans="1:19" ht="15.75" customHeight="1" x14ac:dyDescent="0.25">
      <c r="A146" s="92" t="s">
        <v>3437</v>
      </c>
      <c r="B146" s="22" t="s">
        <v>3438</v>
      </c>
      <c r="C146" s="23"/>
      <c r="D146" s="23"/>
      <c r="E146" s="23"/>
      <c r="F146" s="23"/>
      <c r="G146" s="23"/>
      <c r="H146" s="23"/>
      <c r="I146" s="23"/>
      <c r="J146" s="23"/>
      <c r="K146" s="23"/>
      <c r="L146" s="23"/>
      <c r="M146" s="23"/>
      <c r="N146" s="23"/>
      <c r="O146" s="23"/>
      <c r="P146" s="23"/>
      <c r="Q146" s="23"/>
      <c r="R146" s="23"/>
      <c r="S146" s="23"/>
    </row>
    <row r="147" spans="1:19" ht="15.75" customHeight="1" x14ac:dyDescent="0.25">
      <c r="A147" s="92" t="s">
        <v>3439</v>
      </c>
      <c r="B147" s="22" t="s">
        <v>3440</v>
      </c>
      <c r="C147" s="23"/>
      <c r="D147" s="23"/>
      <c r="E147" s="23"/>
      <c r="F147" s="23"/>
      <c r="G147" s="23"/>
      <c r="H147" s="23"/>
      <c r="I147" s="23"/>
      <c r="J147" s="23"/>
      <c r="K147" s="23"/>
      <c r="L147" s="23"/>
      <c r="M147" s="23"/>
      <c r="N147" s="23"/>
      <c r="O147" s="23"/>
      <c r="P147" s="23"/>
      <c r="Q147" s="23"/>
      <c r="R147" s="23"/>
      <c r="S147" s="23"/>
    </row>
    <row r="148" spans="1:19" ht="15.75" customHeight="1" x14ac:dyDescent="0.25">
      <c r="A148" s="92" t="s">
        <v>3441</v>
      </c>
      <c r="B148" s="22" t="s">
        <v>3442</v>
      </c>
      <c r="C148" s="23"/>
      <c r="D148" s="23"/>
      <c r="E148" s="23"/>
      <c r="F148" s="23"/>
      <c r="G148" s="23"/>
      <c r="H148" s="23"/>
      <c r="I148" s="23"/>
      <c r="J148" s="23"/>
      <c r="K148" s="23"/>
      <c r="L148" s="23"/>
      <c r="M148" s="23"/>
      <c r="N148" s="23"/>
      <c r="O148" s="23"/>
      <c r="P148" s="23"/>
      <c r="Q148" s="23"/>
      <c r="R148" s="23"/>
      <c r="S148" s="23"/>
    </row>
    <row r="149" spans="1:19" ht="15.75" customHeight="1" x14ac:dyDescent="0.25">
      <c r="A149" s="92" t="s">
        <v>3443</v>
      </c>
      <c r="B149" s="22" t="s">
        <v>3442</v>
      </c>
      <c r="C149" s="23"/>
      <c r="D149" s="23"/>
      <c r="E149" s="23"/>
      <c r="F149" s="23"/>
      <c r="G149" s="23"/>
      <c r="H149" s="23"/>
      <c r="I149" s="23"/>
      <c r="J149" s="23"/>
      <c r="K149" s="23"/>
      <c r="L149" s="23"/>
      <c r="M149" s="23"/>
      <c r="N149" s="23"/>
      <c r="O149" s="23"/>
      <c r="P149" s="23"/>
      <c r="Q149" s="23"/>
      <c r="R149" s="23"/>
      <c r="S149" s="23"/>
    </row>
    <row r="150" spans="1:19" ht="15.75" customHeight="1" x14ac:dyDescent="0.25">
      <c r="A150" s="92" t="s">
        <v>3444</v>
      </c>
      <c r="B150" s="22" t="s">
        <v>3442</v>
      </c>
      <c r="C150" s="23"/>
      <c r="D150" s="23"/>
      <c r="E150" s="23"/>
      <c r="F150" s="23"/>
      <c r="G150" s="23"/>
      <c r="H150" s="23"/>
      <c r="I150" s="23"/>
      <c r="J150" s="23"/>
      <c r="K150" s="23"/>
      <c r="L150" s="23"/>
      <c r="M150" s="23"/>
      <c r="N150" s="23"/>
      <c r="O150" s="23"/>
      <c r="P150" s="23"/>
      <c r="Q150" s="23"/>
      <c r="R150" s="23"/>
      <c r="S150" s="23"/>
    </row>
    <row r="151" spans="1:19" ht="15.75" customHeight="1" x14ac:dyDescent="0.25">
      <c r="A151" s="92" t="s">
        <v>3445</v>
      </c>
      <c r="B151" s="22" t="s">
        <v>3442</v>
      </c>
      <c r="C151" s="23"/>
      <c r="D151" s="23"/>
      <c r="E151" s="23"/>
      <c r="F151" s="23"/>
      <c r="G151" s="23"/>
      <c r="H151" s="23"/>
      <c r="I151" s="23"/>
      <c r="J151" s="23"/>
      <c r="K151" s="23"/>
      <c r="L151" s="23"/>
      <c r="M151" s="23"/>
      <c r="N151" s="23"/>
      <c r="O151" s="23"/>
      <c r="P151" s="23"/>
      <c r="Q151" s="23"/>
      <c r="R151" s="23"/>
      <c r="S151" s="23"/>
    </row>
    <row r="152" spans="1:19" ht="15.75" customHeight="1" x14ac:dyDescent="0.25">
      <c r="A152" s="92" t="s">
        <v>3446</v>
      </c>
      <c r="B152" s="22" t="s">
        <v>3442</v>
      </c>
      <c r="C152" s="23"/>
      <c r="D152" s="23"/>
      <c r="E152" s="23"/>
      <c r="F152" s="23"/>
      <c r="G152" s="23"/>
      <c r="H152" s="23"/>
      <c r="I152" s="23"/>
      <c r="J152" s="23"/>
      <c r="K152" s="23"/>
      <c r="L152" s="23"/>
      <c r="M152" s="23"/>
      <c r="N152" s="23"/>
      <c r="O152" s="23"/>
      <c r="P152" s="23"/>
      <c r="Q152" s="23"/>
      <c r="R152" s="23"/>
      <c r="S152" s="23"/>
    </row>
    <row r="153" spans="1:19" ht="15.75" customHeight="1" x14ac:dyDescent="0.25">
      <c r="A153" s="92" t="s">
        <v>3447</v>
      </c>
      <c r="B153" s="22" t="s">
        <v>3442</v>
      </c>
      <c r="C153" s="23"/>
      <c r="D153" s="23"/>
      <c r="E153" s="23"/>
      <c r="F153" s="23"/>
      <c r="G153" s="23"/>
      <c r="H153" s="23"/>
      <c r="I153" s="23"/>
      <c r="J153" s="23"/>
      <c r="K153" s="23"/>
      <c r="L153" s="23"/>
      <c r="M153" s="23"/>
      <c r="N153" s="23"/>
      <c r="O153" s="23"/>
      <c r="P153" s="23"/>
      <c r="Q153" s="23"/>
      <c r="R153" s="23"/>
      <c r="S153" s="23"/>
    </row>
    <row r="154" spans="1:19" ht="15.75" customHeight="1" x14ac:dyDescent="0.25">
      <c r="A154" s="92" t="s">
        <v>3448</v>
      </c>
      <c r="B154" s="22" t="s">
        <v>3442</v>
      </c>
      <c r="C154" s="23"/>
      <c r="D154" s="23"/>
      <c r="E154" s="23"/>
      <c r="F154" s="23"/>
      <c r="G154" s="23"/>
      <c r="H154" s="23"/>
      <c r="I154" s="23"/>
      <c r="J154" s="23"/>
      <c r="K154" s="23"/>
      <c r="L154" s="23"/>
      <c r="M154" s="23"/>
      <c r="N154" s="23"/>
      <c r="O154" s="23"/>
      <c r="P154" s="23"/>
      <c r="Q154" s="23"/>
      <c r="R154" s="23"/>
      <c r="S154" s="23"/>
    </row>
    <row r="155" spans="1:19" ht="15.75" customHeight="1" x14ac:dyDescent="0.25">
      <c r="A155" s="92" t="s">
        <v>3449</v>
      </c>
      <c r="B155" s="22" t="s">
        <v>3442</v>
      </c>
      <c r="C155" s="23"/>
      <c r="D155" s="23"/>
      <c r="E155" s="23"/>
      <c r="F155" s="23"/>
      <c r="G155" s="23"/>
      <c r="H155" s="23"/>
      <c r="I155" s="23"/>
      <c r="J155" s="23"/>
      <c r="K155" s="23"/>
      <c r="L155" s="23"/>
      <c r="M155" s="23"/>
      <c r="N155" s="23"/>
      <c r="O155" s="23"/>
      <c r="P155" s="23"/>
      <c r="Q155" s="23"/>
      <c r="R155" s="23"/>
      <c r="S155" s="23"/>
    </row>
    <row r="156" spans="1:19" ht="15.75" customHeight="1" x14ac:dyDescent="0.25">
      <c r="A156" s="92" t="s">
        <v>3450</v>
      </c>
      <c r="B156" s="22" t="s">
        <v>3442</v>
      </c>
      <c r="C156" s="23"/>
      <c r="D156" s="23"/>
      <c r="E156" s="23"/>
      <c r="F156" s="23"/>
      <c r="G156" s="23"/>
      <c r="H156" s="23"/>
      <c r="I156" s="23"/>
      <c r="J156" s="23"/>
      <c r="K156" s="23"/>
      <c r="L156" s="23"/>
      <c r="M156" s="23"/>
      <c r="N156" s="23"/>
      <c r="O156" s="23"/>
      <c r="P156" s="23"/>
      <c r="Q156" s="23"/>
      <c r="R156" s="23"/>
      <c r="S156" s="23"/>
    </row>
    <row r="157" spans="1:19" ht="15.75" customHeight="1" x14ac:dyDescent="0.25">
      <c r="A157" s="92" t="s">
        <v>3451</v>
      </c>
      <c r="B157" s="22" t="s">
        <v>3442</v>
      </c>
      <c r="C157" s="23"/>
      <c r="D157" s="23"/>
      <c r="E157" s="23"/>
      <c r="F157" s="23"/>
      <c r="G157" s="23"/>
      <c r="H157" s="23"/>
      <c r="I157" s="23"/>
      <c r="J157" s="23"/>
      <c r="K157" s="23"/>
      <c r="L157" s="23"/>
      <c r="M157" s="23"/>
      <c r="N157" s="23"/>
      <c r="O157" s="23"/>
      <c r="P157" s="23"/>
      <c r="Q157" s="23"/>
      <c r="R157" s="23"/>
      <c r="S157" s="23"/>
    </row>
    <row r="158" spans="1:19" ht="15.75" customHeight="1" x14ac:dyDescent="0.25">
      <c r="A158" s="92" t="s">
        <v>3452</v>
      </c>
      <c r="B158" s="22" t="s">
        <v>3442</v>
      </c>
      <c r="C158" s="23"/>
      <c r="D158" s="23"/>
      <c r="E158" s="23"/>
      <c r="F158" s="23"/>
      <c r="G158" s="23"/>
      <c r="H158" s="23"/>
      <c r="I158" s="23"/>
      <c r="J158" s="23"/>
      <c r="K158" s="23"/>
      <c r="L158" s="23"/>
      <c r="M158" s="23"/>
      <c r="N158" s="23"/>
      <c r="O158" s="23"/>
      <c r="P158" s="23"/>
      <c r="Q158" s="23"/>
      <c r="R158" s="23"/>
      <c r="S158" s="23"/>
    </row>
    <row r="159" spans="1:19" ht="15.75" customHeight="1" x14ac:dyDescent="0.25">
      <c r="A159" s="92" t="s">
        <v>3453</v>
      </c>
      <c r="B159" s="22" t="s">
        <v>3442</v>
      </c>
      <c r="C159" s="23"/>
      <c r="D159" s="23"/>
      <c r="E159" s="23"/>
      <c r="F159" s="23"/>
      <c r="G159" s="23"/>
      <c r="H159" s="23"/>
      <c r="I159" s="23"/>
      <c r="J159" s="23"/>
      <c r="K159" s="23"/>
      <c r="L159" s="23"/>
      <c r="M159" s="23"/>
      <c r="N159" s="23"/>
      <c r="O159" s="23"/>
      <c r="P159" s="23"/>
      <c r="Q159" s="23"/>
      <c r="R159" s="23"/>
      <c r="S159" s="23"/>
    </row>
    <row r="160" spans="1:19" ht="15.75" customHeight="1" x14ac:dyDescent="0.25">
      <c r="A160" s="92" t="s">
        <v>3454</v>
      </c>
      <c r="B160" s="22" t="s">
        <v>3442</v>
      </c>
      <c r="C160" s="23"/>
      <c r="D160" s="23"/>
      <c r="E160" s="23"/>
      <c r="F160" s="23"/>
      <c r="G160" s="23"/>
      <c r="H160" s="23"/>
      <c r="I160" s="23"/>
      <c r="J160" s="23"/>
      <c r="K160" s="23"/>
      <c r="L160" s="23"/>
      <c r="M160" s="23"/>
      <c r="N160" s="23"/>
      <c r="O160" s="23"/>
      <c r="P160" s="23"/>
      <c r="Q160" s="23"/>
      <c r="R160" s="23"/>
      <c r="S160" s="23"/>
    </row>
    <row r="161" spans="1:19" ht="15.75" customHeight="1" x14ac:dyDescent="0.25">
      <c r="A161" s="92" t="s">
        <v>3455</v>
      </c>
      <c r="B161" s="22" t="s">
        <v>3442</v>
      </c>
      <c r="C161" s="23"/>
      <c r="D161" s="23"/>
      <c r="E161" s="23"/>
      <c r="F161" s="23"/>
      <c r="G161" s="23"/>
      <c r="H161" s="23"/>
      <c r="I161" s="23"/>
      <c r="J161" s="23"/>
      <c r="K161" s="23"/>
      <c r="L161" s="23"/>
      <c r="M161" s="23"/>
      <c r="N161" s="23"/>
      <c r="O161" s="23"/>
      <c r="P161" s="23"/>
      <c r="Q161" s="23"/>
      <c r="R161" s="23"/>
      <c r="S161" s="23"/>
    </row>
    <row r="162" spans="1:19" ht="15.75" customHeight="1" x14ac:dyDescent="0.25">
      <c r="A162" s="92" t="s">
        <v>3456</v>
      </c>
      <c r="B162" s="22" t="s">
        <v>3442</v>
      </c>
      <c r="C162" s="23"/>
      <c r="D162" s="23"/>
      <c r="E162" s="23"/>
      <c r="F162" s="23"/>
      <c r="G162" s="23"/>
      <c r="H162" s="23"/>
      <c r="I162" s="23"/>
      <c r="J162" s="23"/>
      <c r="K162" s="23"/>
      <c r="L162" s="23"/>
      <c r="M162" s="23"/>
      <c r="N162" s="23"/>
      <c r="O162" s="23"/>
      <c r="P162" s="23"/>
      <c r="Q162" s="23"/>
      <c r="R162" s="23"/>
      <c r="S162" s="23"/>
    </row>
    <row r="163" spans="1:19" ht="15.75" customHeight="1" x14ac:dyDescent="0.25">
      <c r="A163" s="92" t="s">
        <v>3457</v>
      </c>
      <c r="B163" s="22" t="s">
        <v>3442</v>
      </c>
      <c r="C163" s="23"/>
      <c r="D163" s="23"/>
      <c r="E163" s="23"/>
      <c r="F163" s="23"/>
      <c r="G163" s="23"/>
      <c r="H163" s="23"/>
      <c r="I163" s="23"/>
      <c r="J163" s="23"/>
      <c r="K163" s="23"/>
      <c r="L163" s="23"/>
      <c r="M163" s="23"/>
      <c r="N163" s="23"/>
      <c r="O163" s="23"/>
      <c r="P163" s="23"/>
      <c r="Q163" s="23"/>
      <c r="R163" s="23"/>
      <c r="S163" s="23"/>
    </row>
    <row r="164" spans="1:19" ht="15.75" customHeight="1" x14ac:dyDescent="0.25">
      <c r="A164" s="92" t="s">
        <v>3458</v>
      </c>
      <c r="B164" s="22" t="s">
        <v>3442</v>
      </c>
      <c r="C164" s="23"/>
      <c r="D164" s="23"/>
      <c r="E164" s="23"/>
      <c r="F164" s="23"/>
      <c r="G164" s="23"/>
      <c r="H164" s="23"/>
      <c r="I164" s="23"/>
      <c r="J164" s="23"/>
      <c r="K164" s="23"/>
      <c r="L164" s="23"/>
      <c r="M164" s="23"/>
      <c r="N164" s="23"/>
      <c r="O164" s="23"/>
      <c r="P164" s="23"/>
      <c r="Q164" s="23"/>
      <c r="R164" s="23"/>
      <c r="S164" s="23"/>
    </row>
    <row r="165" spans="1:19" ht="15.75" customHeight="1" x14ac:dyDescent="0.25">
      <c r="A165" s="92" t="s">
        <v>3459</v>
      </c>
      <c r="B165" s="22" t="s">
        <v>3442</v>
      </c>
      <c r="C165" s="23"/>
      <c r="D165" s="23"/>
      <c r="E165" s="23"/>
      <c r="F165" s="23"/>
      <c r="G165" s="23"/>
      <c r="H165" s="23"/>
      <c r="I165" s="23"/>
      <c r="J165" s="23"/>
      <c r="K165" s="23"/>
      <c r="L165" s="23"/>
      <c r="M165" s="23"/>
      <c r="N165" s="23"/>
      <c r="O165" s="23"/>
      <c r="P165" s="23"/>
      <c r="Q165" s="23"/>
      <c r="R165" s="23"/>
      <c r="S165" s="23"/>
    </row>
    <row r="166" spans="1:19" ht="15.75" customHeight="1" x14ac:dyDescent="0.25">
      <c r="A166" s="92" t="s">
        <v>3460</v>
      </c>
      <c r="B166" s="22" t="s">
        <v>3461</v>
      </c>
      <c r="C166" s="23"/>
      <c r="D166" s="23"/>
      <c r="E166" s="23"/>
      <c r="F166" s="23"/>
      <c r="G166" s="23"/>
      <c r="H166" s="23"/>
      <c r="I166" s="23"/>
      <c r="J166" s="23"/>
      <c r="K166" s="23"/>
      <c r="L166" s="23"/>
      <c r="M166" s="23"/>
      <c r="N166" s="23"/>
      <c r="O166" s="23"/>
      <c r="P166" s="23"/>
      <c r="Q166" s="23"/>
      <c r="R166" s="23"/>
      <c r="S166" s="23"/>
    </row>
    <row r="167" spans="1:19" ht="15.75" customHeight="1" x14ac:dyDescent="0.25">
      <c r="A167" s="92" t="s">
        <v>3462</v>
      </c>
      <c r="B167" s="22" t="s">
        <v>3463</v>
      </c>
      <c r="C167" s="23"/>
      <c r="D167" s="23"/>
      <c r="E167" s="23"/>
      <c r="F167" s="23"/>
      <c r="G167" s="23"/>
      <c r="H167" s="23"/>
      <c r="I167" s="23"/>
      <c r="J167" s="23"/>
      <c r="K167" s="23"/>
      <c r="L167" s="23"/>
      <c r="M167" s="23"/>
      <c r="N167" s="23"/>
      <c r="O167" s="23"/>
      <c r="P167" s="23"/>
      <c r="Q167" s="23"/>
      <c r="R167" s="23"/>
      <c r="S167" s="23"/>
    </row>
    <row r="168" spans="1:19" ht="15.75" customHeight="1" x14ac:dyDescent="0.25">
      <c r="A168" s="92" t="s">
        <v>3464</v>
      </c>
      <c r="B168" s="22" t="s">
        <v>3465</v>
      </c>
      <c r="C168" s="23"/>
      <c r="D168" s="23"/>
      <c r="E168" s="23"/>
      <c r="F168" s="23"/>
      <c r="G168" s="23"/>
      <c r="H168" s="23"/>
      <c r="I168" s="23"/>
      <c r="J168" s="23"/>
      <c r="K168" s="23"/>
      <c r="L168" s="23"/>
      <c r="M168" s="23"/>
      <c r="N168" s="23"/>
      <c r="O168" s="23"/>
      <c r="P168" s="23"/>
      <c r="Q168" s="23"/>
      <c r="R168" s="23"/>
      <c r="S168" s="23"/>
    </row>
    <row r="169" spans="1:19" ht="15.75" customHeight="1" x14ac:dyDescent="0.25">
      <c r="A169" s="92" t="s">
        <v>3466</v>
      </c>
      <c r="B169" s="22" t="s">
        <v>3467</v>
      </c>
      <c r="C169" s="23"/>
      <c r="D169" s="23"/>
      <c r="E169" s="23"/>
      <c r="F169" s="23"/>
      <c r="G169" s="23"/>
      <c r="H169" s="23"/>
      <c r="I169" s="23"/>
      <c r="J169" s="23"/>
      <c r="K169" s="23"/>
      <c r="L169" s="23"/>
      <c r="M169" s="23"/>
      <c r="N169" s="23"/>
      <c r="O169" s="23"/>
      <c r="P169" s="23"/>
      <c r="Q169" s="23"/>
      <c r="R169" s="23"/>
      <c r="S169" s="23"/>
    </row>
    <row r="170" spans="1:19" ht="15.75" customHeight="1" x14ac:dyDescent="0.25">
      <c r="A170" s="92" t="s">
        <v>3468</v>
      </c>
      <c r="B170" s="22" t="s">
        <v>3469</v>
      </c>
      <c r="C170" s="23"/>
      <c r="D170" s="23"/>
      <c r="E170" s="23"/>
      <c r="F170" s="23"/>
      <c r="G170" s="23"/>
      <c r="H170" s="23"/>
      <c r="I170" s="23"/>
      <c r="J170" s="23"/>
      <c r="K170" s="23"/>
      <c r="L170" s="23"/>
      <c r="M170" s="23"/>
      <c r="N170" s="23"/>
      <c r="O170" s="23"/>
      <c r="P170" s="23"/>
      <c r="Q170" s="23"/>
      <c r="R170" s="23"/>
      <c r="S170" s="23"/>
    </row>
    <row r="171" spans="1:19" ht="15.75" customHeight="1" x14ac:dyDescent="0.25">
      <c r="A171" s="92" t="s">
        <v>3470</v>
      </c>
      <c r="B171" s="22" t="s">
        <v>3471</v>
      </c>
      <c r="C171" s="23"/>
      <c r="D171" s="23"/>
      <c r="E171" s="23"/>
      <c r="F171" s="23"/>
      <c r="G171" s="23"/>
      <c r="H171" s="23"/>
      <c r="I171" s="23"/>
      <c r="J171" s="23"/>
      <c r="K171" s="23"/>
      <c r="L171" s="23"/>
      <c r="M171" s="23"/>
      <c r="N171" s="23"/>
      <c r="O171" s="23"/>
      <c r="P171" s="23"/>
      <c r="Q171" s="23"/>
      <c r="R171" s="23"/>
      <c r="S171" s="23"/>
    </row>
    <row r="172" spans="1:19" ht="15.75" customHeight="1" x14ac:dyDescent="0.25">
      <c r="A172" s="92" t="s">
        <v>3472</v>
      </c>
      <c r="B172" s="22" t="s">
        <v>3473</v>
      </c>
      <c r="C172" s="23"/>
      <c r="D172" s="23"/>
      <c r="E172" s="23"/>
      <c r="F172" s="23"/>
      <c r="G172" s="23"/>
      <c r="H172" s="23"/>
      <c r="I172" s="23"/>
      <c r="J172" s="23"/>
      <c r="K172" s="23"/>
      <c r="L172" s="23"/>
      <c r="M172" s="23"/>
      <c r="N172" s="23"/>
      <c r="O172" s="23"/>
      <c r="P172" s="23"/>
      <c r="Q172" s="23"/>
      <c r="R172" s="23"/>
      <c r="S172" s="23"/>
    </row>
    <row r="173" spans="1:19" ht="15.75" customHeight="1" x14ac:dyDescent="0.25">
      <c r="A173" s="92" t="s">
        <v>3474</v>
      </c>
      <c r="B173" s="22" t="s">
        <v>3475</v>
      </c>
      <c r="C173" s="23"/>
      <c r="D173" s="23"/>
      <c r="E173" s="23"/>
      <c r="F173" s="23"/>
      <c r="G173" s="23"/>
      <c r="H173" s="23"/>
      <c r="I173" s="23"/>
      <c r="J173" s="23"/>
      <c r="K173" s="23"/>
      <c r="L173" s="23"/>
      <c r="M173" s="23"/>
      <c r="N173" s="23"/>
      <c r="O173" s="23"/>
      <c r="P173" s="23"/>
      <c r="Q173" s="23"/>
      <c r="R173" s="23"/>
      <c r="S173" s="23"/>
    </row>
    <row r="174" spans="1:19" ht="15.75" customHeight="1" x14ac:dyDescent="0.25">
      <c r="A174" s="92" t="s">
        <v>3476</v>
      </c>
      <c r="B174" s="22" t="s">
        <v>3477</v>
      </c>
      <c r="C174" s="23"/>
      <c r="D174" s="23"/>
      <c r="E174" s="23"/>
      <c r="F174" s="23"/>
      <c r="G174" s="23"/>
      <c r="H174" s="23"/>
      <c r="I174" s="23"/>
      <c r="J174" s="23"/>
      <c r="K174" s="23"/>
      <c r="L174" s="23"/>
      <c r="M174" s="23"/>
      <c r="N174" s="23"/>
      <c r="O174" s="23"/>
      <c r="P174" s="23"/>
      <c r="Q174" s="23"/>
      <c r="R174" s="23"/>
      <c r="S174" s="23"/>
    </row>
    <row r="175" spans="1:19" ht="15.75" customHeight="1" x14ac:dyDescent="0.25">
      <c r="A175" s="92" t="s">
        <v>3478</v>
      </c>
      <c r="B175" s="22" t="s">
        <v>3479</v>
      </c>
      <c r="C175" s="23"/>
      <c r="D175" s="23"/>
      <c r="E175" s="23"/>
      <c r="F175" s="23"/>
      <c r="G175" s="23"/>
      <c r="H175" s="23"/>
      <c r="I175" s="23"/>
      <c r="J175" s="23"/>
      <c r="K175" s="23"/>
      <c r="L175" s="23"/>
      <c r="M175" s="23"/>
      <c r="N175" s="23"/>
      <c r="O175" s="23"/>
      <c r="P175" s="23"/>
      <c r="Q175" s="23"/>
      <c r="R175" s="23"/>
      <c r="S175" s="23"/>
    </row>
    <row r="176" spans="1:19" ht="15.75" customHeight="1" x14ac:dyDescent="0.25">
      <c r="A176" s="92" t="s">
        <v>3480</v>
      </c>
      <c r="B176" s="22" t="s">
        <v>3481</v>
      </c>
      <c r="C176" s="23"/>
      <c r="D176" s="23"/>
      <c r="E176" s="23"/>
      <c r="F176" s="23"/>
      <c r="G176" s="23"/>
      <c r="H176" s="23"/>
      <c r="I176" s="23"/>
      <c r="J176" s="23"/>
      <c r="K176" s="23"/>
      <c r="L176" s="23"/>
      <c r="M176" s="23"/>
      <c r="N176" s="23"/>
      <c r="O176" s="23"/>
      <c r="P176" s="23"/>
      <c r="Q176" s="23"/>
      <c r="R176" s="23"/>
      <c r="S176" s="23"/>
    </row>
    <row r="177" spans="1:19" ht="15.75" customHeight="1" x14ac:dyDescent="0.25">
      <c r="A177" s="92" t="s">
        <v>3482</v>
      </c>
      <c r="B177" s="22" t="s">
        <v>3483</v>
      </c>
      <c r="C177" s="23"/>
      <c r="D177" s="23"/>
      <c r="E177" s="23"/>
      <c r="F177" s="23"/>
      <c r="G177" s="23"/>
      <c r="H177" s="23"/>
      <c r="I177" s="23"/>
      <c r="J177" s="23"/>
      <c r="K177" s="23"/>
      <c r="L177" s="23"/>
      <c r="M177" s="23"/>
      <c r="N177" s="23"/>
      <c r="O177" s="23"/>
      <c r="P177" s="23"/>
      <c r="Q177" s="23"/>
      <c r="R177" s="23"/>
      <c r="S177" s="23"/>
    </row>
    <row r="178" spans="1:19" ht="15.75" customHeight="1" x14ac:dyDescent="0.25">
      <c r="A178" s="92" t="s">
        <v>3484</v>
      </c>
      <c r="B178" s="22" t="s">
        <v>3485</v>
      </c>
      <c r="C178" s="23"/>
      <c r="D178" s="23"/>
      <c r="E178" s="23"/>
      <c r="F178" s="23"/>
      <c r="G178" s="23"/>
      <c r="H178" s="23"/>
      <c r="I178" s="23"/>
      <c r="J178" s="23"/>
      <c r="K178" s="23"/>
      <c r="L178" s="23"/>
      <c r="M178" s="23"/>
      <c r="N178" s="23"/>
      <c r="O178" s="23"/>
      <c r="P178" s="23"/>
      <c r="Q178" s="23"/>
      <c r="R178" s="23"/>
      <c r="S178" s="23"/>
    </row>
    <row r="179" spans="1:19" ht="15.75" customHeight="1" x14ac:dyDescent="0.25">
      <c r="A179" s="92" t="s">
        <v>3486</v>
      </c>
      <c r="B179" s="22" t="s">
        <v>3487</v>
      </c>
      <c r="C179" s="23"/>
      <c r="D179" s="23"/>
      <c r="E179" s="23"/>
      <c r="F179" s="23"/>
      <c r="G179" s="23"/>
      <c r="H179" s="23"/>
      <c r="I179" s="23"/>
      <c r="J179" s="23"/>
      <c r="K179" s="23"/>
      <c r="L179" s="23"/>
      <c r="M179" s="23"/>
      <c r="N179" s="23"/>
      <c r="O179" s="23"/>
      <c r="P179" s="23"/>
      <c r="Q179" s="23"/>
      <c r="R179" s="23"/>
      <c r="S179" s="23"/>
    </row>
    <row r="180" spans="1:19" ht="15.75" customHeight="1" x14ac:dyDescent="0.25">
      <c r="A180" s="92" t="s">
        <v>3488</v>
      </c>
      <c r="B180" s="22" t="s">
        <v>3487</v>
      </c>
      <c r="C180" s="23"/>
      <c r="D180" s="23"/>
      <c r="E180" s="23"/>
      <c r="F180" s="23"/>
      <c r="G180" s="23"/>
      <c r="H180" s="23"/>
      <c r="I180" s="23"/>
      <c r="J180" s="23"/>
      <c r="K180" s="23"/>
      <c r="L180" s="23"/>
      <c r="M180" s="23"/>
      <c r="N180" s="23"/>
      <c r="O180" s="23"/>
      <c r="P180" s="23"/>
      <c r="Q180" s="23"/>
      <c r="R180" s="23"/>
      <c r="S180" s="23"/>
    </row>
    <row r="181" spans="1:19" ht="15.75" customHeight="1" x14ac:dyDescent="0.25">
      <c r="A181" s="92" t="s">
        <v>3489</v>
      </c>
      <c r="B181" s="22" t="s">
        <v>3490</v>
      </c>
      <c r="C181" s="23"/>
      <c r="D181" s="23"/>
      <c r="E181" s="23"/>
      <c r="F181" s="23"/>
      <c r="G181" s="23"/>
      <c r="H181" s="23"/>
      <c r="I181" s="23"/>
      <c r="J181" s="23"/>
      <c r="K181" s="23"/>
      <c r="L181" s="23"/>
      <c r="M181" s="23"/>
      <c r="N181" s="23"/>
      <c r="O181" s="23"/>
      <c r="P181" s="23"/>
      <c r="Q181" s="23"/>
      <c r="R181" s="23"/>
      <c r="S181" s="23"/>
    </row>
    <row r="182" spans="1:19" ht="15.75" customHeight="1" x14ac:dyDescent="0.25">
      <c r="A182" s="92" t="s">
        <v>3491</v>
      </c>
      <c r="B182" s="22" t="s">
        <v>3492</v>
      </c>
      <c r="C182" s="23"/>
      <c r="D182" s="23"/>
      <c r="E182" s="23"/>
      <c r="F182" s="23"/>
      <c r="G182" s="23"/>
      <c r="H182" s="23"/>
      <c r="I182" s="23"/>
      <c r="J182" s="23"/>
      <c r="K182" s="23"/>
      <c r="L182" s="23"/>
      <c r="M182" s="23"/>
      <c r="N182" s="23"/>
      <c r="O182" s="23"/>
      <c r="P182" s="23"/>
      <c r="Q182" s="23"/>
      <c r="R182" s="23"/>
      <c r="S182" s="23"/>
    </row>
    <row r="183" spans="1:19" ht="15.75" customHeight="1" x14ac:dyDescent="0.25">
      <c r="A183" s="92" t="s">
        <v>3493</v>
      </c>
      <c r="B183" s="22" t="s">
        <v>3494</v>
      </c>
      <c r="C183" s="23"/>
      <c r="D183" s="23"/>
      <c r="E183" s="23"/>
      <c r="F183" s="23"/>
      <c r="G183" s="23"/>
      <c r="H183" s="23"/>
      <c r="I183" s="23"/>
      <c r="J183" s="23"/>
      <c r="K183" s="23"/>
      <c r="L183" s="23"/>
      <c r="M183" s="23"/>
      <c r="N183" s="23"/>
      <c r="O183" s="23"/>
      <c r="P183" s="23"/>
      <c r="Q183" s="23"/>
      <c r="R183" s="23"/>
      <c r="S183" s="23"/>
    </row>
    <row r="184" spans="1:19" ht="15.75" customHeight="1" x14ac:dyDescent="0.25">
      <c r="A184" s="92" t="s">
        <v>3495</v>
      </c>
      <c r="B184" s="22" t="s">
        <v>3496</v>
      </c>
      <c r="C184" s="23"/>
      <c r="D184" s="23"/>
      <c r="E184" s="23"/>
      <c r="F184" s="23"/>
      <c r="G184" s="23"/>
      <c r="H184" s="23"/>
      <c r="I184" s="23"/>
      <c r="J184" s="23"/>
      <c r="K184" s="23"/>
      <c r="L184" s="23"/>
      <c r="M184" s="23"/>
      <c r="N184" s="23"/>
      <c r="O184" s="23"/>
      <c r="P184" s="23"/>
      <c r="Q184" s="23"/>
      <c r="R184" s="23"/>
      <c r="S184" s="23"/>
    </row>
    <row r="185" spans="1:19" ht="15.75" customHeight="1" x14ac:dyDescent="0.25">
      <c r="A185" s="92" t="s">
        <v>3497</v>
      </c>
      <c r="B185" s="22" t="s">
        <v>3498</v>
      </c>
      <c r="C185" s="23"/>
      <c r="D185" s="23"/>
      <c r="E185" s="23"/>
      <c r="F185" s="23"/>
      <c r="G185" s="23"/>
      <c r="H185" s="23"/>
      <c r="I185" s="23"/>
      <c r="J185" s="23"/>
      <c r="K185" s="23"/>
      <c r="L185" s="23"/>
      <c r="M185" s="23"/>
      <c r="N185" s="23"/>
      <c r="O185" s="23"/>
      <c r="P185" s="23"/>
      <c r="Q185" s="23"/>
      <c r="R185" s="23"/>
      <c r="S185" s="23"/>
    </row>
    <row r="186" spans="1:19" ht="15.75" customHeight="1" x14ac:dyDescent="0.25">
      <c r="A186" s="92" t="s">
        <v>3499</v>
      </c>
      <c r="B186" s="22" t="s">
        <v>3500</v>
      </c>
      <c r="C186" s="23"/>
      <c r="D186" s="23"/>
      <c r="E186" s="23"/>
      <c r="F186" s="23"/>
      <c r="G186" s="23"/>
      <c r="H186" s="23"/>
      <c r="I186" s="23"/>
      <c r="J186" s="23"/>
      <c r="K186" s="23"/>
      <c r="L186" s="23"/>
      <c r="M186" s="23"/>
      <c r="N186" s="23"/>
      <c r="O186" s="23"/>
      <c r="P186" s="23"/>
      <c r="Q186" s="23"/>
      <c r="R186" s="23"/>
      <c r="S186" s="23"/>
    </row>
    <row r="187" spans="1:19" ht="15.75" customHeight="1" x14ac:dyDescent="0.25">
      <c r="A187" s="92" t="s">
        <v>3501</v>
      </c>
      <c r="B187" s="22" t="s">
        <v>3502</v>
      </c>
      <c r="C187" s="23"/>
      <c r="D187" s="23"/>
      <c r="E187" s="23"/>
      <c r="F187" s="23"/>
      <c r="G187" s="23"/>
      <c r="H187" s="23"/>
      <c r="I187" s="23"/>
      <c r="J187" s="23"/>
      <c r="K187" s="23"/>
      <c r="L187" s="23"/>
      <c r="M187" s="23"/>
      <c r="N187" s="23"/>
      <c r="O187" s="23"/>
      <c r="P187" s="23"/>
      <c r="Q187" s="23"/>
      <c r="R187" s="23"/>
      <c r="S187" s="23"/>
    </row>
    <row r="188" spans="1:19" ht="15.75" customHeight="1" x14ac:dyDescent="0.25">
      <c r="A188" s="92" t="s">
        <v>3503</v>
      </c>
      <c r="B188" s="22" t="s">
        <v>3504</v>
      </c>
      <c r="C188" s="23"/>
      <c r="D188" s="23"/>
      <c r="E188" s="23"/>
      <c r="F188" s="23"/>
      <c r="G188" s="23"/>
      <c r="H188" s="23"/>
      <c r="I188" s="23"/>
      <c r="J188" s="23"/>
      <c r="K188" s="23"/>
      <c r="L188" s="23"/>
      <c r="M188" s="23"/>
      <c r="N188" s="23"/>
      <c r="O188" s="23"/>
      <c r="P188" s="23"/>
      <c r="Q188" s="23"/>
      <c r="R188" s="23"/>
      <c r="S188" s="23"/>
    </row>
    <row r="189" spans="1:19" ht="15.75" customHeight="1" x14ac:dyDescent="0.25">
      <c r="A189" s="92" t="s">
        <v>3505</v>
      </c>
      <c r="B189" s="22" t="s">
        <v>3506</v>
      </c>
      <c r="C189" s="23"/>
      <c r="D189" s="23"/>
      <c r="E189" s="23"/>
      <c r="F189" s="23"/>
      <c r="G189" s="23"/>
      <c r="H189" s="23"/>
      <c r="I189" s="23"/>
      <c r="J189" s="23"/>
      <c r="K189" s="23"/>
      <c r="L189" s="23"/>
      <c r="M189" s="23"/>
      <c r="N189" s="23"/>
      <c r="O189" s="23"/>
      <c r="P189" s="23"/>
      <c r="Q189" s="23"/>
      <c r="R189" s="23"/>
      <c r="S189" s="23"/>
    </row>
    <row r="190" spans="1:19" ht="15.75" customHeight="1" x14ac:dyDescent="0.25">
      <c r="A190" s="92" t="s">
        <v>3507</v>
      </c>
      <c r="B190" s="22" t="s">
        <v>3508</v>
      </c>
      <c r="C190" s="23"/>
      <c r="D190" s="23"/>
      <c r="E190" s="23"/>
      <c r="F190" s="23"/>
      <c r="G190" s="23"/>
      <c r="H190" s="23"/>
      <c r="I190" s="23"/>
      <c r="J190" s="23"/>
      <c r="K190" s="23"/>
      <c r="L190" s="23"/>
      <c r="M190" s="23"/>
      <c r="N190" s="23"/>
      <c r="O190" s="23"/>
      <c r="P190" s="23"/>
      <c r="Q190" s="23"/>
      <c r="R190" s="23"/>
      <c r="S190" s="23"/>
    </row>
    <row r="191" spans="1:19" ht="15.75" customHeight="1" x14ac:dyDescent="0.25">
      <c r="A191" s="92" t="s">
        <v>3509</v>
      </c>
      <c r="B191" s="22" t="s">
        <v>3510</v>
      </c>
      <c r="C191" s="23"/>
      <c r="D191" s="23"/>
      <c r="E191" s="23"/>
      <c r="F191" s="23"/>
      <c r="G191" s="23"/>
      <c r="H191" s="23"/>
      <c r="I191" s="23"/>
      <c r="J191" s="23"/>
      <c r="K191" s="23"/>
      <c r="L191" s="23"/>
      <c r="M191" s="23"/>
      <c r="N191" s="23"/>
      <c r="O191" s="23"/>
      <c r="P191" s="23"/>
      <c r="Q191" s="23"/>
      <c r="R191" s="23"/>
      <c r="S191" s="23"/>
    </row>
    <row r="192" spans="1:19" ht="15.75" customHeight="1" x14ac:dyDescent="0.25">
      <c r="A192" s="92" t="s">
        <v>3511</v>
      </c>
      <c r="B192" s="22" t="s">
        <v>3512</v>
      </c>
      <c r="C192" s="23"/>
      <c r="D192" s="23"/>
      <c r="E192" s="23"/>
      <c r="F192" s="23"/>
      <c r="G192" s="23"/>
      <c r="H192" s="23"/>
      <c r="I192" s="23"/>
      <c r="J192" s="23"/>
      <c r="K192" s="23"/>
      <c r="L192" s="23"/>
      <c r="M192" s="23"/>
      <c r="N192" s="23"/>
      <c r="O192" s="23"/>
      <c r="P192" s="23"/>
      <c r="Q192" s="23"/>
      <c r="R192" s="23"/>
      <c r="S192" s="23"/>
    </row>
    <row r="193" spans="1:19" ht="15.75" customHeight="1" x14ac:dyDescent="0.25">
      <c r="A193" s="92" t="s">
        <v>3513</v>
      </c>
      <c r="B193" s="22" t="s">
        <v>3514</v>
      </c>
      <c r="C193" s="23"/>
      <c r="D193" s="23"/>
      <c r="E193" s="23"/>
      <c r="F193" s="23"/>
      <c r="G193" s="23"/>
      <c r="H193" s="23"/>
      <c r="I193" s="23"/>
      <c r="J193" s="23"/>
      <c r="K193" s="23"/>
      <c r="L193" s="23"/>
      <c r="M193" s="23"/>
      <c r="N193" s="23"/>
      <c r="O193" s="23"/>
      <c r="P193" s="23"/>
      <c r="Q193" s="23"/>
      <c r="R193" s="23"/>
      <c r="S193" s="23"/>
    </row>
    <row r="194" spans="1:19" ht="15.75" customHeight="1" x14ac:dyDescent="0.25">
      <c r="A194" s="92" t="s">
        <v>3515</v>
      </c>
      <c r="B194" s="22" t="s">
        <v>3516</v>
      </c>
      <c r="C194" s="23"/>
      <c r="D194" s="23"/>
      <c r="E194" s="23"/>
      <c r="F194" s="23"/>
      <c r="G194" s="23"/>
      <c r="H194" s="23"/>
      <c r="I194" s="23"/>
      <c r="J194" s="23"/>
      <c r="K194" s="23"/>
      <c r="L194" s="23"/>
      <c r="M194" s="23"/>
      <c r="N194" s="23"/>
      <c r="O194" s="23"/>
      <c r="P194" s="23"/>
      <c r="Q194" s="23"/>
      <c r="R194" s="23"/>
      <c r="S194" s="23"/>
    </row>
    <row r="195" spans="1:19" ht="15.75" customHeight="1" x14ac:dyDescent="0.25">
      <c r="A195" s="92" t="s">
        <v>3517</v>
      </c>
      <c r="B195" s="22" t="s">
        <v>3518</v>
      </c>
      <c r="C195" s="23"/>
      <c r="D195" s="23"/>
      <c r="E195" s="23"/>
      <c r="F195" s="23"/>
      <c r="G195" s="23"/>
      <c r="H195" s="23"/>
      <c r="I195" s="23"/>
      <c r="J195" s="23"/>
      <c r="K195" s="23"/>
      <c r="L195" s="23"/>
      <c r="M195" s="23"/>
      <c r="N195" s="23"/>
      <c r="O195" s="23"/>
      <c r="P195" s="23"/>
      <c r="Q195" s="23"/>
      <c r="R195" s="23"/>
      <c r="S195" s="23"/>
    </row>
    <row r="196" spans="1:19" ht="15.75" customHeight="1" x14ac:dyDescent="0.25">
      <c r="A196" s="92" t="s">
        <v>3519</v>
      </c>
      <c r="B196" s="22" t="s">
        <v>3520</v>
      </c>
      <c r="C196" s="23"/>
      <c r="D196" s="23"/>
      <c r="E196" s="23"/>
      <c r="F196" s="23"/>
      <c r="G196" s="23"/>
      <c r="H196" s="23"/>
      <c r="I196" s="23"/>
      <c r="J196" s="23"/>
      <c r="K196" s="23"/>
      <c r="L196" s="23"/>
      <c r="M196" s="23"/>
      <c r="N196" s="23"/>
      <c r="O196" s="23"/>
      <c r="P196" s="23"/>
      <c r="Q196" s="23"/>
      <c r="R196" s="23"/>
      <c r="S196" s="23"/>
    </row>
    <row r="197" spans="1:19" ht="15.75" customHeight="1" x14ac:dyDescent="0.25">
      <c r="A197" s="92" t="s">
        <v>3521</v>
      </c>
      <c r="B197" s="22" t="s">
        <v>3522</v>
      </c>
      <c r="C197" s="23"/>
      <c r="D197" s="23"/>
      <c r="E197" s="23"/>
      <c r="F197" s="23"/>
      <c r="G197" s="23"/>
      <c r="H197" s="23"/>
      <c r="I197" s="23"/>
      <c r="J197" s="23"/>
      <c r="K197" s="23"/>
      <c r="L197" s="23"/>
      <c r="M197" s="23"/>
      <c r="N197" s="23"/>
      <c r="O197" s="23"/>
      <c r="P197" s="23"/>
      <c r="Q197" s="23"/>
      <c r="R197" s="23"/>
      <c r="S197" s="23"/>
    </row>
    <row r="198" spans="1:19" ht="15.75" customHeight="1" x14ac:dyDescent="0.25">
      <c r="A198" s="92" t="s">
        <v>3523</v>
      </c>
      <c r="B198" s="22" t="s">
        <v>3524</v>
      </c>
      <c r="C198" s="23"/>
      <c r="D198" s="23"/>
      <c r="E198" s="23"/>
      <c r="F198" s="23"/>
      <c r="G198" s="23"/>
      <c r="H198" s="23"/>
      <c r="I198" s="23"/>
      <c r="J198" s="23"/>
      <c r="K198" s="23"/>
      <c r="L198" s="23"/>
      <c r="M198" s="23"/>
      <c r="N198" s="23"/>
      <c r="O198" s="23"/>
      <c r="P198" s="23"/>
      <c r="Q198" s="23"/>
      <c r="R198" s="23"/>
      <c r="S198" s="23"/>
    </row>
    <row r="199" spans="1:19" ht="15.75" customHeight="1" x14ac:dyDescent="0.25">
      <c r="A199" s="92" t="s">
        <v>3525</v>
      </c>
      <c r="B199" s="22" t="s">
        <v>3526</v>
      </c>
      <c r="C199" s="23"/>
      <c r="D199" s="23"/>
      <c r="E199" s="23"/>
      <c r="F199" s="23"/>
      <c r="G199" s="23"/>
      <c r="H199" s="23"/>
      <c r="I199" s="23"/>
      <c r="J199" s="23"/>
      <c r="K199" s="23"/>
      <c r="L199" s="23"/>
      <c r="M199" s="23"/>
      <c r="N199" s="23"/>
      <c r="O199" s="23"/>
      <c r="P199" s="23"/>
      <c r="Q199" s="23"/>
      <c r="R199" s="23"/>
      <c r="S199" s="23"/>
    </row>
    <row r="200" spans="1:19" ht="15.75" customHeight="1" x14ac:dyDescent="0.25">
      <c r="A200" s="92" t="s">
        <v>3527</v>
      </c>
      <c r="B200" s="22" t="s">
        <v>3528</v>
      </c>
      <c r="C200" s="23"/>
      <c r="D200" s="23"/>
      <c r="E200" s="23"/>
      <c r="F200" s="23"/>
      <c r="G200" s="23"/>
      <c r="H200" s="23"/>
      <c r="I200" s="23"/>
      <c r="J200" s="23"/>
      <c r="K200" s="23"/>
      <c r="L200" s="23"/>
      <c r="M200" s="23"/>
      <c r="N200" s="23"/>
      <c r="O200" s="23"/>
      <c r="P200" s="23"/>
      <c r="Q200" s="23"/>
      <c r="R200" s="23"/>
      <c r="S200" s="23"/>
    </row>
    <row r="201" spans="1:19" ht="15.75" customHeight="1" x14ac:dyDescent="0.25">
      <c r="A201" s="92" t="s">
        <v>3529</v>
      </c>
      <c r="B201" s="22" t="s">
        <v>3530</v>
      </c>
      <c r="C201" s="23"/>
      <c r="D201" s="23"/>
      <c r="E201" s="23"/>
      <c r="F201" s="23"/>
      <c r="G201" s="23"/>
      <c r="H201" s="23"/>
      <c r="I201" s="23"/>
      <c r="J201" s="23"/>
      <c r="K201" s="23"/>
      <c r="L201" s="23"/>
      <c r="M201" s="23"/>
      <c r="N201" s="23"/>
      <c r="O201" s="23"/>
      <c r="P201" s="23"/>
      <c r="Q201" s="23"/>
      <c r="R201" s="23"/>
      <c r="S201" s="23"/>
    </row>
    <row r="202" spans="1:19" ht="15.75" customHeight="1" x14ac:dyDescent="0.25">
      <c r="A202" s="92" t="s">
        <v>3531</v>
      </c>
      <c r="B202" s="22" t="s">
        <v>3532</v>
      </c>
      <c r="C202" s="23"/>
      <c r="D202" s="23"/>
      <c r="E202" s="23"/>
      <c r="F202" s="23"/>
      <c r="G202" s="23"/>
      <c r="H202" s="23"/>
      <c r="I202" s="23"/>
      <c r="J202" s="23"/>
      <c r="K202" s="23"/>
      <c r="L202" s="23"/>
      <c r="M202" s="23"/>
      <c r="N202" s="23"/>
      <c r="O202" s="23"/>
      <c r="P202" s="23"/>
      <c r="Q202" s="23"/>
      <c r="R202" s="23"/>
      <c r="S202" s="23"/>
    </row>
    <row r="203" spans="1:19" ht="15.75" customHeight="1" x14ac:dyDescent="0.25">
      <c r="A203" s="92" t="s">
        <v>3533</v>
      </c>
      <c r="B203" s="22" t="s">
        <v>3532</v>
      </c>
      <c r="C203" s="23"/>
      <c r="D203" s="23"/>
      <c r="E203" s="23"/>
      <c r="F203" s="23"/>
      <c r="G203" s="23"/>
      <c r="H203" s="23"/>
      <c r="I203" s="23"/>
      <c r="J203" s="23"/>
      <c r="K203" s="23"/>
      <c r="L203" s="23"/>
      <c r="M203" s="23"/>
      <c r="N203" s="23"/>
      <c r="O203" s="23"/>
      <c r="P203" s="23"/>
      <c r="Q203" s="23"/>
      <c r="R203" s="23"/>
      <c r="S203" s="23"/>
    </row>
    <row r="204" spans="1:19" ht="15.75" customHeight="1" x14ac:dyDescent="0.25">
      <c r="A204" s="92" t="s">
        <v>3534</v>
      </c>
      <c r="B204" s="22" t="s">
        <v>3532</v>
      </c>
      <c r="C204" s="23"/>
      <c r="D204" s="23"/>
      <c r="E204" s="23"/>
      <c r="F204" s="23"/>
      <c r="G204" s="23"/>
      <c r="H204" s="23"/>
      <c r="I204" s="23"/>
      <c r="J204" s="23"/>
      <c r="K204" s="23"/>
      <c r="L204" s="23"/>
      <c r="M204" s="23"/>
      <c r="N204" s="23"/>
      <c r="O204" s="23"/>
      <c r="P204" s="23"/>
      <c r="Q204" s="23"/>
      <c r="R204" s="23"/>
      <c r="S204" s="23"/>
    </row>
    <row r="205" spans="1:19" ht="15.75" customHeight="1" x14ac:dyDescent="0.25">
      <c r="A205" s="92" t="s">
        <v>3535</v>
      </c>
      <c r="B205" s="22" t="s">
        <v>3536</v>
      </c>
      <c r="C205" s="23"/>
      <c r="D205" s="23"/>
      <c r="E205" s="23"/>
      <c r="F205" s="23"/>
      <c r="G205" s="23"/>
      <c r="H205" s="23"/>
      <c r="I205" s="23"/>
      <c r="J205" s="23"/>
      <c r="K205" s="23"/>
      <c r="L205" s="23"/>
      <c r="M205" s="23"/>
      <c r="N205" s="23"/>
      <c r="O205" s="23"/>
      <c r="P205" s="23"/>
      <c r="Q205" s="23"/>
      <c r="R205" s="23"/>
      <c r="S205" s="23"/>
    </row>
    <row r="206" spans="1:19" ht="15.75" customHeight="1" x14ac:dyDescent="0.25">
      <c r="A206" s="92" t="s">
        <v>3537</v>
      </c>
      <c r="B206" s="22" t="s">
        <v>3538</v>
      </c>
      <c r="C206" s="23"/>
      <c r="D206" s="23"/>
      <c r="E206" s="23"/>
      <c r="F206" s="23"/>
      <c r="G206" s="23"/>
      <c r="H206" s="23"/>
      <c r="I206" s="23"/>
      <c r="J206" s="23"/>
      <c r="K206" s="23"/>
      <c r="L206" s="23"/>
      <c r="M206" s="23"/>
      <c r="N206" s="23"/>
      <c r="O206" s="23"/>
      <c r="P206" s="23"/>
      <c r="Q206" s="23"/>
      <c r="R206" s="23"/>
      <c r="S206" s="23"/>
    </row>
    <row r="207" spans="1:19" ht="15.75" customHeight="1" x14ac:dyDescent="0.25">
      <c r="A207" s="92" t="s">
        <v>3539</v>
      </c>
      <c r="B207" s="22" t="s">
        <v>3538</v>
      </c>
      <c r="C207" s="23"/>
      <c r="D207" s="23"/>
      <c r="E207" s="23"/>
      <c r="F207" s="23"/>
      <c r="G207" s="23"/>
      <c r="H207" s="23"/>
      <c r="I207" s="23"/>
      <c r="J207" s="23"/>
      <c r="K207" s="23"/>
      <c r="L207" s="23"/>
      <c r="M207" s="23"/>
      <c r="N207" s="23"/>
      <c r="O207" s="23"/>
      <c r="P207" s="23"/>
      <c r="Q207" s="23"/>
      <c r="R207" s="23"/>
      <c r="S207" s="23"/>
    </row>
    <row r="208" spans="1:19" ht="15.75" customHeight="1" x14ac:dyDescent="0.25">
      <c r="A208" s="92" t="s">
        <v>3540</v>
      </c>
      <c r="B208" s="22" t="s">
        <v>3541</v>
      </c>
      <c r="C208" s="23"/>
      <c r="D208" s="23"/>
      <c r="E208" s="23"/>
      <c r="F208" s="23"/>
      <c r="G208" s="23"/>
      <c r="H208" s="23"/>
      <c r="I208" s="23"/>
      <c r="J208" s="23"/>
      <c r="K208" s="23"/>
      <c r="L208" s="23"/>
      <c r="M208" s="23"/>
      <c r="N208" s="23"/>
      <c r="O208" s="23"/>
      <c r="P208" s="23"/>
      <c r="Q208" s="23"/>
      <c r="R208" s="23"/>
      <c r="S208" s="23"/>
    </row>
    <row r="209" spans="1:19" ht="15.75" customHeight="1" x14ac:dyDescent="0.25">
      <c r="A209" s="92" t="s">
        <v>3542</v>
      </c>
      <c r="B209" s="22" t="s">
        <v>3543</v>
      </c>
      <c r="C209" s="23"/>
      <c r="D209" s="23"/>
      <c r="E209" s="23"/>
      <c r="F209" s="23"/>
      <c r="G209" s="23"/>
      <c r="H209" s="23"/>
      <c r="I209" s="23"/>
      <c r="J209" s="23"/>
      <c r="K209" s="23"/>
      <c r="L209" s="23"/>
      <c r="M209" s="23"/>
      <c r="N209" s="23"/>
      <c r="O209" s="23"/>
      <c r="P209" s="23"/>
      <c r="Q209" s="23"/>
      <c r="R209" s="23"/>
      <c r="S209" s="23"/>
    </row>
    <row r="210" spans="1:19" ht="15.75" customHeight="1" x14ac:dyDescent="0.25">
      <c r="A210" s="92" t="s">
        <v>3544</v>
      </c>
      <c r="B210" s="22" t="s">
        <v>3545</v>
      </c>
      <c r="C210" s="23"/>
      <c r="D210" s="23"/>
      <c r="E210" s="23"/>
      <c r="F210" s="23"/>
      <c r="G210" s="23"/>
      <c r="H210" s="23"/>
      <c r="I210" s="23"/>
      <c r="J210" s="23"/>
      <c r="K210" s="23"/>
      <c r="L210" s="23"/>
      <c r="M210" s="23"/>
      <c r="N210" s="23"/>
      <c r="O210" s="23"/>
      <c r="P210" s="23"/>
      <c r="Q210" s="23"/>
      <c r="R210" s="23"/>
      <c r="S210" s="23"/>
    </row>
    <row r="211" spans="1:19" ht="15.75" customHeight="1" x14ac:dyDescent="0.25">
      <c r="A211" s="92" t="s">
        <v>3546</v>
      </c>
      <c r="B211" s="22" t="s">
        <v>3547</v>
      </c>
      <c r="C211" s="23"/>
      <c r="D211" s="23"/>
      <c r="E211" s="23"/>
      <c r="F211" s="23"/>
      <c r="G211" s="23"/>
      <c r="H211" s="23"/>
      <c r="I211" s="23"/>
      <c r="J211" s="23"/>
      <c r="K211" s="23"/>
      <c r="L211" s="23"/>
      <c r="M211" s="23"/>
      <c r="N211" s="23"/>
      <c r="O211" s="23"/>
      <c r="P211" s="23"/>
      <c r="Q211" s="23"/>
      <c r="R211" s="23"/>
      <c r="S211" s="23"/>
    </row>
    <row r="212" spans="1:19" ht="15.75" customHeight="1" x14ac:dyDescent="0.25">
      <c r="A212" s="92" t="s">
        <v>3548</v>
      </c>
      <c r="B212" s="22" t="s">
        <v>3549</v>
      </c>
      <c r="C212" s="23"/>
      <c r="D212" s="23"/>
      <c r="E212" s="23"/>
      <c r="F212" s="23"/>
      <c r="G212" s="23"/>
      <c r="H212" s="23"/>
      <c r="I212" s="23"/>
      <c r="J212" s="23"/>
      <c r="K212" s="23"/>
      <c r="L212" s="23"/>
      <c r="M212" s="23"/>
      <c r="N212" s="23"/>
      <c r="O212" s="23"/>
      <c r="P212" s="23"/>
      <c r="Q212" s="23"/>
      <c r="R212" s="23"/>
      <c r="S212" s="23"/>
    </row>
    <row r="213" spans="1:19" ht="15.75" customHeight="1" x14ac:dyDescent="0.25">
      <c r="A213" s="92" t="s">
        <v>3550</v>
      </c>
      <c r="B213" s="22" t="s">
        <v>3551</v>
      </c>
      <c r="C213" s="23"/>
      <c r="D213" s="23"/>
      <c r="E213" s="23"/>
      <c r="F213" s="23"/>
      <c r="G213" s="23"/>
      <c r="H213" s="23"/>
      <c r="I213" s="23"/>
      <c r="J213" s="23"/>
      <c r="K213" s="23"/>
      <c r="L213" s="23"/>
      <c r="M213" s="23"/>
      <c r="N213" s="23"/>
      <c r="O213" s="23"/>
      <c r="P213" s="23"/>
      <c r="Q213" s="23"/>
      <c r="R213" s="23"/>
      <c r="S213" s="23"/>
    </row>
    <row r="214" spans="1:19" ht="15.75" customHeight="1" x14ac:dyDescent="0.25">
      <c r="A214" s="92" t="s">
        <v>3552</v>
      </c>
      <c r="B214" s="22" t="s">
        <v>3551</v>
      </c>
      <c r="C214" s="23"/>
      <c r="D214" s="23"/>
      <c r="E214" s="23"/>
      <c r="F214" s="23"/>
      <c r="G214" s="23"/>
      <c r="H214" s="23"/>
      <c r="I214" s="23"/>
      <c r="J214" s="23"/>
      <c r="K214" s="23"/>
      <c r="L214" s="23"/>
      <c r="M214" s="23"/>
      <c r="N214" s="23"/>
      <c r="O214" s="23"/>
      <c r="P214" s="23"/>
      <c r="Q214" s="23"/>
      <c r="R214" s="23"/>
      <c r="S214" s="23"/>
    </row>
    <row r="215" spans="1:19" ht="15.75" customHeight="1" x14ac:dyDescent="0.25">
      <c r="A215" s="92" t="s">
        <v>3553</v>
      </c>
      <c r="B215" s="22" t="s">
        <v>3551</v>
      </c>
      <c r="C215" s="23"/>
      <c r="D215" s="23"/>
      <c r="E215" s="23"/>
      <c r="F215" s="23"/>
      <c r="G215" s="23"/>
      <c r="H215" s="23"/>
      <c r="I215" s="23"/>
      <c r="J215" s="23"/>
      <c r="K215" s="23"/>
      <c r="L215" s="23"/>
      <c r="M215" s="23"/>
      <c r="N215" s="23"/>
      <c r="O215" s="23"/>
      <c r="P215" s="23"/>
      <c r="Q215" s="23"/>
      <c r="R215" s="23"/>
      <c r="S215" s="23"/>
    </row>
    <row r="216" spans="1:19" ht="15.75" customHeight="1" x14ac:dyDescent="0.25">
      <c r="A216" s="92" t="s">
        <v>3554</v>
      </c>
      <c r="B216" s="22" t="s">
        <v>3551</v>
      </c>
      <c r="C216" s="23"/>
      <c r="D216" s="23"/>
      <c r="E216" s="23"/>
      <c r="F216" s="23"/>
      <c r="G216" s="23"/>
      <c r="H216" s="23"/>
      <c r="I216" s="23"/>
      <c r="J216" s="23"/>
      <c r="K216" s="23"/>
      <c r="L216" s="23"/>
      <c r="M216" s="23"/>
      <c r="N216" s="23"/>
      <c r="O216" s="23"/>
      <c r="P216" s="23"/>
      <c r="Q216" s="23"/>
      <c r="R216" s="23"/>
      <c r="S216" s="23"/>
    </row>
    <row r="217" spans="1:19" ht="15.75" customHeight="1" x14ac:dyDescent="0.25">
      <c r="A217" s="92" t="s">
        <v>3555</v>
      </c>
      <c r="B217" s="22" t="s">
        <v>3556</v>
      </c>
      <c r="C217" s="23"/>
      <c r="D217" s="23"/>
      <c r="E217" s="23"/>
      <c r="F217" s="23"/>
      <c r="G217" s="23"/>
      <c r="H217" s="23"/>
      <c r="I217" s="23"/>
      <c r="J217" s="23"/>
      <c r="K217" s="23"/>
      <c r="L217" s="23"/>
      <c r="M217" s="23"/>
      <c r="N217" s="23"/>
      <c r="O217" s="23"/>
      <c r="P217" s="23"/>
      <c r="Q217" s="23"/>
      <c r="R217" s="23"/>
      <c r="S217" s="23"/>
    </row>
    <row r="218" spans="1:19" ht="15.75" customHeight="1" x14ac:dyDescent="0.25">
      <c r="A218" s="92" t="s">
        <v>3557</v>
      </c>
      <c r="B218" s="22" t="s">
        <v>3558</v>
      </c>
      <c r="C218" s="23"/>
      <c r="D218" s="23"/>
      <c r="E218" s="23"/>
      <c r="F218" s="23"/>
      <c r="G218" s="23"/>
      <c r="H218" s="23"/>
      <c r="I218" s="23"/>
      <c r="J218" s="23"/>
      <c r="K218" s="23"/>
      <c r="L218" s="23"/>
      <c r="M218" s="23"/>
      <c r="N218" s="23"/>
      <c r="O218" s="23"/>
      <c r="P218" s="23"/>
      <c r="Q218" s="23"/>
      <c r="R218" s="23"/>
      <c r="S218" s="23"/>
    </row>
    <row r="219" spans="1:19" ht="15.75" customHeight="1" x14ac:dyDescent="0.25">
      <c r="A219" s="92" t="s">
        <v>3559</v>
      </c>
      <c r="B219" s="22" t="s">
        <v>3560</v>
      </c>
      <c r="C219" s="23"/>
      <c r="D219" s="23"/>
      <c r="E219" s="23"/>
      <c r="F219" s="23"/>
      <c r="G219" s="23"/>
      <c r="H219" s="23"/>
      <c r="I219" s="23"/>
      <c r="J219" s="23"/>
      <c r="K219" s="23"/>
      <c r="L219" s="23"/>
      <c r="M219" s="23"/>
      <c r="N219" s="23"/>
      <c r="O219" s="23"/>
      <c r="P219" s="23"/>
      <c r="Q219" s="23"/>
      <c r="R219" s="23"/>
      <c r="S219" s="23"/>
    </row>
    <row r="220" spans="1:19" ht="15.75" customHeight="1" x14ac:dyDescent="0.25">
      <c r="A220" s="92" t="s">
        <v>3561</v>
      </c>
      <c r="B220" s="22" t="s">
        <v>3562</v>
      </c>
      <c r="C220" s="23"/>
      <c r="D220" s="23"/>
      <c r="E220" s="23"/>
      <c r="F220" s="23"/>
      <c r="G220" s="23"/>
      <c r="H220" s="23"/>
      <c r="I220" s="23"/>
      <c r="J220" s="23"/>
      <c r="K220" s="23"/>
      <c r="L220" s="23"/>
      <c r="M220" s="23"/>
      <c r="N220" s="23"/>
      <c r="O220" s="23"/>
      <c r="P220" s="23"/>
      <c r="Q220" s="23"/>
      <c r="R220" s="23"/>
      <c r="S220" s="23"/>
    </row>
    <row r="221" spans="1:19" ht="15.75" customHeight="1" x14ac:dyDescent="0.25">
      <c r="A221" s="92" t="s">
        <v>3563</v>
      </c>
      <c r="B221" s="22" t="s">
        <v>3564</v>
      </c>
      <c r="C221" s="23"/>
      <c r="D221" s="23"/>
      <c r="E221" s="23"/>
      <c r="F221" s="23"/>
      <c r="G221" s="23"/>
      <c r="H221" s="23"/>
      <c r="I221" s="23"/>
      <c r="J221" s="23"/>
      <c r="K221" s="23"/>
      <c r="L221" s="23"/>
      <c r="M221" s="23"/>
      <c r="N221" s="23"/>
      <c r="O221" s="23"/>
      <c r="P221" s="23"/>
      <c r="Q221" s="23"/>
      <c r="R221" s="23"/>
      <c r="S221" s="23"/>
    </row>
    <row r="222" spans="1:19" ht="15.75" customHeight="1" x14ac:dyDescent="0.25">
      <c r="A222" s="92" t="s">
        <v>3565</v>
      </c>
      <c r="B222" s="22" t="s">
        <v>3566</v>
      </c>
      <c r="C222" s="23"/>
      <c r="D222" s="23"/>
      <c r="E222" s="23"/>
      <c r="F222" s="23"/>
      <c r="G222" s="23"/>
      <c r="H222" s="23"/>
      <c r="I222" s="23"/>
      <c r="J222" s="23"/>
      <c r="K222" s="23"/>
      <c r="L222" s="23"/>
      <c r="M222" s="23"/>
      <c r="N222" s="23"/>
      <c r="O222" s="23"/>
      <c r="P222" s="23"/>
      <c r="Q222" s="23"/>
      <c r="R222" s="23"/>
      <c r="S222" s="23"/>
    </row>
    <row r="223" spans="1:19" ht="15.75" customHeight="1" x14ac:dyDescent="0.25">
      <c r="A223" s="92" t="s">
        <v>3567</v>
      </c>
      <c r="B223" s="22" t="s">
        <v>3568</v>
      </c>
      <c r="C223" s="23"/>
      <c r="D223" s="23"/>
      <c r="E223" s="23"/>
      <c r="F223" s="23"/>
      <c r="G223" s="23"/>
      <c r="H223" s="23"/>
      <c r="I223" s="23"/>
      <c r="J223" s="23"/>
      <c r="K223" s="23"/>
      <c r="L223" s="23"/>
      <c r="M223" s="23"/>
      <c r="N223" s="23"/>
      <c r="O223" s="23"/>
      <c r="P223" s="23"/>
      <c r="Q223" s="23"/>
      <c r="R223" s="23"/>
      <c r="S223" s="23"/>
    </row>
    <row r="224" spans="1:19" ht="15.75" customHeight="1" x14ac:dyDescent="0.25">
      <c r="A224" s="92" t="s">
        <v>3569</v>
      </c>
      <c r="B224" s="22" t="s">
        <v>3570</v>
      </c>
      <c r="C224" s="23"/>
      <c r="D224" s="23"/>
      <c r="E224" s="23"/>
      <c r="F224" s="23"/>
      <c r="G224" s="23"/>
      <c r="H224" s="23"/>
      <c r="I224" s="23"/>
      <c r="J224" s="23"/>
      <c r="K224" s="23"/>
      <c r="L224" s="23"/>
      <c r="M224" s="23"/>
      <c r="N224" s="23"/>
      <c r="O224" s="23"/>
      <c r="P224" s="23"/>
      <c r="Q224" s="23"/>
      <c r="R224" s="23"/>
      <c r="S224" s="23"/>
    </row>
    <row r="225" spans="1:19" ht="15.75" customHeight="1" x14ac:dyDescent="0.25">
      <c r="A225" s="92" t="s">
        <v>3571</v>
      </c>
      <c r="B225" s="22" t="s">
        <v>3572</v>
      </c>
      <c r="C225" s="23"/>
      <c r="D225" s="23"/>
      <c r="E225" s="23"/>
      <c r="F225" s="23"/>
      <c r="G225" s="23"/>
      <c r="H225" s="23"/>
      <c r="I225" s="23"/>
      <c r="J225" s="23"/>
      <c r="K225" s="23"/>
      <c r="L225" s="23"/>
      <c r="M225" s="23"/>
      <c r="N225" s="23"/>
      <c r="O225" s="23"/>
      <c r="P225" s="23"/>
      <c r="Q225" s="23"/>
      <c r="R225" s="23"/>
      <c r="S225" s="23"/>
    </row>
    <row r="226" spans="1:19" ht="15.75" customHeight="1" x14ac:dyDescent="0.25">
      <c r="A226" s="92" t="s">
        <v>3573</v>
      </c>
      <c r="B226" s="22" t="s">
        <v>3574</v>
      </c>
      <c r="C226" s="23"/>
      <c r="D226" s="23"/>
      <c r="E226" s="23"/>
      <c r="F226" s="23"/>
      <c r="G226" s="23"/>
      <c r="H226" s="23"/>
      <c r="I226" s="23"/>
      <c r="J226" s="23"/>
      <c r="K226" s="23"/>
      <c r="L226" s="23"/>
      <c r="M226" s="23"/>
      <c r="N226" s="23"/>
      <c r="O226" s="23"/>
      <c r="P226" s="23"/>
      <c r="Q226" s="23"/>
      <c r="R226" s="23"/>
      <c r="S226" s="23"/>
    </row>
    <row r="227" spans="1:19" ht="15.75" customHeight="1" x14ac:dyDescent="0.25">
      <c r="A227" s="92" t="s">
        <v>3575</v>
      </c>
      <c r="B227" s="22" t="s">
        <v>3576</v>
      </c>
      <c r="C227" s="23"/>
      <c r="D227" s="23"/>
      <c r="E227" s="23"/>
      <c r="F227" s="23"/>
      <c r="G227" s="23"/>
      <c r="H227" s="23"/>
      <c r="I227" s="23"/>
      <c r="J227" s="23"/>
      <c r="K227" s="23"/>
      <c r="L227" s="23"/>
      <c r="M227" s="23"/>
      <c r="N227" s="23"/>
      <c r="O227" s="23"/>
      <c r="P227" s="23"/>
      <c r="Q227" s="23"/>
      <c r="R227" s="23"/>
      <c r="S227" s="23"/>
    </row>
    <row r="228" spans="1:19" ht="15.75" customHeight="1" x14ac:dyDescent="0.25">
      <c r="A228" s="92" t="s">
        <v>3577</v>
      </c>
      <c r="B228" s="22" t="s">
        <v>3578</v>
      </c>
      <c r="C228" s="23"/>
      <c r="D228" s="23"/>
      <c r="E228" s="23"/>
      <c r="F228" s="23"/>
      <c r="G228" s="23"/>
      <c r="H228" s="23"/>
      <c r="I228" s="23"/>
      <c r="J228" s="23"/>
      <c r="K228" s="23"/>
      <c r="L228" s="23"/>
      <c r="M228" s="23"/>
      <c r="N228" s="23"/>
      <c r="O228" s="23"/>
      <c r="P228" s="23"/>
      <c r="Q228" s="23"/>
      <c r="R228" s="23"/>
      <c r="S228" s="23"/>
    </row>
    <row r="229" spans="1:19" ht="15.75" customHeight="1" x14ac:dyDescent="0.25">
      <c r="A229" s="92" t="s">
        <v>3579</v>
      </c>
      <c r="B229" s="22" t="s">
        <v>3580</v>
      </c>
      <c r="C229" s="23"/>
      <c r="D229" s="23"/>
      <c r="E229" s="23"/>
      <c r="F229" s="23"/>
      <c r="G229" s="23"/>
      <c r="H229" s="23"/>
      <c r="I229" s="23"/>
      <c r="J229" s="23"/>
      <c r="K229" s="23"/>
      <c r="L229" s="23"/>
      <c r="M229" s="23"/>
      <c r="N229" s="23"/>
      <c r="O229" s="23"/>
      <c r="P229" s="23"/>
      <c r="Q229" s="23"/>
      <c r="R229" s="23"/>
      <c r="S229" s="23"/>
    </row>
    <row r="230" spans="1:19" ht="15.75" customHeight="1" x14ac:dyDescent="0.25">
      <c r="A230" s="92" t="s">
        <v>3581</v>
      </c>
      <c r="B230" s="22" t="s">
        <v>3582</v>
      </c>
      <c r="C230" s="23"/>
      <c r="D230" s="23"/>
      <c r="E230" s="23"/>
      <c r="F230" s="23"/>
      <c r="G230" s="23"/>
      <c r="H230" s="23"/>
      <c r="I230" s="23"/>
      <c r="J230" s="23"/>
      <c r="K230" s="23"/>
      <c r="L230" s="23"/>
      <c r="M230" s="23"/>
      <c r="N230" s="23"/>
      <c r="O230" s="23"/>
      <c r="P230" s="23"/>
      <c r="Q230" s="23"/>
      <c r="R230" s="23"/>
      <c r="S230" s="23"/>
    </row>
    <row r="231" spans="1:19" ht="15.75" customHeight="1" x14ac:dyDescent="0.25">
      <c r="A231" s="92" t="s">
        <v>3583</v>
      </c>
      <c r="B231" s="22" t="s">
        <v>3584</v>
      </c>
      <c r="C231" s="23"/>
      <c r="D231" s="23"/>
      <c r="E231" s="23"/>
      <c r="F231" s="23"/>
      <c r="G231" s="23"/>
      <c r="H231" s="23"/>
      <c r="I231" s="23"/>
      <c r="J231" s="23"/>
      <c r="K231" s="23"/>
      <c r="L231" s="23"/>
      <c r="M231" s="23"/>
      <c r="N231" s="23"/>
      <c r="O231" s="23"/>
      <c r="P231" s="23"/>
      <c r="Q231" s="23"/>
      <c r="R231" s="23"/>
      <c r="S231" s="23"/>
    </row>
    <row r="232" spans="1:19" ht="15.75" customHeight="1" x14ac:dyDescent="0.25">
      <c r="A232" s="92" t="s">
        <v>3585</v>
      </c>
      <c r="B232" s="22" t="s">
        <v>3586</v>
      </c>
      <c r="C232" s="23"/>
      <c r="D232" s="23"/>
      <c r="E232" s="23"/>
      <c r="F232" s="23"/>
      <c r="G232" s="23"/>
      <c r="H232" s="23"/>
      <c r="I232" s="23"/>
      <c r="J232" s="23"/>
      <c r="K232" s="23"/>
      <c r="L232" s="23"/>
      <c r="M232" s="23"/>
      <c r="N232" s="23"/>
      <c r="O232" s="23"/>
      <c r="P232" s="23"/>
      <c r="Q232" s="23"/>
      <c r="R232" s="23"/>
      <c r="S232" s="23"/>
    </row>
    <row r="233" spans="1:19" ht="15.75" customHeight="1" x14ac:dyDescent="0.25">
      <c r="A233" s="92" t="s">
        <v>3587</v>
      </c>
      <c r="B233" s="22" t="s">
        <v>3588</v>
      </c>
      <c r="C233" s="23"/>
      <c r="D233" s="23"/>
      <c r="E233" s="23"/>
      <c r="F233" s="23"/>
      <c r="G233" s="23"/>
      <c r="H233" s="23"/>
      <c r="I233" s="23"/>
      <c r="J233" s="23"/>
      <c r="K233" s="23"/>
      <c r="L233" s="23"/>
      <c r="M233" s="23"/>
      <c r="N233" s="23"/>
      <c r="O233" s="23"/>
      <c r="P233" s="23"/>
      <c r="Q233" s="23"/>
      <c r="R233" s="23"/>
      <c r="S233" s="23"/>
    </row>
    <row r="234" spans="1:19" ht="15.75" customHeight="1" x14ac:dyDescent="0.25">
      <c r="A234" s="92" t="s">
        <v>3589</v>
      </c>
      <c r="B234" s="22" t="s">
        <v>3590</v>
      </c>
      <c r="C234" s="23"/>
      <c r="D234" s="23"/>
      <c r="E234" s="23"/>
      <c r="F234" s="23"/>
      <c r="G234" s="23"/>
      <c r="H234" s="23"/>
      <c r="I234" s="23"/>
      <c r="J234" s="23"/>
      <c r="K234" s="23"/>
      <c r="L234" s="23"/>
      <c r="M234" s="23"/>
      <c r="N234" s="23"/>
      <c r="O234" s="23"/>
      <c r="P234" s="23"/>
      <c r="Q234" s="23"/>
      <c r="R234" s="23"/>
      <c r="S234" s="23"/>
    </row>
    <row r="235" spans="1:19" ht="15.75" customHeight="1" x14ac:dyDescent="0.25">
      <c r="A235" s="92" t="s">
        <v>3591</v>
      </c>
      <c r="B235" s="22" t="s">
        <v>3592</v>
      </c>
      <c r="C235" s="23"/>
      <c r="D235" s="23"/>
      <c r="E235" s="23"/>
      <c r="F235" s="23"/>
      <c r="G235" s="23"/>
      <c r="H235" s="23"/>
      <c r="I235" s="23"/>
      <c r="J235" s="23"/>
      <c r="K235" s="23"/>
      <c r="L235" s="23"/>
      <c r="M235" s="23"/>
      <c r="N235" s="23"/>
      <c r="O235" s="23"/>
      <c r="P235" s="23"/>
      <c r="Q235" s="23"/>
      <c r="R235" s="23"/>
      <c r="S235" s="23"/>
    </row>
    <row r="236" spans="1:19" ht="15.75" customHeight="1" x14ac:dyDescent="0.25">
      <c r="A236" s="92" t="s">
        <v>3593</v>
      </c>
      <c r="B236" s="22" t="s">
        <v>3594</v>
      </c>
      <c r="C236" s="23"/>
      <c r="D236" s="23"/>
      <c r="E236" s="23"/>
      <c r="F236" s="23"/>
      <c r="G236" s="23"/>
      <c r="H236" s="23"/>
      <c r="I236" s="23"/>
      <c r="J236" s="23"/>
      <c r="K236" s="23"/>
      <c r="L236" s="23"/>
      <c r="M236" s="23"/>
      <c r="N236" s="23"/>
      <c r="O236" s="23"/>
      <c r="P236" s="23"/>
      <c r="Q236" s="23"/>
      <c r="R236" s="23"/>
      <c r="S236" s="23"/>
    </row>
    <row r="237" spans="1:19" ht="15.75" customHeight="1" x14ac:dyDescent="0.25">
      <c r="A237" s="92" t="s">
        <v>3595</v>
      </c>
      <c r="B237" s="22" t="s">
        <v>3596</v>
      </c>
      <c r="C237" s="23"/>
      <c r="D237" s="23"/>
      <c r="E237" s="23"/>
      <c r="F237" s="23"/>
      <c r="G237" s="23"/>
      <c r="H237" s="23"/>
      <c r="I237" s="23"/>
      <c r="J237" s="23"/>
      <c r="K237" s="23"/>
      <c r="L237" s="23"/>
      <c r="M237" s="23"/>
      <c r="N237" s="23"/>
      <c r="O237" s="23"/>
      <c r="P237" s="23"/>
      <c r="Q237" s="23"/>
      <c r="R237" s="23"/>
      <c r="S237" s="23"/>
    </row>
    <row r="238" spans="1:19" ht="15.75" customHeight="1" x14ac:dyDescent="0.25">
      <c r="A238" s="92" t="s">
        <v>3597</v>
      </c>
      <c r="B238" s="22" t="s">
        <v>3598</v>
      </c>
      <c r="C238" s="23"/>
      <c r="D238" s="23"/>
      <c r="E238" s="23"/>
      <c r="F238" s="23"/>
      <c r="G238" s="23"/>
      <c r="H238" s="23"/>
      <c r="I238" s="23"/>
      <c r="J238" s="23"/>
      <c r="K238" s="23"/>
      <c r="L238" s="23"/>
      <c r="M238" s="23"/>
      <c r="N238" s="23"/>
      <c r="O238" s="23"/>
      <c r="P238" s="23"/>
      <c r="Q238" s="23"/>
      <c r="R238" s="23"/>
      <c r="S238" s="23"/>
    </row>
    <row r="239" spans="1:19" ht="15.75" customHeight="1" x14ac:dyDescent="0.25">
      <c r="A239" s="92" t="s">
        <v>3599</v>
      </c>
      <c r="B239" s="22" t="s">
        <v>3600</v>
      </c>
      <c r="C239" s="23"/>
      <c r="D239" s="23"/>
      <c r="E239" s="23"/>
      <c r="F239" s="23"/>
      <c r="G239" s="23"/>
      <c r="H239" s="23"/>
      <c r="I239" s="23"/>
      <c r="J239" s="23"/>
      <c r="K239" s="23"/>
      <c r="L239" s="23"/>
      <c r="M239" s="23"/>
      <c r="N239" s="23"/>
      <c r="O239" s="23"/>
      <c r="P239" s="23"/>
      <c r="Q239" s="23"/>
      <c r="R239" s="23"/>
      <c r="S239" s="23"/>
    </row>
    <row r="240" spans="1:19" ht="15.75" customHeight="1" x14ac:dyDescent="0.25">
      <c r="A240" s="92" t="s">
        <v>3601</v>
      </c>
      <c r="B240" s="22" t="s">
        <v>3602</v>
      </c>
      <c r="C240" s="23"/>
      <c r="D240" s="23"/>
      <c r="E240" s="23"/>
      <c r="F240" s="23"/>
      <c r="G240" s="23"/>
      <c r="H240" s="23"/>
      <c r="I240" s="23"/>
      <c r="J240" s="23"/>
      <c r="K240" s="23"/>
      <c r="L240" s="23"/>
      <c r="M240" s="23"/>
      <c r="N240" s="23"/>
      <c r="O240" s="23"/>
      <c r="P240" s="23"/>
      <c r="Q240" s="23"/>
      <c r="R240" s="23"/>
      <c r="S240" s="23"/>
    </row>
    <row r="241" spans="1:19" ht="15.75" customHeight="1" x14ac:dyDescent="0.25">
      <c r="A241" s="92" t="s">
        <v>3603</v>
      </c>
      <c r="B241" s="22" t="s">
        <v>3604</v>
      </c>
      <c r="C241" s="23"/>
      <c r="D241" s="23"/>
      <c r="E241" s="23"/>
      <c r="F241" s="23"/>
      <c r="G241" s="23"/>
      <c r="H241" s="23"/>
      <c r="I241" s="23"/>
      <c r="J241" s="23"/>
      <c r="K241" s="23"/>
      <c r="L241" s="23"/>
      <c r="M241" s="23"/>
      <c r="N241" s="23"/>
      <c r="O241" s="23"/>
      <c r="P241" s="23"/>
      <c r="Q241" s="23"/>
      <c r="R241" s="23"/>
      <c r="S241" s="23"/>
    </row>
    <row r="242" spans="1:19" ht="15.75" customHeight="1" x14ac:dyDescent="0.25">
      <c r="A242" s="92" t="s">
        <v>3605</v>
      </c>
      <c r="B242" s="22" t="s">
        <v>3606</v>
      </c>
      <c r="C242" s="23"/>
      <c r="D242" s="23"/>
      <c r="E242" s="23"/>
      <c r="F242" s="23"/>
      <c r="G242" s="23"/>
      <c r="H242" s="23"/>
      <c r="I242" s="23"/>
      <c r="J242" s="23"/>
      <c r="K242" s="23"/>
      <c r="L242" s="23"/>
      <c r="M242" s="23"/>
      <c r="N242" s="23"/>
      <c r="O242" s="23"/>
      <c r="P242" s="23"/>
      <c r="Q242" s="23"/>
      <c r="R242" s="23"/>
      <c r="S242" s="23"/>
    </row>
    <row r="243" spans="1:19" ht="15.75" customHeight="1" x14ac:dyDescent="0.25">
      <c r="A243" s="92" t="s">
        <v>3607</v>
      </c>
      <c r="B243" s="22" t="s">
        <v>3608</v>
      </c>
      <c r="C243" s="23"/>
      <c r="D243" s="23"/>
      <c r="E243" s="23"/>
      <c r="F243" s="23"/>
      <c r="G243" s="23"/>
      <c r="H243" s="23"/>
      <c r="I243" s="23"/>
      <c r="J243" s="23"/>
      <c r="K243" s="23"/>
      <c r="L243" s="23"/>
      <c r="M243" s="23"/>
      <c r="N243" s="23"/>
      <c r="O243" s="23"/>
      <c r="P243" s="23"/>
      <c r="Q243" s="23"/>
      <c r="R243" s="23"/>
      <c r="S243" s="23"/>
    </row>
    <row r="244" spans="1:19" ht="15.75" customHeight="1" x14ac:dyDescent="0.25">
      <c r="A244" s="92" t="s">
        <v>3609</v>
      </c>
      <c r="B244" s="22" t="s">
        <v>3610</v>
      </c>
      <c r="C244" s="23"/>
      <c r="D244" s="23"/>
      <c r="E244" s="23"/>
      <c r="F244" s="23"/>
      <c r="G244" s="23"/>
      <c r="H244" s="23"/>
      <c r="I244" s="23"/>
      <c r="J244" s="23"/>
      <c r="K244" s="23"/>
      <c r="L244" s="23"/>
      <c r="M244" s="23"/>
      <c r="N244" s="23"/>
      <c r="O244" s="23"/>
      <c r="P244" s="23"/>
      <c r="Q244" s="23"/>
      <c r="R244" s="23"/>
      <c r="S244" s="23"/>
    </row>
    <row r="245" spans="1:19" ht="15.75" customHeight="1" x14ac:dyDescent="0.25">
      <c r="A245" s="92" t="s">
        <v>3611</v>
      </c>
      <c r="B245" s="22" t="s">
        <v>3612</v>
      </c>
      <c r="C245" s="23"/>
      <c r="D245" s="23"/>
      <c r="E245" s="23"/>
      <c r="F245" s="23"/>
      <c r="G245" s="23"/>
      <c r="H245" s="23"/>
      <c r="I245" s="23"/>
      <c r="J245" s="23"/>
      <c r="K245" s="23"/>
      <c r="L245" s="23"/>
      <c r="M245" s="23"/>
      <c r="N245" s="23"/>
      <c r="O245" s="23"/>
      <c r="P245" s="23"/>
      <c r="Q245" s="23"/>
      <c r="R245" s="23"/>
      <c r="S245" s="23"/>
    </row>
    <row r="246" spans="1:19" ht="15.75" customHeight="1" x14ac:dyDescent="0.25">
      <c r="A246" s="92" t="s">
        <v>3613</v>
      </c>
      <c r="B246" s="22" t="s">
        <v>3614</v>
      </c>
      <c r="C246" s="23"/>
      <c r="D246" s="23"/>
      <c r="E246" s="23"/>
      <c r="F246" s="23"/>
      <c r="G246" s="23"/>
      <c r="H246" s="23"/>
      <c r="I246" s="23"/>
      <c r="J246" s="23"/>
      <c r="K246" s="23"/>
      <c r="L246" s="23"/>
      <c r="M246" s="23"/>
      <c r="N246" s="23"/>
      <c r="O246" s="23"/>
      <c r="P246" s="23"/>
      <c r="Q246" s="23"/>
      <c r="R246" s="23"/>
      <c r="S246" s="23"/>
    </row>
    <row r="247" spans="1:19" ht="15.75" customHeight="1" x14ac:dyDescent="0.25">
      <c r="A247" s="92" t="s">
        <v>3615</v>
      </c>
      <c r="B247" s="22" t="s">
        <v>3616</v>
      </c>
      <c r="C247" s="23"/>
      <c r="D247" s="23"/>
      <c r="E247" s="23"/>
      <c r="F247" s="23"/>
      <c r="G247" s="23"/>
      <c r="H247" s="23"/>
      <c r="I247" s="23"/>
      <c r="J247" s="23"/>
      <c r="K247" s="23"/>
      <c r="L247" s="23"/>
      <c r="M247" s="23"/>
      <c r="N247" s="23"/>
      <c r="O247" s="23"/>
      <c r="P247" s="23"/>
      <c r="Q247" s="23"/>
      <c r="R247" s="23"/>
      <c r="S247" s="23"/>
    </row>
    <row r="248" spans="1:19" ht="15.75" customHeight="1" x14ac:dyDescent="0.25">
      <c r="A248" s="92" t="s">
        <v>3617</v>
      </c>
      <c r="B248" s="22" t="s">
        <v>3618</v>
      </c>
      <c r="C248" s="23"/>
      <c r="D248" s="23"/>
      <c r="E248" s="23"/>
      <c r="F248" s="23"/>
      <c r="G248" s="23"/>
      <c r="H248" s="23"/>
      <c r="I248" s="23"/>
      <c r="J248" s="23"/>
      <c r="K248" s="23"/>
      <c r="L248" s="23"/>
      <c r="M248" s="23"/>
      <c r="N248" s="23"/>
      <c r="O248" s="23"/>
      <c r="P248" s="23"/>
      <c r="Q248" s="23"/>
      <c r="R248" s="23"/>
      <c r="S248" s="23"/>
    </row>
    <row r="249" spans="1:19" ht="15.75" customHeight="1" x14ac:dyDescent="0.25">
      <c r="A249" s="92" t="s">
        <v>3619</v>
      </c>
      <c r="B249" s="22" t="s">
        <v>3620</v>
      </c>
      <c r="C249" s="23"/>
      <c r="D249" s="23"/>
      <c r="E249" s="23"/>
      <c r="F249" s="23"/>
      <c r="G249" s="23"/>
      <c r="H249" s="23"/>
      <c r="I249" s="23"/>
      <c r="J249" s="23"/>
      <c r="K249" s="23"/>
      <c r="L249" s="23"/>
      <c r="M249" s="23"/>
      <c r="N249" s="23"/>
      <c r="O249" s="23"/>
      <c r="P249" s="23"/>
      <c r="Q249" s="23"/>
      <c r="R249" s="23"/>
      <c r="S249" s="23"/>
    </row>
    <row r="250" spans="1:19" ht="15.75" customHeight="1" x14ac:dyDescent="0.25">
      <c r="A250" s="92" t="s">
        <v>3621</v>
      </c>
      <c r="B250" s="22" t="s">
        <v>3622</v>
      </c>
      <c r="C250" s="23"/>
      <c r="D250" s="23"/>
      <c r="E250" s="23"/>
      <c r="F250" s="23"/>
      <c r="G250" s="23"/>
      <c r="H250" s="23"/>
      <c r="I250" s="23"/>
      <c r="J250" s="23"/>
      <c r="K250" s="23"/>
      <c r="L250" s="23"/>
      <c r="M250" s="23"/>
      <c r="N250" s="23"/>
      <c r="O250" s="23"/>
      <c r="P250" s="23"/>
      <c r="Q250" s="23"/>
      <c r="R250" s="23"/>
      <c r="S250" s="23"/>
    </row>
    <row r="251" spans="1:19" ht="15.75" customHeight="1" x14ac:dyDescent="0.25">
      <c r="A251" s="92" t="s">
        <v>3623</v>
      </c>
      <c r="B251" s="22" t="s">
        <v>3624</v>
      </c>
      <c r="C251" s="23"/>
      <c r="D251" s="23"/>
      <c r="E251" s="23"/>
      <c r="F251" s="23"/>
      <c r="G251" s="23"/>
      <c r="H251" s="23"/>
      <c r="I251" s="23"/>
      <c r="J251" s="23"/>
      <c r="K251" s="23"/>
      <c r="L251" s="23"/>
      <c r="M251" s="23"/>
      <c r="N251" s="23"/>
      <c r="O251" s="23"/>
      <c r="P251" s="23"/>
      <c r="Q251" s="23"/>
      <c r="R251" s="23"/>
      <c r="S251" s="23"/>
    </row>
    <row r="252" spans="1:19" ht="15.75" customHeight="1" x14ac:dyDescent="0.25">
      <c r="A252" s="92" t="s">
        <v>3625</v>
      </c>
      <c r="B252" s="22" t="s">
        <v>3626</v>
      </c>
      <c r="C252" s="23"/>
      <c r="D252" s="23"/>
      <c r="E252" s="23"/>
      <c r="F252" s="23"/>
      <c r="G252" s="23"/>
      <c r="H252" s="23"/>
      <c r="I252" s="23"/>
      <c r="J252" s="23"/>
      <c r="K252" s="23"/>
      <c r="L252" s="23"/>
      <c r="M252" s="23"/>
      <c r="N252" s="23"/>
      <c r="O252" s="23"/>
      <c r="P252" s="23"/>
      <c r="Q252" s="23"/>
      <c r="R252" s="23"/>
      <c r="S252" s="23"/>
    </row>
    <row r="253" spans="1:19" ht="15.75" customHeight="1" x14ac:dyDescent="0.25">
      <c r="A253" s="92" t="s">
        <v>3627</v>
      </c>
      <c r="B253" s="22" t="s">
        <v>3628</v>
      </c>
      <c r="C253" s="23"/>
      <c r="D253" s="23"/>
      <c r="E253" s="23"/>
      <c r="F253" s="23"/>
      <c r="G253" s="23"/>
      <c r="H253" s="23"/>
      <c r="I253" s="23"/>
      <c r="J253" s="23"/>
      <c r="K253" s="23"/>
      <c r="L253" s="23"/>
      <c r="M253" s="23"/>
      <c r="N253" s="23"/>
      <c r="O253" s="23"/>
      <c r="P253" s="23"/>
      <c r="Q253" s="23"/>
      <c r="R253" s="23"/>
      <c r="S253" s="23"/>
    </row>
    <row r="254" spans="1:19" ht="15.75" customHeight="1" x14ac:dyDescent="0.25">
      <c r="A254" s="92" t="s">
        <v>3629</v>
      </c>
      <c r="B254" s="22" t="s">
        <v>3630</v>
      </c>
      <c r="C254" s="23"/>
      <c r="D254" s="23"/>
      <c r="E254" s="23"/>
      <c r="F254" s="23"/>
      <c r="G254" s="23"/>
      <c r="H254" s="23"/>
      <c r="I254" s="23"/>
      <c r="J254" s="23"/>
      <c r="K254" s="23"/>
      <c r="L254" s="23"/>
      <c r="M254" s="23"/>
      <c r="N254" s="23"/>
      <c r="O254" s="23"/>
      <c r="P254" s="23"/>
      <c r="Q254" s="23"/>
      <c r="R254" s="23"/>
      <c r="S254" s="23"/>
    </row>
    <row r="255" spans="1:19" ht="15.75" customHeight="1" x14ac:dyDescent="0.25">
      <c r="A255" s="92" t="s">
        <v>3631</v>
      </c>
      <c r="B255" s="22" t="s">
        <v>3632</v>
      </c>
      <c r="C255" s="23"/>
      <c r="D255" s="23"/>
      <c r="E255" s="23"/>
      <c r="F255" s="23"/>
      <c r="G255" s="23"/>
      <c r="H255" s="23"/>
      <c r="I255" s="23"/>
      <c r="J255" s="23"/>
      <c r="K255" s="23"/>
      <c r="L255" s="23"/>
      <c r="M255" s="23"/>
      <c r="N255" s="23"/>
      <c r="O255" s="23"/>
      <c r="P255" s="23"/>
      <c r="Q255" s="23"/>
      <c r="R255" s="23"/>
      <c r="S255" s="23"/>
    </row>
    <row r="256" spans="1:19" ht="15.75" customHeight="1" x14ac:dyDescent="0.25">
      <c r="A256" s="92" t="s">
        <v>3633</v>
      </c>
      <c r="B256" s="22" t="s">
        <v>3634</v>
      </c>
      <c r="C256" s="23"/>
      <c r="D256" s="23"/>
      <c r="E256" s="23"/>
      <c r="F256" s="23"/>
      <c r="G256" s="23"/>
      <c r="H256" s="23"/>
      <c r="I256" s="23"/>
      <c r="J256" s="23"/>
      <c r="K256" s="23"/>
      <c r="L256" s="23"/>
      <c r="M256" s="23"/>
      <c r="N256" s="23"/>
      <c r="O256" s="23"/>
      <c r="P256" s="23"/>
      <c r="Q256" s="23"/>
      <c r="R256" s="23"/>
      <c r="S256" s="23"/>
    </row>
    <row r="257" spans="1:19" ht="15.75" customHeight="1" x14ac:dyDescent="0.25">
      <c r="A257" s="92" t="s">
        <v>3635</v>
      </c>
      <c r="B257" s="22" t="s">
        <v>3636</v>
      </c>
      <c r="C257" s="23"/>
      <c r="D257" s="23"/>
      <c r="E257" s="23"/>
      <c r="F257" s="23"/>
      <c r="G257" s="23"/>
      <c r="H257" s="23"/>
      <c r="I257" s="23"/>
      <c r="J257" s="23"/>
      <c r="K257" s="23"/>
      <c r="L257" s="23"/>
      <c r="M257" s="23"/>
      <c r="N257" s="23"/>
      <c r="O257" s="23"/>
      <c r="P257" s="23"/>
      <c r="Q257" s="23"/>
      <c r="R257" s="23"/>
      <c r="S257" s="23"/>
    </row>
    <row r="258" spans="1:19" ht="15.75" customHeight="1" x14ac:dyDescent="0.25">
      <c r="A258" s="92" t="s">
        <v>3637</v>
      </c>
      <c r="B258" s="22" t="s">
        <v>3638</v>
      </c>
      <c r="C258" s="23"/>
      <c r="D258" s="23"/>
      <c r="E258" s="23"/>
      <c r="F258" s="23"/>
      <c r="G258" s="23"/>
      <c r="H258" s="23"/>
      <c r="I258" s="23"/>
      <c r="J258" s="23"/>
      <c r="K258" s="23"/>
      <c r="L258" s="23"/>
      <c r="M258" s="23"/>
      <c r="N258" s="23"/>
      <c r="O258" s="23"/>
      <c r="P258" s="23"/>
      <c r="Q258" s="23"/>
      <c r="R258" s="23"/>
      <c r="S258" s="23"/>
    </row>
    <row r="259" spans="1:19" ht="15.75" customHeight="1" x14ac:dyDescent="0.25">
      <c r="A259" s="92" t="s">
        <v>3639</v>
      </c>
      <c r="B259" s="22" t="s">
        <v>3640</v>
      </c>
      <c r="C259" s="23"/>
      <c r="D259" s="23"/>
      <c r="E259" s="23"/>
      <c r="F259" s="23"/>
      <c r="G259" s="23"/>
      <c r="H259" s="23"/>
      <c r="I259" s="23"/>
      <c r="J259" s="23"/>
      <c r="K259" s="23"/>
      <c r="L259" s="23"/>
      <c r="M259" s="23"/>
      <c r="N259" s="23"/>
      <c r="O259" s="23"/>
      <c r="P259" s="23"/>
      <c r="Q259" s="23"/>
      <c r="R259" s="23"/>
      <c r="S259" s="23"/>
    </row>
    <row r="260" spans="1:19" ht="15.75" customHeight="1" x14ac:dyDescent="0.25">
      <c r="A260" s="92" t="s">
        <v>3641</v>
      </c>
      <c r="B260" s="22" t="s">
        <v>3642</v>
      </c>
      <c r="C260" s="23"/>
      <c r="D260" s="23"/>
      <c r="E260" s="23"/>
      <c r="F260" s="23"/>
      <c r="G260" s="23"/>
      <c r="H260" s="23"/>
      <c r="I260" s="23"/>
      <c r="J260" s="23"/>
      <c r="K260" s="23"/>
      <c r="L260" s="23"/>
      <c r="M260" s="23"/>
      <c r="N260" s="23"/>
      <c r="O260" s="23"/>
      <c r="P260" s="23"/>
      <c r="Q260" s="23"/>
      <c r="R260" s="23"/>
      <c r="S260" s="23"/>
    </row>
    <row r="261" spans="1:19" ht="15.75" customHeight="1" x14ac:dyDescent="0.25">
      <c r="A261" s="92" t="s">
        <v>3643</v>
      </c>
      <c r="B261" s="22" t="s">
        <v>3644</v>
      </c>
      <c r="C261" s="23"/>
      <c r="D261" s="23"/>
      <c r="E261" s="23"/>
      <c r="F261" s="23"/>
      <c r="G261" s="23"/>
      <c r="H261" s="23"/>
      <c r="I261" s="23"/>
      <c r="J261" s="23"/>
      <c r="K261" s="23"/>
      <c r="L261" s="23"/>
      <c r="M261" s="23"/>
      <c r="N261" s="23"/>
      <c r="O261" s="23"/>
      <c r="P261" s="23"/>
      <c r="Q261" s="23"/>
      <c r="R261" s="23"/>
      <c r="S261" s="23"/>
    </row>
    <row r="262" spans="1:19" ht="15.75" customHeight="1" x14ac:dyDescent="0.25">
      <c r="A262" s="92" t="s">
        <v>3645</v>
      </c>
      <c r="B262" s="22" t="s">
        <v>3646</v>
      </c>
      <c r="C262" s="23"/>
      <c r="D262" s="23"/>
      <c r="E262" s="23"/>
      <c r="F262" s="23"/>
      <c r="G262" s="23"/>
      <c r="H262" s="23"/>
      <c r="I262" s="23"/>
      <c r="J262" s="23"/>
      <c r="K262" s="23"/>
      <c r="L262" s="23"/>
      <c r="M262" s="23"/>
      <c r="N262" s="23"/>
      <c r="O262" s="23"/>
      <c r="P262" s="23"/>
      <c r="Q262" s="23"/>
      <c r="R262" s="23"/>
      <c r="S262" s="23"/>
    </row>
    <row r="263" spans="1:19" ht="15.75" customHeight="1" x14ac:dyDescent="0.25">
      <c r="A263" s="92" t="s">
        <v>3647</v>
      </c>
      <c r="B263" s="22" t="s">
        <v>3648</v>
      </c>
      <c r="C263" s="23"/>
      <c r="D263" s="23"/>
      <c r="E263" s="23"/>
      <c r="F263" s="23"/>
      <c r="G263" s="23"/>
      <c r="H263" s="23"/>
      <c r="I263" s="23"/>
      <c r="J263" s="23"/>
      <c r="K263" s="23"/>
      <c r="L263" s="23"/>
      <c r="M263" s="23"/>
      <c r="N263" s="23"/>
      <c r="O263" s="23"/>
      <c r="P263" s="23"/>
      <c r="Q263" s="23"/>
      <c r="R263" s="23"/>
      <c r="S263" s="23"/>
    </row>
    <row r="264" spans="1:19" ht="15.75" customHeight="1" x14ac:dyDescent="0.25">
      <c r="A264" s="92" t="s">
        <v>3649</v>
      </c>
      <c r="B264" s="22" t="s">
        <v>3650</v>
      </c>
      <c r="C264" s="23"/>
      <c r="D264" s="23"/>
      <c r="E264" s="23"/>
      <c r="F264" s="23"/>
      <c r="G264" s="23"/>
      <c r="H264" s="23"/>
      <c r="I264" s="23"/>
      <c r="J264" s="23"/>
      <c r="K264" s="23"/>
      <c r="L264" s="23"/>
      <c r="M264" s="23"/>
      <c r="N264" s="23"/>
      <c r="O264" s="23"/>
      <c r="P264" s="23"/>
      <c r="Q264" s="23"/>
      <c r="R264" s="23"/>
      <c r="S264" s="23"/>
    </row>
    <row r="265" spans="1:19" ht="15.75" customHeight="1" x14ac:dyDescent="0.25">
      <c r="A265" s="92" t="s">
        <v>3651</v>
      </c>
      <c r="B265" s="22" t="s">
        <v>3652</v>
      </c>
      <c r="C265" s="23"/>
      <c r="D265" s="23"/>
      <c r="E265" s="23"/>
      <c r="F265" s="23"/>
      <c r="G265" s="23"/>
      <c r="H265" s="23"/>
      <c r="I265" s="23"/>
      <c r="J265" s="23"/>
      <c r="K265" s="23"/>
      <c r="L265" s="23"/>
      <c r="M265" s="23"/>
      <c r="N265" s="23"/>
      <c r="O265" s="23"/>
      <c r="P265" s="23"/>
      <c r="Q265" s="23"/>
      <c r="R265" s="23"/>
      <c r="S265" s="23"/>
    </row>
    <row r="266" spans="1:19" ht="15.75" customHeight="1" x14ac:dyDescent="0.25">
      <c r="A266" s="92" t="s">
        <v>3653</v>
      </c>
      <c r="B266" s="22" t="s">
        <v>3654</v>
      </c>
      <c r="C266" s="23"/>
      <c r="D266" s="23"/>
      <c r="E266" s="23"/>
      <c r="F266" s="23"/>
      <c r="G266" s="23"/>
      <c r="H266" s="23"/>
      <c r="I266" s="23"/>
      <c r="J266" s="23"/>
      <c r="K266" s="23"/>
      <c r="L266" s="23"/>
      <c r="M266" s="23"/>
      <c r="N266" s="23"/>
      <c r="O266" s="23"/>
      <c r="P266" s="23"/>
      <c r="Q266" s="23"/>
      <c r="R266" s="23"/>
      <c r="S266" s="23"/>
    </row>
    <row r="267" spans="1:19" ht="15.75" customHeight="1" x14ac:dyDescent="0.25">
      <c r="A267" s="92" t="s">
        <v>3655</v>
      </c>
      <c r="B267" s="22" t="s">
        <v>3656</v>
      </c>
      <c r="C267" s="23"/>
      <c r="D267" s="23"/>
      <c r="E267" s="23"/>
      <c r="F267" s="23"/>
      <c r="G267" s="23"/>
      <c r="H267" s="23"/>
      <c r="I267" s="23"/>
      <c r="J267" s="23"/>
      <c r="K267" s="23"/>
      <c r="L267" s="23"/>
      <c r="M267" s="23"/>
      <c r="N267" s="23"/>
      <c r="O267" s="23"/>
      <c r="P267" s="23"/>
      <c r="Q267" s="23"/>
      <c r="R267" s="23"/>
      <c r="S267" s="23"/>
    </row>
    <row r="268" spans="1:19" ht="15.75" customHeight="1" x14ac:dyDescent="0.25">
      <c r="A268" s="92" t="s">
        <v>3657</v>
      </c>
      <c r="B268" s="22" t="s">
        <v>3658</v>
      </c>
      <c r="C268" s="23"/>
      <c r="D268" s="23"/>
      <c r="E268" s="23"/>
      <c r="F268" s="23"/>
      <c r="G268" s="23"/>
      <c r="H268" s="23"/>
      <c r="I268" s="23"/>
      <c r="J268" s="23"/>
      <c r="K268" s="23"/>
      <c r="L268" s="23"/>
      <c r="M268" s="23"/>
      <c r="N268" s="23"/>
      <c r="O268" s="23"/>
      <c r="P268" s="23"/>
      <c r="Q268" s="23"/>
      <c r="R268" s="23"/>
      <c r="S268" s="23"/>
    </row>
    <row r="269" spans="1:19" ht="15.75" customHeight="1" x14ac:dyDescent="0.25">
      <c r="A269" s="92" t="s">
        <v>3659</v>
      </c>
      <c r="B269" s="22" t="s">
        <v>3660</v>
      </c>
      <c r="C269" s="23"/>
      <c r="D269" s="23"/>
      <c r="E269" s="23"/>
      <c r="F269" s="23"/>
      <c r="G269" s="23"/>
      <c r="H269" s="23"/>
      <c r="I269" s="23"/>
      <c r="J269" s="23"/>
      <c r="K269" s="23"/>
      <c r="L269" s="23"/>
      <c r="M269" s="23"/>
      <c r="N269" s="23"/>
      <c r="O269" s="23"/>
      <c r="P269" s="23"/>
      <c r="Q269" s="23"/>
      <c r="R269" s="23"/>
      <c r="S269" s="23"/>
    </row>
    <row r="270" spans="1:19" ht="15.75" customHeight="1" x14ac:dyDescent="0.25">
      <c r="A270" s="92" t="s">
        <v>3661</v>
      </c>
      <c r="B270" s="22" t="s">
        <v>3662</v>
      </c>
      <c r="C270" s="23"/>
      <c r="D270" s="23"/>
      <c r="E270" s="23"/>
      <c r="F270" s="23"/>
      <c r="G270" s="23"/>
      <c r="H270" s="23"/>
      <c r="I270" s="23"/>
      <c r="J270" s="23"/>
      <c r="K270" s="23"/>
      <c r="L270" s="23"/>
      <c r="M270" s="23"/>
      <c r="N270" s="23"/>
      <c r="O270" s="23"/>
      <c r="P270" s="23"/>
      <c r="Q270" s="23"/>
      <c r="R270" s="23"/>
      <c r="S270" s="23"/>
    </row>
    <row r="271" spans="1:19" ht="15.75" customHeight="1" x14ac:dyDescent="0.25">
      <c r="A271" s="92" t="s">
        <v>3663</v>
      </c>
      <c r="B271" s="22" t="s">
        <v>3664</v>
      </c>
      <c r="C271" s="23"/>
      <c r="D271" s="23"/>
      <c r="E271" s="23"/>
      <c r="F271" s="23"/>
      <c r="G271" s="23"/>
      <c r="H271" s="23"/>
      <c r="I271" s="23"/>
      <c r="J271" s="23"/>
      <c r="K271" s="23"/>
      <c r="L271" s="23"/>
      <c r="M271" s="23"/>
      <c r="N271" s="23"/>
      <c r="O271" s="23"/>
      <c r="P271" s="23"/>
      <c r="Q271" s="23"/>
      <c r="R271" s="23"/>
      <c r="S271" s="23"/>
    </row>
    <row r="272" spans="1:19" ht="15.75" customHeight="1" x14ac:dyDescent="0.25">
      <c r="A272" s="92" t="s">
        <v>3665</v>
      </c>
      <c r="B272" s="22" t="s">
        <v>3666</v>
      </c>
      <c r="C272" s="23"/>
      <c r="D272" s="23"/>
      <c r="E272" s="23"/>
      <c r="F272" s="23"/>
      <c r="G272" s="23"/>
      <c r="H272" s="23"/>
      <c r="I272" s="23"/>
      <c r="J272" s="23"/>
      <c r="K272" s="23"/>
      <c r="L272" s="23"/>
      <c r="M272" s="23"/>
      <c r="N272" s="23"/>
      <c r="O272" s="23"/>
      <c r="P272" s="23"/>
      <c r="Q272" s="23"/>
      <c r="R272" s="23"/>
      <c r="S272" s="23"/>
    </row>
    <row r="273" spans="1:19" ht="15.75" customHeight="1" x14ac:dyDescent="0.25">
      <c r="A273" s="92" t="s">
        <v>3667</v>
      </c>
      <c r="B273" s="22" t="s">
        <v>3668</v>
      </c>
      <c r="C273" s="23"/>
      <c r="D273" s="23"/>
      <c r="E273" s="23"/>
      <c r="F273" s="23"/>
      <c r="G273" s="23"/>
      <c r="H273" s="23"/>
      <c r="I273" s="23"/>
      <c r="J273" s="23"/>
      <c r="K273" s="23"/>
      <c r="L273" s="23"/>
      <c r="M273" s="23"/>
      <c r="N273" s="23"/>
      <c r="O273" s="23"/>
      <c r="P273" s="23"/>
      <c r="Q273" s="23"/>
      <c r="R273" s="23"/>
      <c r="S273" s="23"/>
    </row>
    <row r="274" spans="1:19" ht="15.75" customHeight="1" x14ac:dyDescent="0.25">
      <c r="A274" s="92" t="s">
        <v>3669</v>
      </c>
      <c r="B274" s="22" t="s">
        <v>3670</v>
      </c>
      <c r="C274" s="23"/>
      <c r="D274" s="23"/>
      <c r="E274" s="23"/>
      <c r="F274" s="23"/>
      <c r="G274" s="23"/>
      <c r="H274" s="23"/>
      <c r="I274" s="23"/>
      <c r="J274" s="23"/>
      <c r="K274" s="23"/>
      <c r="L274" s="23"/>
      <c r="M274" s="23"/>
      <c r="N274" s="23"/>
      <c r="O274" s="23"/>
      <c r="P274" s="23"/>
      <c r="Q274" s="23"/>
      <c r="R274" s="23"/>
      <c r="S274" s="23"/>
    </row>
    <row r="275" spans="1:19" ht="15.75" customHeight="1" x14ac:dyDescent="0.25">
      <c r="A275" s="92" t="s">
        <v>3671</v>
      </c>
      <c r="B275" s="22" t="s">
        <v>3672</v>
      </c>
      <c r="C275" s="23"/>
      <c r="D275" s="23"/>
      <c r="E275" s="23"/>
      <c r="F275" s="23"/>
      <c r="G275" s="23"/>
      <c r="H275" s="23"/>
      <c r="I275" s="23"/>
      <c r="J275" s="23"/>
      <c r="K275" s="23"/>
      <c r="L275" s="23"/>
      <c r="M275" s="23"/>
      <c r="N275" s="23"/>
      <c r="O275" s="23"/>
      <c r="P275" s="23"/>
      <c r="Q275" s="23"/>
      <c r="R275" s="23"/>
      <c r="S275" s="23"/>
    </row>
    <row r="276" spans="1:19" ht="15.75" customHeight="1" x14ac:dyDescent="0.25">
      <c r="A276" s="92" t="s">
        <v>3673</v>
      </c>
      <c r="B276" s="22" t="s">
        <v>3674</v>
      </c>
      <c r="C276" s="23"/>
      <c r="D276" s="23"/>
      <c r="E276" s="23"/>
      <c r="F276" s="23"/>
      <c r="G276" s="23"/>
      <c r="H276" s="23"/>
      <c r="I276" s="23"/>
      <c r="J276" s="23"/>
      <c r="K276" s="23"/>
      <c r="L276" s="23"/>
      <c r="M276" s="23"/>
      <c r="N276" s="23"/>
      <c r="O276" s="23"/>
      <c r="P276" s="23"/>
      <c r="Q276" s="23"/>
      <c r="R276" s="23"/>
      <c r="S276" s="23"/>
    </row>
    <row r="277" spans="1:19" ht="15.75" customHeight="1" x14ac:dyDescent="0.25">
      <c r="A277" s="92" t="s">
        <v>3675</v>
      </c>
      <c r="B277" s="22" t="s">
        <v>3676</v>
      </c>
      <c r="C277" s="23"/>
      <c r="D277" s="23"/>
      <c r="E277" s="23"/>
      <c r="F277" s="23"/>
      <c r="G277" s="23"/>
      <c r="H277" s="23"/>
      <c r="I277" s="23"/>
      <c r="J277" s="23"/>
      <c r="K277" s="23"/>
      <c r="L277" s="23"/>
      <c r="M277" s="23"/>
      <c r="N277" s="23"/>
      <c r="O277" s="23"/>
      <c r="P277" s="23"/>
      <c r="Q277" s="23"/>
      <c r="R277" s="23"/>
      <c r="S277" s="23"/>
    </row>
    <row r="278" spans="1:19" ht="15.75" customHeight="1" x14ac:dyDescent="0.25">
      <c r="A278" s="92" t="s">
        <v>3677</v>
      </c>
      <c r="B278" s="22" t="s">
        <v>3678</v>
      </c>
      <c r="C278" s="23"/>
      <c r="D278" s="23"/>
      <c r="E278" s="23"/>
      <c r="F278" s="23"/>
      <c r="G278" s="23"/>
      <c r="H278" s="23"/>
      <c r="I278" s="23"/>
      <c r="J278" s="23"/>
      <c r="K278" s="23"/>
      <c r="L278" s="23"/>
      <c r="M278" s="23"/>
      <c r="N278" s="23"/>
      <c r="O278" s="23"/>
      <c r="P278" s="23"/>
      <c r="Q278" s="23"/>
      <c r="R278" s="23"/>
      <c r="S278" s="23"/>
    </row>
    <row r="279" spans="1:19" ht="15.75" customHeight="1" x14ac:dyDescent="0.25">
      <c r="A279" s="92" t="s">
        <v>3679</v>
      </c>
      <c r="B279" s="22" t="s">
        <v>3680</v>
      </c>
      <c r="C279" s="23"/>
      <c r="D279" s="23"/>
      <c r="E279" s="23"/>
      <c r="F279" s="23"/>
      <c r="G279" s="23"/>
      <c r="H279" s="23"/>
      <c r="I279" s="23"/>
      <c r="J279" s="23"/>
      <c r="K279" s="23"/>
      <c r="L279" s="23"/>
      <c r="M279" s="23"/>
      <c r="N279" s="23"/>
      <c r="O279" s="23"/>
      <c r="P279" s="23"/>
      <c r="Q279" s="23"/>
      <c r="R279" s="23"/>
      <c r="S279" s="23"/>
    </row>
    <row r="280" spans="1:19" ht="15.75" customHeight="1" x14ac:dyDescent="0.25">
      <c r="A280" s="92" t="s">
        <v>3681</v>
      </c>
      <c r="B280" s="22" t="s">
        <v>3682</v>
      </c>
      <c r="C280" s="23"/>
      <c r="D280" s="23"/>
      <c r="E280" s="23"/>
      <c r="F280" s="23"/>
      <c r="G280" s="23"/>
      <c r="H280" s="23"/>
      <c r="I280" s="23"/>
      <c r="J280" s="23"/>
      <c r="K280" s="23"/>
      <c r="L280" s="23"/>
      <c r="M280" s="23"/>
      <c r="N280" s="23"/>
      <c r="O280" s="23"/>
      <c r="P280" s="23"/>
      <c r="Q280" s="23"/>
      <c r="R280" s="23"/>
      <c r="S280" s="23"/>
    </row>
    <row r="281" spans="1:19" ht="15.75" customHeight="1" x14ac:dyDescent="0.25">
      <c r="A281" s="92" t="s">
        <v>3683</v>
      </c>
      <c r="B281" s="22" t="s">
        <v>3684</v>
      </c>
      <c r="C281" s="23"/>
      <c r="D281" s="23"/>
      <c r="E281" s="23"/>
      <c r="F281" s="23"/>
      <c r="G281" s="23"/>
      <c r="H281" s="23"/>
      <c r="I281" s="23"/>
      <c r="J281" s="23"/>
      <c r="K281" s="23"/>
      <c r="L281" s="23"/>
      <c r="M281" s="23"/>
      <c r="N281" s="23"/>
      <c r="O281" s="23"/>
      <c r="P281" s="23"/>
      <c r="Q281" s="23"/>
      <c r="R281" s="23"/>
      <c r="S281" s="23"/>
    </row>
    <row r="282" spans="1:19" ht="15.75" customHeight="1" x14ac:dyDescent="0.25">
      <c r="A282" s="92" t="s">
        <v>3685</v>
      </c>
      <c r="B282" s="22" t="s">
        <v>3686</v>
      </c>
      <c r="C282" s="23"/>
      <c r="D282" s="23"/>
      <c r="E282" s="23"/>
      <c r="F282" s="23"/>
      <c r="G282" s="23"/>
      <c r="H282" s="23"/>
      <c r="I282" s="23"/>
      <c r="J282" s="23"/>
      <c r="K282" s="23"/>
      <c r="L282" s="23"/>
      <c r="M282" s="23"/>
      <c r="N282" s="23"/>
      <c r="O282" s="23"/>
      <c r="P282" s="23"/>
      <c r="Q282" s="23"/>
      <c r="R282" s="23"/>
      <c r="S282" s="23"/>
    </row>
    <row r="283" spans="1:19" ht="15.75" customHeight="1" x14ac:dyDescent="0.25">
      <c r="A283" s="92" t="s">
        <v>3687</v>
      </c>
      <c r="B283" s="22" t="s">
        <v>3688</v>
      </c>
      <c r="C283" s="23"/>
      <c r="D283" s="23"/>
      <c r="E283" s="23"/>
      <c r="F283" s="23"/>
      <c r="G283" s="23"/>
      <c r="H283" s="23"/>
      <c r="I283" s="23"/>
      <c r="J283" s="23"/>
      <c r="K283" s="23"/>
      <c r="L283" s="23"/>
      <c r="M283" s="23"/>
      <c r="N283" s="23"/>
      <c r="O283" s="23"/>
      <c r="P283" s="23"/>
      <c r="Q283" s="23"/>
      <c r="R283" s="23"/>
      <c r="S283" s="23"/>
    </row>
    <row r="284" spans="1:19" ht="15.75" customHeight="1" x14ac:dyDescent="0.25">
      <c r="A284" s="92" t="s">
        <v>3689</v>
      </c>
      <c r="B284" s="22" t="s">
        <v>3690</v>
      </c>
      <c r="C284" s="23"/>
      <c r="D284" s="23"/>
      <c r="E284" s="23"/>
      <c r="F284" s="23"/>
      <c r="G284" s="23"/>
      <c r="H284" s="23"/>
      <c r="I284" s="23"/>
      <c r="J284" s="23"/>
      <c r="K284" s="23"/>
      <c r="L284" s="23"/>
      <c r="M284" s="23"/>
      <c r="N284" s="23"/>
      <c r="O284" s="23"/>
      <c r="P284" s="23"/>
      <c r="Q284" s="23"/>
      <c r="R284" s="23"/>
      <c r="S284" s="23"/>
    </row>
    <row r="285" spans="1:19" ht="15.75" customHeight="1" x14ac:dyDescent="0.25">
      <c r="A285" s="92" t="s">
        <v>3691</v>
      </c>
      <c r="B285" s="22" t="s">
        <v>3692</v>
      </c>
      <c r="C285" s="23"/>
      <c r="D285" s="23"/>
      <c r="E285" s="23"/>
      <c r="F285" s="23"/>
      <c r="G285" s="23"/>
      <c r="H285" s="23"/>
      <c r="I285" s="23"/>
      <c r="J285" s="23"/>
      <c r="K285" s="23"/>
      <c r="L285" s="23"/>
      <c r="M285" s="23"/>
      <c r="N285" s="23"/>
      <c r="O285" s="23"/>
      <c r="P285" s="23"/>
      <c r="Q285" s="23"/>
      <c r="R285" s="23"/>
      <c r="S285" s="23"/>
    </row>
    <row r="286" spans="1:19" ht="15.75" customHeight="1" x14ac:dyDescent="0.25">
      <c r="A286" s="92" t="s">
        <v>3693</v>
      </c>
      <c r="B286" s="22" t="s">
        <v>3694</v>
      </c>
      <c r="C286" s="23"/>
      <c r="D286" s="23"/>
      <c r="E286" s="23"/>
      <c r="F286" s="23"/>
      <c r="G286" s="23"/>
      <c r="H286" s="23"/>
      <c r="I286" s="23"/>
      <c r="J286" s="23"/>
      <c r="K286" s="23"/>
      <c r="L286" s="23"/>
      <c r="M286" s="23"/>
      <c r="N286" s="23"/>
      <c r="O286" s="23"/>
      <c r="P286" s="23"/>
      <c r="Q286" s="23"/>
      <c r="R286" s="23"/>
      <c r="S286" s="23"/>
    </row>
    <row r="287" spans="1:19" ht="15.75" customHeight="1" x14ac:dyDescent="0.25">
      <c r="A287" s="92"/>
      <c r="B287" s="22"/>
      <c r="C287" s="23"/>
      <c r="D287" s="23"/>
      <c r="E287" s="23"/>
      <c r="F287" s="23"/>
      <c r="G287" s="23"/>
      <c r="H287" s="23"/>
      <c r="I287" s="23"/>
      <c r="J287" s="23"/>
      <c r="K287" s="23"/>
      <c r="L287" s="23"/>
      <c r="M287" s="23"/>
      <c r="N287" s="23"/>
      <c r="O287" s="23"/>
      <c r="P287" s="23"/>
      <c r="Q287" s="23"/>
      <c r="R287" s="23"/>
      <c r="S287" s="23"/>
    </row>
    <row r="288" spans="1:19" ht="15.75" customHeight="1" x14ac:dyDescent="0.25">
      <c r="A288" s="92"/>
      <c r="B288" s="22"/>
      <c r="C288" s="23"/>
      <c r="D288" s="23"/>
      <c r="E288" s="23"/>
      <c r="F288" s="23"/>
      <c r="G288" s="23"/>
      <c r="H288" s="23"/>
      <c r="I288" s="23"/>
      <c r="J288" s="23"/>
      <c r="K288" s="23"/>
      <c r="L288" s="23"/>
      <c r="M288" s="23"/>
      <c r="N288" s="23"/>
      <c r="O288" s="23"/>
      <c r="P288" s="23"/>
      <c r="Q288" s="23"/>
      <c r="R288" s="23"/>
      <c r="S288" s="23"/>
    </row>
    <row r="289" spans="1:19" ht="15.75" customHeight="1" x14ac:dyDescent="0.25">
      <c r="A289" s="92"/>
      <c r="B289" s="22"/>
      <c r="C289" s="23"/>
      <c r="D289" s="23"/>
      <c r="E289" s="23"/>
      <c r="F289" s="23"/>
      <c r="G289" s="23"/>
      <c r="H289" s="23"/>
      <c r="I289" s="23"/>
      <c r="J289" s="23"/>
      <c r="K289" s="23"/>
      <c r="L289" s="23"/>
      <c r="M289" s="23"/>
      <c r="N289" s="23"/>
      <c r="O289" s="23"/>
      <c r="P289" s="23"/>
      <c r="Q289" s="23"/>
      <c r="R289" s="23"/>
      <c r="S289" s="23"/>
    </row>
    <row r="290" spans="1:19" ht="15.75" customHeight="1" x14ac:dyDescent="0.25">
      <c r="A290" s="92"/>
      <c r="B290" s="22"/>
      <c r="C290" s="23"/>
      <c r="D290" s="23"/>
      <c r="E290" s="23"/>
      <c r="F290" s="23"/>
      <c r="G290" s="23"/>
      <c r="H290" s="23"/>
      <c r="I290" s="23"/>
      <c r="J290" s="23"/>
      <c r="K290" s="23"/>
      <c r="L290" s="23"/>
      <c r="M290" s="23"/>
      <c r="N290" s="23"/>
      <c r="O290" s="23"/>
      <c r="P290" s="23"/>
      <c r="Q290" s="23"/>
      <c r="R290" s="23"/>
      <c r="S290" s="23"/>
    </row>
    <row r="291" spans="1:19" ht="15.75" customHeight="1" x14ac:dyDescent="0.25">
      <c r="A291" s="92"/>
      <c r="B291" s="22"/>
      <c r="C291" s="23"/>
      <c r="D291" s="23"/>
      <c r="E291" s="23"/>
      <c r="F291" s="23"/>
      <c r="G291" s="23"/>
      <c r="H291" s="23"/>
      <c r="I291" s="23"/>
      <c r="J291" s="23"/>
      <c r="K291" s="23"/>
      <c r="L291" s="23"/>
      <c r="M291" s="23"/>
      <c r="N291" s="23"/>
      <c r="O291" s="23"/>
      <c r="P291" s="23"/>
      <c r="Q291" s="23"/>
      <c r="R291" s="23"/>
      <c r="S291" s="23"/>
    </row>
    <row r="292" spans="1:19" ht="15.75" customHeight="1" x14ac:dyDescent="0.25">
      <c r="A292" s="92"/>
      <c r="B292" s="22"/>
      <c r="C292" s="23"/>
      <c r="D292" s="23"/>
      <c r="E292" s="23"/>
      <c r="F292" s="23"/>
      <c r="G292" s="23"/>
      <c r="H292" s="23"/>
      <c r="I292" s="23"/>
      <c r="J292" s="23"/>
      <c r="K292" s="23"/>
      <c r="L292" s="23"/>
      <c r="M292" s="23"/>
      <c r="N292" s="23"/>
      <c r="O292" s="23"/>
      <c r="P292" s="23"/>
      <c r="Q292" s="23"/>
      <c r="R292" s="23"/>
      <c r="S292" s="23"/>
    </row>
    <row r="293" spans="1:19" ht="15.75" customHeight="1" x14ac:dyDescent="0.25">
      <c r="A293" s="92"/>
      <c r="B293" s="22"/>
      <c r="C293" s="23"/>
      <c r="D293" s="23"/>
      <c r="E293" s="23"/>
      <c r="F293" s="23"/>
      <c r="G293" s="23"/>
      <c r="H293" s="23"/>
      <c r="I293" s="23"/>
      <c r="J293" s="23"/>
      <c r="K293" s="23"/>
      <c r="L293" s="23"/>
      <c r="M293" s="23"/>
      <c r="N293" s="23"/>
      <c r="O293" s="23"/>
      <c r="P293" s="23"/>
      <c r="Q293" s="23"/>
      <c r="R293" s="23"/>
      <c r="S293" s="23"/>
    </row>
    <row r="294" spans="1:19" ht="15.75" customHeight="1" x14ac:dyDescent="0.25">
      <c r="A294" s="92"/>
      <c r="B294" s="22"/>
      <c r="C294" s="23"/>
      <c r="D294" s="23"/>
      <c r="E294" s="23"/>
      <c r="F294" s="23"/>
      <c r="G294" s="23"/>
      <c r="H294" s="23"/>
      <c r="I294" s="23"/>
      <c r="J294" s="23"/>
      <c r="K294" s="23"/>
      <c r="L294" s="23"/>
      <c r="M294" s="23"/>
      <c r="N294" s="23"/>
      <c r="O294" s="23"/>
      <c r="P294" s="23"/>
      <c r="Q294" s="23"/>
      <c r="R294" s="23"/>
      <c r="S294" s="23"/>
    </row>
    <row r="295" spans="1:19" ht="15.75" customHeight="1" x14ac:dyDescent="0.25">
      <c r="A295" s="92"/>
      <c r="B295" s="22"/>
      <c r="C295" s="23"/>
      <c r="D295" s="23"/>
      <c r="E295" s="23"/>
      <c r="F295" s="23"/>
      <c r="G295" s="23"/>
      <c r="H295" s="23"/>
      <c r="I295" s="23"/>
      <c r="J295" s="23"/>
      <c r="K295" s="23"/>
      <c r="L295" s="23"/>
      <c r="M295" s="23"/>
      <c r="N295" s="23"/>
      <c r="O295" s="23"/>
      <c r="P295" s="23"/>
      <c r="Q295" s="23"/>
      <c r="R295" s="23"/>
      <c r="S295" s="23"/>
    </row>
    <row r="296" spans="1:19" ht="15.75" customHeight="1" x14ac:dyDescent="0.25">
      <c r="A296" s="92"/>
      <c r="B296" s="22"/>
      <c r="C296" s="23"/>
      <c r="D296" s="23"/>
      <c r="E296" s="23"/>
      <c r="F296" s="23"/>
      <c r="G296" s="23"/>
      <c r="H296" s="23"/>
      <c r="I296" s="23"/>
      <c r="J296" s="23"/>
      <c r="K296" s="23"/>
      <c r="L296" s="23"/>
      <c r="M296" s="23"/>
      <c r="N296" s="23"/>
      <c r="O296" s="23"/>
      <c r="P296" s="23"/>
      <c r="Q296" s="23"/>
      <c r="R296" s="23"/>
      <c r="S296" s="23"/>
    </row>
    <row r="297" spans="1:19" ht="15.75" customHeight="1" x14ac:dyDescent="0.25">
      <c r="A297" s="92"/>
      <c r="B297" s="22"/>
      <c r="C297" s="23"/>
      <c r="D297" s="23"/>
      <c r="E297" s="23"/>
      <c r="F297" s="23"/>
      <c r="G297" s="23"/>
      <c r="H297" s="23"/>
      <c r="I297" s="23"/>
      <c r="J297" s="23"/>
      <c r="K297" s="23"/>
      <c r="L297" s="23"/>
      <c r="M297" s="23"/>
      <c r="N297" s="23"/>
      <c r="O297" s="23"/>
      <c r="P297" s="23"/>
      <c r="Q297" s="23"/>
      <c r="R297" s="23"/>
      <c r="S297" s="23"/>
    </row>
    <row r="298" spans="1:19" ht="15.75" customHeight="1" x14ac:dyDescent="0.25">
      <c r="A298" s="92"/>
      <c r="B298" s="22"/>
      <c r="C298" s="23"/>
      <c r="D298" s="23"/>
      <c r="E298" s="23"/>
      <c r="F298" s="23"/>
      <c r="G298" s="23"/>
      <c r="H298" s="23"/>
      <c r="I298" s="23"/>
      <c r="J298" s="23"/>
      <c r="K298" s="23"/>
      <c r="L298" s="23"/>
      <c r="M298" s="23"/>
      <c r="N298" s="23"/>
      <c r="O298" s="23"/>
      <c r="P298" s="23"/>
      <c r="Q298" s="23"/>
      <c r="R298" s="23"/>
      <c r="S298" s="23"/>
    </row>
    <row r="299" spans="1:19" ht="15.75" customHeight="1" x14ac:dyDescent="0.25">
      <c r="A299" s="92"/>
      <c r="B299" s="22"/>
      <c r="C299" s="23"/>
      <c r="D299" s="23"/>
      <c r="E299" s="23"/>
      <c r="F299" s="23"/>
      <c r="G299" s="23"/>
      <c r="H299" s="23"/>
      <c r="I299" s="23"/>
      <c r="J299" s="23"/>
      <c r="K299" s="23"/>
      <c r="L299" s="23"/>
      <c r="M299" s="23"/>
      <c r="N299" s="23"/>
      <c r="O299" s="23"/>
      <c r="P299" s="23"/>
      <c r="Q299" s="23"/>
      <c r="R299" s="23"/>
      <c r="S299" s="23"/>
    </row>
    <row r="300" spans="1:19" ht="15.75" customHeight="1" x14ac:dyDescent="0.25">
      <c r="A300" s="92"/>
      <c r="B300" s="22"/>
      <c r="C300" s="23"/>
      <c r="D300" s="23"/>
      <c r="E300" s="23"/>
      <c r="F300" s="23"/>
      <c r="G300" s="23"/>
      <c r="H300" s="23"/>
      <c r="I300" s="23"/>
      <c r="J300" s="23"/>
      <c r="K300" s="23"/>
      <c r="L300" s="23"/>
      <c r="M300" s="23"/>
      <c r="N300" s="23"/>
      <c r="O300" s="23"/>
      <c r="P300" s="23"/>
      <c r="Q300" s="23"/>
      <c r="R300" s="23"/>
      <c r="S300" s="23"/>
    </row>
    <row r="301" spans="1:19" ht="15.75" customHeight="1" x14ac:dyDescent="0.25">
      <c r="A301" s="92"/>
      <c r="B301" s="22"/>
      <c r="C301" s="23"/>
      <c r="D301" s="23"/>
      <c r="E301" s="23"/>
      <c r="F301" s="23"/>
      <c r="G301" s="23"/>
      <c r="H301" s="23"/>
      <c r="I301" s="23"/>
      <c r="J301" s="23"/>
      <c r="K301" s="23"/>
      <c r="L301" s="23"/>
      <c r="M301" s="23"/>
      <c r="N301" s="23"/>
      <c r="O301" s="23"/>
      <c r="P301" s="23"/>
      <c r="Q301" s="23"/>
      <c r="R301" s="23"/>
      <c r="S301" s="23"/>
    </row>
    <row r="302" spans="1:19" ht="15.75" customHeight="1" x14ac:dyDescent="0.25">
      <c r="A302" s="92"/>
      <c r="B302" s="22"/>
      <c r="C302" s="23"/>
      <c r="D302" s="23"/>
      <c r="E302" s="23"/>
      <c r="F302" s="23"/>
      <c r="G302" s="23"/>
      <c r="H302" s="23"/>
      <c r="I302" s="23"/>
      <c r="J302" s="23"/>
      <c r="K302" s="23"/>
      <c r="L302" s="23"/>
      <c r="M302" s="23"/>
      <c r="N302" s="23"/>
      <c r="O302" s="23"/>
      <c r="P302" s="23"/>
      <c r="Q302" s="23"/>
      <c r="R302" s="23"/>
      <c r="S302" s="23"/>
    </row>
    <row r="303" spans="1:19" ht="15.75" customHeight="1" x14ac:dyDescent="0.25">
      <c r="A303" s="92"/>
      <c r="B303" s="22"/>
      <c r="C303" s="23"/>
      <c r="D303" s="23"/>
      <c r="E303" s="23"/>
      <c r="F303" s="23"/>
      <c r="G303" s="23"/>
      <c r="H303" s="23"/>
      <c r="I303" s="23"/>
      <c r="J303" s="23"/>
      <c r="K303" s="23"/>
      <c r="L303" s="23"/>
      <c r="M303" s="23"/>
      <c r="N303" s="23"/>
      <c r="O303" s="23"/>
      <c r="P303" s="23"/>
      <c r="Q303" s="23"/>
      <c r="R303" s="23"/>
      <c r="S303" s="23"/>
    </row>
    <row r="304" spans="1:19" ht="15.75" customHeight="1" x14ac:dyDescent="0.25">
      <c r="A304" s="92"/>
      <c r="B304" s="22"/>
      <c r="C304" s="23"/>
      <c r="D304" s="23"/>
      <c r="E304" s="23"/>
      <c r="F304" s="23"/>
      <c r="G304" s="23"/>
      <c r="H304" s="23"/>
      <c r="I304" s="23"/>
      <c r="J304" s="23"/>
      <c r="K304" s="23"/>
      <c r="L304" s="23"/>
      <c r="M304" s="23"/>
      <c r="N304" s="23"/>
      <c r="O304" s="23"/>
      <c r="P304" s="23"/>
      <c r="Q304" s="23"/>
      <c r="R304" s="23"/>
      <c r="S304" s="23"/>
    </row>
    <row r="305" spans="1:19" ht="15.75" customHeight="1" x14ac:dyDescent="0.25">
      <c r="A305" s="92"/>
      <c r="B305" s="22"/>
      <c r="C305" s="23"/>
      <c r="D305" s="23"/>
      <c r="E305" s="23"/>
      <c r="F305" s="23"/>
      <c r="G305" s="23"/>
      <c r="H305" s="23"/>
      <c r="I305" s="23"/>
      <c r="J305" s="23"/>
      <c r="K305" s="23"/>
      <c r="L305" s="23"/>
      <c r="M305" s="23"/>
      <c r="N305" s="23"/>
      <c r="O305" s="23"/>
      <c r="P305" s="23"/>
      <c r="Q305" s="23"/>
      <c r="R305" s="23"/>
      <c r="S305" s="23"/>
    </row>
    <row r="306" spans="1:19" ht="15.75" customHeight="1" x14ac:dyDescent="0.25">
      <c r="A306" s="92"/>
      <c r="B306" s="22"/>
      <c r="C306" s="23"/>
      <c r="D306" s="23"/>
      <c r="E306" s="23"/>
      <c r="F306" s="23"/>
      <c r="G306" s="23"/>
      <c r="H306" s="23"/>
      <c r="I306" s="23"/>
      <c r="J306" s="23"/>
      <c r="K306" s="23"/>
      <c r="L306" s="23"/>
      <c r="M306" s="23"/>
      <c r="N306" s="23"/>
      <c r="O306" s="23"/>
      <c r="P306" s="23"/>
      <c r="Q306" s="23"/>
      <c r="R306" s="23"/>
      <c r="S306" s="23"/>
    </row>
    <row r="307" spans="1:19" ht="15.75" customHeight="1" x14ac:dyDescent="0.25">
      <c r="A307" s="92"/>
      <c r="B307" s="22"/>
      <c r="C307" s="23"/>
      <c r="D307" s="23"/>
      <c r="E307" s="23"/>
      <c r="F307" s="23"/>
      <c r="G307" s="23"/>
      <c r="H307" s="23"/>
      <c r="I307" s="23"/>
      <c r="J307" s="23"/>
      <c r="K307" s="23"/>
      <c r="L307" s="23"/>
      <c r="M307" s="23"/>
      <c r="N307" s="23"/>
      <c r="O307" s="23"/>
      <c r="P307" s="23"/>
      <c r="Q307" s="23"/>
      <c r="R307" s="23"/>
      <c r="S307" s="23"/>
    </row>
    <row r="308" spans="1:19" ht="15.75" customHeight="1" x14ac:dyDescent="0.25">
      <c r="A308" s="92"/>
      <c r="B308" s="22"/>
      <c r="C308" s="23"/>
      <c r="D308" s="23"/>
      <c r="E308" s="23"/>
      <c r="F308" s="23"/>
      <c r="G308" s="23"/>
      <c r="H308" s="23"/>
      <c r="I308" s="23"/>
      <c r="J308" s="23"/>
      <c r="K308" s="23"/>
      <c r="L308" s="23"/>
      <c r="M308" s="23"/>
      <c r="N308" s="23"/>
      <c r="O308" s="23"/>
      <c r="P308" s="23"/>
      <c r="Q308" s="23"/>
      <c r="R308" s="23"/>
      <c r="S308" s="23"/>
    </row>
    <row r="309" spans="1:19" ht="15.75" customHeight="1" x14ac:dyDescent="0.25">
      <c r="A309" s="92"/>
      <c r="B309" s="22"/>
      <c r="C309" s="23"/>
      <c r="D309" s="23"/>
      <c r="E309" s="23"/>
      <c r="F309" s="23"/>
      <c r="G309" s="23"/>
      <c r="H309" s="23"/>
      <c r="I309" s="23"/>
      <c r="J309" s="23"/>
      <c r="K309" s="23"/>
      <c r="L309" s="23"/>
      <c r="M309" s="23"/>
      <c r="N309" s="23"/>
      <c r="O309" s="23"/>
      <c r="P309" s="23"/>
      <c r="Q309" s="23"/>
      <c r="R309" s="23"/>
      <c r="S309" s="23"/>
    </row>
    <row r="310" spans="1:19" ht="15.75" customHeight="1" x14ac:dyDescent="0.25">
      <c r="A310" s="92"/>
      <c r="B310" s="22"/>
      <c r="C310" s="23"/>
      <c r="D310" s="23"/>
      <c r="E310" s="23"/>
      <c r="F310" s="23"/>
      <c r="G310" s="23"/>
      <c r="H310" s="23"/>
      <c r="I310" s="23"/>
      <c r="J310" s="23"/>
      <c r="K310" s="23"/>
      <c r="L310" s="23"/>
      <c r="M310" s="23"/>
      <c r="N310" s="23"/>
      <c r="O310" s="23"/>
      <c r="P310" s="23"/>
      <c r="Q310" s="23"/>
      <c r="R310" s="23"/>
      <c r="S310" s="23"/>
    </row>
    <row r="311" spans="1:19" ht="15.75" customHeight="1" x14ac:dyDescent="0.25">
      <c r="A311" s="92"/>
      <c r="B311" s="22"/>
      <c r="C311" s="23"/>
      <c r="D311" s="23"/>
      <c r="E311" s="23"/>
      <c r="F311" s="23"/>
      <c r="G311" s="23"/>
      <c r="H311" s="23"/>
      <c r="I311" s="23"/>
      <c r="J311" s="23"/>
      <c r="K311" s="23"/>
      <c r="L311" s="23"/>
      <c r="M311" s="23"/>
      <c r="N311" s="23"/>
      <c r="O311" s="23"/>
      <c r="P311" s="23"/>
      <c r="Q311" s="23"/>
      <c r="R311" s="23"/>
      <c r="S311" s="23"/>
    </row>
    <row r="312" spans="1:19" ht="15.75" customHeight="1" x14ac:dyDescent="0.25">
      <c r="A312" s="92"/>
      <c r="B312" s="22"/>
      <c r="C312" s="23"/>
      <c r="D312" s="23"/>
      <c r="E312" s="23"/>
      <c r="F312" s="23"/>
      <c r="G312" s="23"/>
      <c r="H312" s="23"/>
      <c r="I312" s="23"/>
      <c r="J312" s="23"/>
      <c r="K312" s="23"/>
      <c r="L312" s="23"/>
      <c r="M312" s="23"/>
      <c r="N312" s="23"/>
      <c r="O312" s="23"/>
      <c r="P312" s="23"/>
      <c r="Q312" s="23"/>
      <c r="R312" s="23"/>
      <c r="S312" s="23"/>
    </row>
    <row r="313" spans="1:19" ht="15.75" customHeight="1" x14ac:dyDescent="0.25">
      <c r="A313" s="92"/>
      <c r="B313" s="22"/>
      <c r="C313" s="23"/>
      <c r="D313" s="23"/>
      <c r="E313" s="23"/>
      <c r="F313" s="23"/>
      <c r="G313" s="23"/>
      <c r="H313" s="23"/>
      <c r="I313" s="23"/>
      <c r="J313" s="23"/>
      <c r="K313" s="23"/>
      <c r="L313" s="23"/>
      <c r="M313" s="23"/>
      <c r="N313" s="23"/>
      <c r="O313" s="23"/>
      <c r="P313" s="23"/>
      <c r="Q313" s="23"/>
      <c r="R313" s="23"/>
      <c r="S313" s="23"/>
    </row>
    <row r="314" spans="1:19" ht="15.75" customHeight="1" x14ac:dyDescent="0.25">
      <c r="A314" s="92"/>
      <c r="B314" s="22"/>
      <c r="C314" s="23"/>
      <c r="D314" s="23"/>
      <c r="E314" s="23"/>
      <c r="F314" s="23"/>
      <c r="G314" s="23"/>
      <c r="H314" s="23"/>
      <c r="I314" s="23"/>
      <c r="J314" s="23"/>
      <c r="K314" s="23"/>
      <c r="L314" s="23"/>
      <c r="M314" s="23"/>
      <c r="N314" s="23"/>
      <c r="O314" s="23"/>
      <c r="P314" s="23"/>
      <c r="Q314" s="23"/>
      <c r="R314" s="23"/>
      <c r="S314" s="23"/>
    </row>
    <row r="315" spans="1:19" ht="15.75" customHeight="1" x14ac:dyDescent="0.25">
      <c r="A315" s="92"/>
      <c r="B315" s="22"/>
      <c r="C315" s="23"/>
      <c r="D315" s="23"/>
      <c r="E315" s="23"/>
      <c r="F315" s="23"/>
      <c r="G315" s="23"/>
      <c r="H315" s="23"/>
      <c r="I315" s="23"/>
      <c r="J315" s="23"/>
      <c r="K315" s="23"/>
      <c r="L315" s="23"/>
      <c r="M315" s="23"/>
      <c r="N315" s="23"/>
      <c r="O315" s="23"/>
      <c r="P315" s="23"/>
      <c r="Q315" s="23"/>
      <c r="R315" s="23"/>
      <c r="S315" s="23"/>
    </row>
    <row r="316" spans="1:19" ht="15.75" customHeight="1" x14ac:dyDescent="0.25">
      <c r="A316" s="92"/>
      <c r="B316" s="22"/>
      <c r="C316" s="23"/>
      <c r="D316" s="23"/>
      <c r="E316" s="23"/>
      <c r="F316" s="23"/>
      <c r="G316" s="23"/>
      <c r="H316" s="23"/>
      <c r="I316" s="23"/>
      <c r="J316" s="23"/>
      <c r="K316" s="23"/>
      <c r="L316" s="23"/>
      <c r="M316" s="23"/>
      <c r="N316" s="23"/>
      <c r="O316" s="23"/>
      <c r="P316" s="23"/>
      <c r="Q316" s="23"/>
      <c r="R316" s="23"/>
      <c r="S316" s="23"/>
    </row>
    <row r="317" spans="1:19" ht="15.75" customHeight="1" x14ac:dyDescent="0.25">
      <c r="A317" s="92"/>
      <c r="B317" s="22"/>
      <c r="C317" s="23"/>
      <c r="D317" s="23"/>
      <c r="E317" s="23"/>
      <c r="F317" s="23"/>
      <c r="G317" s="23"/>
      <c r="H317" s="23"/>
      <c r="I317" s="23"/>
      <c r="J317" s="23"/>
      <c r="K317" s="23"/>
      <c r="L317" s="23"/>
      <c r="M317" s="23"/>
      <c r="N317" s="23"/>
      <c r="O317" s="23"/>
      <c r="P317" s="23"/>
      <c r="Q317" s="23"/>
      <c r="R317" s="23"/>
      <c r="S317" s="23"/>
    </row>
    <row r="318" spans="1:19" ht="15.75" customHeight="1" x14ac:dyDescent="0.25">
      <c r="A318" s="92"/>
      <c r="B318" s="22"/>
      <c r="C318" s="23"/>
      <c r="D318" s="23"/>
      <c r="E318" s="23"/>
      <c r="F318" s="23"/>
      <c r="G318" s="23"/>
      <c r="H318" s="23"/>
      <c r="I318" s="23"/>
      <c r="J318" s="23"/>
      <c r="K318" s="23"/>
      <c r="L318" s="23"/>
      <c r="M318" s="23"/>
      <c r="N318" s="23"/>
      <c r="O318" s="23"/>
      <c r="P318" s="23"/>
      <c r="Q318" s="23"/>
      <c r="R318" s="23"/>
      <c r="S318" s="23"/>
    </row>
    <row r="319" spans="1:19" ht="15.75" customHeight="1" x14ac:dyDescent="0.25">
      <c r="A319" s="92"/>
      <c r="B319" s="22"/>
      <c r="C319" s="23"/>
      <c r="D319" s="23"/>
      <c r="E319" s="23"/>
      <c r="F319" s="23"/>
      <c r="G319" s="23"/>
      <c r="H319" s="23"/>
      <c r="I319" s="23"/>
      <c r="J319" s="23"/>
      <c r="K319" s="23"/>
      <c r="L319" s="23"/>
      <c r="M319" s="23"/>
      <c r="N319" s="23"/>
      <c r="O319" s="23"/>
      <c r="P319" s="23"/>
      <c r="Q319" s="23"/>
      <c r="R319" s="23"/>
      <c r="S319" s="23"/>
    </row>
    <row r="320" spans="1:19" ht="15.75" customHeight="1" x14ac:dyDescent="0.25">
      <c r="A320" s="92"/>
      <c r="B320" s="22"/>
      <c r="C320" s="23"/>
      <c r="D320" s="23"/>
      <c r="E320" s="23"/>
      <c r="F320" s="23"/>
      <c r="G320" s="23"/>
      <c r="H320" s="23"/>
      <c r="I320" s="23"/>
      <c r="J320" s="23"/>
      <c r="K320" s="23"/>
      <c r="L320" s="23"/>
      <c r="M320" s="23"/>
      <c r="N320" s="23"/>
      <c r="O320" s="23"/>
      <c r="P320" s="23"/>
      <c r="Q320" s="23"/>
      <c r="R320" s="23"/>
      <c r="S320" s="23"/>
    </row>
    <row r="321" spans="1:19" ht="15.75" customHeight="1" x14ac:dyDescent="0.25">
      <c r="A321" s="92"/>
      <c r="B321" s="22"/>
      <c r="C321" s="23"/>
      <c r="D321" s="23"/>
      <c r="E321" s="23"/>
      <c r="F321" s="23"/>
      <c r="G321" s="23"/>
      <c r="H321" s="23"/>
      <c r="I321" s="23"/>
      <c r="J321" s="23"/>
      <c r="K321" s="23"/>
      <c r="L321" s="23"/>
      <c r="M321" s="23"/>
      <c r="N321" s="23"/>
      <c r="O321" s="23"/>
      <c r="P321" s="23"/>
      <c r="Q321" s="23"/>
      <c r="R321" s="23"/>
      <c r="S321" s="23"/>
    </row>
    <row r="322" spans="1:19" ht="15.75" customHeight="1" x14ac:dyDescent="0.25">
      <c r="A322" s="92"/>
      <c r="B322" s="22"/>
      <c r="C322" s="23"/>
      <c r="D322" s="23"/>
      <c r="E322" s="23"/>
      <c r="F322" s="23"/>
      <c r="G322" s="23"/>
      <c r="H322" s="23"/>
      <c r="I322" s="23"/>
      <c r="J322" s="23"/>
      <c r="K322" s="23"/>
      <c r="L322" s="23"/>
      <c r="M322" s="23"/>
      <c r="N322" s="23"/>
      <c r="O322" s="23"/>
      <c r="P322" s="23"/>
      <c r="Q322" s="23"/>
      <c r="R322" s="23"/>
      <c r="S322" s="23"/>
    </row>
    <row r="323" spans="1:19" ht="15.75" customHeight="1" x14ac:dyDescent="0.25">
      <c r="A323" s="92"/>
      <c r="B323" s="22"/>
      <c r="C323" s="23"/>
      <c r="D323" s="23"/>
      <c r="E323" s="23"/>
      <c r="F323" s="23"/>
      <c r="G323" s="23"/>
      <c r="H323" s="23"/>
      <c r="I323" s="23"/>
      <c r="J323" s="23"/>
      <c r="K323" s="23"/>
      <c r="L323" s="23"/>
      <c r="M323" s="23"/>
      <c r="N323" s="23"/>
      <c r="O323" s="23"/>
      <c r="P323" s="23"/>
      <c r="Q323" s="23"/>
      <c r="R323" s="23"/>
      <c r="S323" s="23"/>
    </row>
    <row r="324" spans="1:19" ht="15.75" customHeight="1" x14ac:dyDescent="0.25">
      <c r="A324" s="92"/>
      <c r="B324" s="22"/>
      <c r="C324" s="23"/>
      <c r="D324" s="23"/>
      <c r="E324" s="23"/>
      <c r="F324" s="23"/>
      <c r="G324" s="23"/>
      <c r="H324" s="23"/>
      <c r="I324" s="23"/>
      <c r="J324" s="23"/>
      <c r="K324" s="23"/>
      <c r="L324" s="23"/>
      <c r="M324" s="23"/>
      <c r="N324" s="23"/>
      <c r="O324" s="23"/>
      <c r="P324" s="23"/>
      <c r="Q324" s="23"/>
      <c r="R324" s="23"/>
      <c r="S324" s="23"/>
    </row>
    <row r="325" spans="1:19" ht="15.75" customHeight="1" x14ac:dyDescent="0.25">
      <c r="A325" s="92"/>
      <c r="B325" s="22"/>
      <c r="C325" s="23"/>
      <c r="D325" s="23"/>
      <c r="E325" s="23"/>
      <c r="F325" s="23"/>
      <c r="G325" s="23"/>
      <c r="H325" s="23"/>
      <c r="I325" s="23"/>
      <c r="J325" s="23"/>
      <c r="K325" s="23"/>
      <c r="L325" s="23"/>
      <c r="M325" s="23"/>
      <c r="N325" s="23"/>
      <c r="O325" s="23"/>
      <c r="P325" s="23"/>
      <c r="Q325" s="23"/>
      <c r="R325" s="23"/>
      <c r="S325" s="23"/>
    </row>
    <row r="326" spans="1:19" ht="15.75" customHeight="1" x14ac:dyDescent="0.25">
      <c r="A326" s="92"/>
      <c r="B326" s="22"/>
      <c r="C326" s="23"/>
      <c r="D326" s="23"/>
      <c r="E326" s="23"/>
      <c r="F326" s="23"/>
      <c r="G326" s="23"/>
      <c r="H326" s="23"/>
      <c r="I326" s="23"/>
      <c r="J326" s="23"/>
      <c r="K326" s="23"/>
      <c r="L326" s="23"/>
      <c r="M326" s="23"/>
      <c r="N326" s="23"/>
      <c r="O326" s="23"/>
      <c r="P326" s="23"/>
      <c r="Q326" s="23"/>
      <c r="R326" s="23"/>
      <c r="S326" s="23"/>
    </row>
    <row r="327" spans="1:19" ht="15.75" customHeight="1" x14ac:dyDescent="0.25">
      <c r="A327" s="92"/>
      <c r="B327" s="22"/>
      <c r="C327" s="23"/>
      <c r="D327" s="23"/>
      <c r="E327" s="23"/>
      <c r="F327" s="23"/>
      <c r="G327" s="23"/>
      <c r="H327" s="23"/>
      <c r="I327" s="23"/>
      <c r="J327" s="23"/>
      <c r="K327" s="23"/>
      <c r="L327" s="23"/>
      <c r="M327" s="23"/>
      <c r="N327" s="23"/>
      <c r="O327" s="23"/>
      <c r="P327" s="23"/>
      <c r="Q327" s="23"/>
      <c r="R327" s="23"/>
      <c r="S327" s="23"/>
    </row>
    <row r="328" spans="1:19" ht="15.75" customHeight="1" x14ac:dyDescent="0.25">
      <c r="A328" s="92"/>
      <c r="B328" s="22"/>
      <c r="C328" s="23"/>
      <c r="D328" s="23"/>
      <c r="E328" s="23"/>
      <c r="F328" s="23"/>
      <c r="G328" s="23"/>
      <c r="H328" s="23"/>
      <c r="I328" s="23"/>
      <c r="J328" s="23"/>
      <c r="K328" s="23"/>
      <c r="L328" s="23"/>
      <c r="M328" s="23"/>
      <c r="N328" s="23"/>
      <c r="O328" s="23"/>
      <c r="P328" s="23"/>
      <c r="Q328" s="23"/>
      <c r="R328" s="23"/>
      <c r="S328" s="23"/>
    </row>
    <row r="329" spans="1:19" ht="15.75" customHeight="1" x14ac:dyDescent="0.25">
      <c r="A329" s="92"/>
      <c r="B329" s="22"/>
      <c r="C329" s="23"/>
      <c r="D329" s="23"/>
      <c r="E329" s="23"/>
      <c r="F329" s="23"/>
      <c r="G329" s="23"/>
      <c r="H329" s="23"/>
      <c r="I329" s="23"/>
      <c r="J329" s="23"/>
      <c r="K329" s="23"/>
      <c r="L329" s="23"/>
      <c r="M329" s="23"/>
      <c r="N329" s="23"/>
      <c r="O329" s="23"/>
      <c r="P329" s="23"/>
      <c r="Q329" s="23"/>
      <c r="R329" s="23"/>
      <c r="S329" s="23"/>
    </row>
    <row r="330" spans="1:19" ht="15.75" customHeight="1" x14ac:dyDescent="0.25">
      <c r="A330" s="92"/>
      <c r="B330" s="22"/>
      <c r="C330" s="23"/>
      <c r="D330" s="23"/>
      <c r="E330" s="23"/>
      <c r="F330" s="23"/>
      <c r="G330" s="23"/>
      <c r="H330" s="23"/>
      <c r="I330" s="23"/>
      <c r="J330" s="23"/>
      <c r="K330" s="23"/>
      <c r="L330" s="23"/>
      <c r="M330" s="23"/>
      <c r="N330" s="23"/>
      <c r="O330" s="23"/>
      <c r="P330" s="23"/>
      <c r="Q330" s="23"/>
      <c r="R330" s="23"/>
      <c r="S330" s="23"/>
    </row>
    <row r="331" spans="1:19" ht="15.75" customHeight="1" x14ac:dyDescent="0.25">
      <c r="A331" s="92"/>
      <c r="B331" s="22"/>
      <c r="C331" s="23"/>
      <c r="D331" s="23"/>
      <c r="E331" s="23"/>
      <c r="F331" s="23"/>
      <c r="G331" s="23"/>
      <c r="H331" s="23"/>
      <c r="I331" s="23"/>
      <c r="J331" s="23"/>
      <c r="K331" s="23"/>
      <c r="L331" s="23"/>
      <c r="M331" s="23"/>
      <c r="N331" s="23"/>
      <c r="O331" s="23"/>
      <c r="P331" s="23"/>
      <c r="Q331" s="23"/>
      <c r="R331" s="23"/>
      <c r="S331" s="23"/>
    </row>
    <row r="332" spans="1:19" ht="15.75" customHeight="1" x14ac:dyDescent="0.25">
      <c r="A332" s="92"/>
      <c r="B332" s="22"/>
      <c r="C332" s="23"/>
      <c r="D332" s="23"/>
      <c r="E332" s="23"/>
      <c r="F332" s="23"/>
      <c r="G332" s="23"/>
      <c r="H332" s="23"/>
      <c r="I332" s="23"/>
      <c r="J332" s="23"/>
      <c r="K332" s="23"/>
      <c r="L332" s="23"/>
      <c r="M332" s="23"/>
      <c r="N332" s="23"/>
      <c r="O332" s="23"/>
      <c r="P332" s="23"/>
      <c r="Q332" s="23"/>
      <c r="R332" s="23"/>
      <c r="S332" s="23"/>
    </row>
    <row r="333" spans="1:19" ht="15.75" customHeight="1" x14ac:dyDescent="0.25">
      <c r="A333" s="92"/>
      <c r="B333" s="22"/>
      <c r="C333" s="23"/>
      <c r="D333" s="23"/>
      <c r="E333" s="23"/>
      <c r="F333" s="23"/>
      <c r="G333" s="23"/>
      <c r="H333" s="23"/>
      <c r="I333" s="23"/>
      <c r="J333" s="23"/>
      <c r="K333" s="23"/>
      <c r="L333" s="23"/>
      <c r="M333" s="23"/>
      <c r="N333" s="23"/>
      <c r="O333" s="23"/>
      <c r="P333" s="23"/>
      <c r="Q333" s="23"/>
      <c r="R333" s="23"/>
      <c r="S333" s="23"/>
    </row>
    <row r="334" spans="1:19" ht="15.75" customHeight="1" x14ac:dyDescent="0.25">
      <c r="A334" s="92"/>
      <c r="B334" s="22"/>
      <c r="C334" s="23"/>
      <c r="D334" s="23"/>
      <c r="E334" s="23"/>
      <c r="F334" s="23"/>
      <c r="G334" s="23"/>
      <c r="H334" s="23"/>
      <c r="I334" s="23"/>
      <c r="J334" s="23"/>
      <c r="K334" s="23"/>
      <c r="L334" s="23"/>
      <c r="M334" s="23"/>
      <c r="N334" s="23"/>
      <c r="O334" s="23"/>
      <c r="P334" s="23"/>
      <c r="Q334" s="23"/>
      <c r="R334" s="23"/>
      <c r="S334" s="23"/>
    </row>
    <row r="335" spans="1:19" ht="15.75" customHeight="1" x14ac:dyDescent="0.25">
      <c r="A335" s="92"/>
      <c r="B335" s="22"/>
      <c r="C335" s="23"/>
      <c r="D335" s="23"/>
      <c r="E335" s="23"/>
      <c r="F335" s="23"/>
      <c r="G335" s="23"/>
      <c r="H335" s="23"/>
      <c r="I335" s="23"/>
      <c r="J335" s="23"/>
      <c r="K335" s="23"/>
      <c r="L335" s="23"/>
      <c r="M335" s="23"/>
      <c r="N335" s="23"/>
      <c r="O335" s="23"/>
      <c r="P335" s="23"/>
      <c r="Q335" s="23"/>
      <c r="R335" s="23"/>
      <c r="S335" s="23"/>
    </row>
    <row r="336" spans="1:19" ht="15.75" customHeight="1" x14ac:dyDescent="0.25">
      <c r="A336" s="92"/>
      <c r="B336" s="22"/>
      <c r="C336" s="23"/>
      <c r="D336" s="23"/>
      <c r="E336" s="23"/>
      <c r="F336" s="23"/>
      <c r="G336" s="23"/>
      <c r="H336" s="23"/>
      <c r="I336" s="23"/>
      <c r="J336" s="23"/>
      <c r="K336" s="23"/>
      <c r="L336" s="23"/>
      <c r="M336" s="23"/>
      <c r="N336" s="23"/>
      <c r="O336" s="23"/>
      <c r="P336" s="23"/>
      <c r="Q336" s="23"/>
      <c r="R336" s="23"/>
      <c r="S336" s="23"/>
    </row>
    <row r="337" spans="1:19" ht="15.75" customHeight="1" x14ac:dyDescent="0.25">
      <c r="A337" s="92"/>
      <c r="B337" s="22"/>
      <c r="C337" s="23"/>
      <c r="D337" s="23"/>
      <c r="E337" s="23"/>
      <c r="F337" s="23"/>
      <c r="G337" s="23"/>
      <c r="H337" s="23"/>
      <c r="I337" s="23"/>
      <c r="J337" s="23"/>
      <c r="K337" s="23"/>
      <c r="L337" s="23"/>
      <c r="M337" s="23"/>
      <c r="N337" s="23"/>
      <c r="O337" s="23"/>
      <c r="P337" s="23"/>
      <c r="Q337" s="23"/>
      <c r="R337" s="23"/>
      <c r="S337" s="23"/>
    </row>
    <row r="338" spans="1:19" ht="15.75" customHeight="1" x14ac:dyDescent="0.25">
      <c r="A338" s="92"/>
      <c r="B338" s="22"/>
      <c r="C338" s="23"/>
      <c r="D338" s="23"/>
      <c r="E338" s="23"/>
      <c r="F338" s="23"/>
      <c r="G338" s="23"/>
      <c r="H338" s="23"/>
      <c r="I338" s="23"/>
      <c r="J338" s="23"/>
      <c r="K338" s="23"/>
      <c r="L338" s="23"/>
      <c r="M338" s="23"/>
      <c r="N338" s="23"/>
      <c r="O338" s="23"/>
      <c r="P338" s="23"/>
      <c r="Q338" s="23"/>
      <c r="R338" s="23"/>
      <c r="S338" s="23"/>
    </row>
    <row r="339" spans="1:19" ht="15.75" customHeight="1" x14ac:dyDescent="0.25">
      <c r="A339" s="92"/>
      <c r="B339" s="22"/>
      <c r="C339" s="23"/>
      <c r="D339" s="23"/>
      <c r="E339" s="23"/>
      <c r="F339" s="23"/>
      <c r="G339" s="23"/>
      <c r="H339" s="23"/>
      <c r="I339" s="23"/>
      <c r="J339" s="23"/>
      <c r="K339" s="23"/>
      <c r="L339" s="23"/>
      <c r="M339" s="23"/>
      <c r="N339" s="23"/>
      <c r="O339" s="23"/>
      <c r="P339" s="23"/>
      <c r="Q339" s="23"/>
      <c r="R339" s="23"/>
      <c r="S339" s="23"/>
    </row>
    <row r="340" spans="1:19" ht="15.75" customHeight="1" x14ac:dyDescent="0.25">
      <c r="A340" s="92"/>
      <c r="B340" s="22"/>
      <c r="C340" s="23"/>
      <c r="D340" s="23"/>
      <c r="E340" s="23"/>
      <c r="F340" s="23"/>
      <c r="G340" s="23"/>
      <c r="H340" s="23"/>
      <c r="I340" s="23"/>
      <c r="J340" s="23"/>
      <c r="K340" s="23"/>
      <c r="L340" s="23"/>
      <c r="M340" s="23"/>
      <c r="N340" s="23"/>
      <c r="O340" s="23"/>
      <c r="P340" s="23"/>
      <c r="Q340" s="23"/>
      <c r="R340" s="23"/>
      <c r="S340" s="23"/>
    </row>
    <row r="341" spans="1:19" ht="15.75" customHeight="1" x14ac:dyDescent="0.25">
      <c r="A341" s="92"/>
      <c r="B341" s="22"/>
      <c r="C341" s="23"/>
      <c r="D341" s="23"/>
      <c r="E341" s="23"/>
      <c r="F341" s="23"/>
      <c r="G341" s="23"/>
      <c r="H341" s="23"/>
      <c r="I341" s="23"/>
      <c r="J341" s="23"/>
      <c r="K341" s="23"/>
      <c r="L341" s="23"/>
      <c r="M341" s="23"/>
      <c r="N341" s="23"/>
      <c r="O341" s="23"/>
      <c r="P341" s="23"/>
      <c r="Q341" s="23"/>
      <c r="R341" s="23"/>
      <c r="S341" s="23"/>
    </row>
    <row r="342" spans="1:19" ht="15.75" customHeight="1" x14ac:dyDescent="0.25">
      <c r="A342" s="92"/>
      <c r="B342" s="22"/>
      <c r="C342" s="23"/>
      <c r="D342" s="23"/>
      <c r="E342" s="23"/>
      <c r="F342" s="23"/>
      <c r="G342" s="23"/>
      <c r="H342" s="23"/>
      <c r="I342" s="23"/>
      <c r="J342" s="23"/>
      <c r="K342" s="23"/>
      <c r="L342" s="23"/>
      <c r="M342" s="23"/>
      <c r="N342" s="23"/>
      <c r="O342" s="23"/>
      <c r="P342" s="23"/>
      <c r="Q342" s="23"/>
      <c r="R342" s="23"/>
      <c r="S342" s="23"/>
    </row>
    <row r="343" spans="1:19" ht="15.75" customHeight="1" x14ac:dyDescent="0.25">
      <c r="A343" s="92"/>
      <c r="B343" s="22"/>
      <c r="C343" s="23"/>
      <c r="D343" s="23"/>
      <c r="E343" s="23"/>
      <c r="F343" s="23"/>
      <c r="G343" s="23"/>
      <c r="H343" s="23"/>
      <c r="I343" s="23"/>
      <c r="J343" s="23"/>
      <c r="K343" s="23"/>
      <c r="L343" s="23"/>
      <c r="M343" s="23"/>
      <c r="N343" s="23"/>
      <c r="O343" s="23"/>
      <c r="P343" s="23"/>
      <c r="Q343" s="23"/>
      <c r="R343" s="23"/>
      <c r="S343" s="23"/>
    </row>
    <row r="344" spans="1:19" ht="15.75" customHeight="1" x14ac:dyDescent="0.25">
      <c r="A344" s="92"/>
      <c r="B344" s="22"/>
      <c r="C344" s="23"/>
      <c r="D344" s="23"/>
      <c r="E344" s="23"/>
      <c r="F344" s="23"/>
      <c r="G344" s="23"/>
      <c r="H344" s="23"/>
      <c r="I344" s="23"/>
      <c r="J344" s="23"/>
      <c r="K344" s="23"/>
      <c r="L344" s="23"/>
      <c r="M344" s="23"/>
      <c r="N344" s="23"/>
      <c r="O344" s="23"/>
      <c r="P344" s="23"/>
      <c r="Q344" s="23"/>
      <c r="R344" s="23"/>
      <c r="S344" s="23"/>
    </row>
    <row r="345" spans="1:19" ht="15.75" customHeight="1" x14ac:dyDescent="0.25">
      <c r="A345" s="92"/>
      <c r="B345" s="22"/>
      <c r="C345" s="23"/>
      <c r="D345" s="23"/>
      <c r="E345" s="23"/>
      <c r="F345" s="23"/>
      <c r="G345" s="23"/>
      <c r="H345" s="23"/>
      <c r="I345" s="23"/>
      <c r="J345" s="23"/>
      <c r="K345" s="23"/>
      <c r="L345" s="23"/>
      <c r="M345" s="23"/>
      <c r="N345" s="23"/>
      <c r="O345" s="23"/>
      <c r="P345" s="23"/>
      <c r="Q345" s="23"/>
      <c r="R345" s="23"/>
      <c r="S345" s="23"/>
    </row>
    <row r="346" spans="1:19" ht="15.75" customHeight="1" x14ac:dyDescent="0.25">
      <c r="A346" s="92"/>
      <c r="B346" s="22"/>
      <c r="C346" s="23"/>
      <c r="D346" s="23"/>
      <c r="E346" s="23"/>
      <c r="F346" s="23"/>
      <c r="G346" s="23"/>
      <c r="H346" s="23"/>
      <c r="I346" s="23"/>
      <c r="J346" s="23"/>
      <c r="K346" s="23"/>
      <c r="L346" s="23"/>
      <c r="M346" s="23"/>
      <c r="N346" s="23"/>
      <c r="O346" s="23"/>
      <c r="P346" s="23"/>
      <c r="Q346" s="23"/>
      <c r="R346" s="23"/>
      <c r="S346" s="23"/>
    </row>
    <row r="347" spans="1:19" ht="15.75" customHeight="1" x14ac:dyDescent="0.25">
      <c r="A347" s="92"/>
      <c r="B347" s="22"/>
      <c r="C347" s="23"/>
      <c r="D347" s="23"/>
      <c r="E347" s="23"/>
      <c r="F347" s="23"/>
      <c r="G347" s="23"/>
      <c r="H347" s="23"/>
      <c r="I347" s="23"/>
      <c r="J347" s="23"/>
      <c r="K347" s="23"/>
      <c r="L347" s="23"/>
      <c r="M347" s="23"/>
      <c r="N347" s="23"/>
      <c r="O347" s="23"/>
      <c r="P347" s="23"/>
      <c r="Q347" s="23"/>
      <c r="R347" s="23"/>
      <c r="S347" s="23"/>
    </row>
    <row r="348" spans="1:19" ht="15.75" customHeight="1" x14ac:dyDescent="0.25">
      <c r="A348" s="92"/>
      <c r="B348" s="22"/>
      <c r="C348" s="23"/>
      <c r="D348" s="23"/>
      <c r="E348" s="23"/>
      <c r="F348" s="23"/>
      <c r="G348" s="23"/>
      <c r="H348" s="23"/>
      <c r="I348" s="23"/>
      <c r="J348" s="23"/>
      <c r="K348" s="23"/>
      <c r="L348" s="23"/>
      <c r="M348" s="23"/>
      <c r="N348" s="23"/>
      <c r="O348" s="23"/>
      <c r="P348" s="23"/>
      <c r="Q348" s="23"/>
      <c r="R348" s="23"/>
      <c r="S348" s="23"/>
    </row>
    <row r="349" spans="1:19" ht="15.75" customHeight="1" x14ac:dyDescent="0.25">
      <c r="A349" s="92"/>
      <c r="B349" s="22"/>
      <c r="C349" s="23"/>
      <c r="D349" s="23"/>
      <c r="E349" s="23"/>
      <c r="F349" s="23"/>
      <c r="G349" s="23"/>
      <c r="H349" s="23"/>
      <c r="I349" s="23"/>
      <c r="J349" s="23"/>
      <c r="K349" s="23"/>
      <c r="L349" s="23"/>
      <c r="M349" s="23"/>
      <c r="N349" s="23"/>
      <c r="O349" s="23"/>
      <c r="P349" s="23"/>
      <c r="Q349" s="23"/>
      <c r="R349" s="23"/>
      <c r="S349" s="23"/>
    </row>
    <row r="350" spans="1:19" ht="15.75" customHeight="1" x14ac:dyDescent="0.25">
      <c r="A350" s="92"/>
      <c r="B350" s="22"/>
      <c r="C350" s="23"/>
      <c r="D350" s="23"/>
      <c r="E350" s="23"/>
      <c r="F350" s="23"/>
      <c r="G350" s="23"/>
      <c r="H350" s="23"/>
      <c r="I350" s="23"/>
      <c r="J350" s="23"/>
      <c r="K350" s="23"/>
      <c r="L350" s="23"/>
      <c r="M350" s="23"/>
      <c r="N350" s="23"/>
      <c r="O350" s="23"/>
      <c r="P350" s="23"/>
      <c r="Q350" s="23"/>
      <c r="R350" s="23"/>
      <c r="S350" s="23"/>
    </row>
    <row r="351" spans="1:19" ht="15.75" customHeight="1" x14ac:dyDescent="0.25">
      <c r="A351" s="92"/>
      <c r="B351" s="22"/>
      <c r="C351" s="23"/>
      <c r="D351" s="23"/>
      <c r="E351" s="23"/>
      <c r="F351" s="23"/>
      <c r="G351" s="23"/>
      <c r="H351" s="23"/>
      <c r="I351" s="23"/>
      <c r="J351" s="23"/>
      <c r="K351" s="23"/>
      <c r="L351" s="23"/>
      <c r="M351" s="23"/>
      <c r="N351" s="23"/>
      <c r="O351" s="23"/>
      <c r="P351" s="23"/>
      <c r="Q351" s="23"/>
      <c r="R351" s="23"/>
      <c r="S351" s="23"/>
    </row>
    <row r="352" spans="1:19" ht="15.75" customHeight="1" x14ac:dyDescent="0.25">
      <c r="A352" s="92"/>
      <c r="B352" s="22"/>
      <c r="C352" s="23"/>
      <c r="D352" s="23"/>
      <c r="E352" s="23"/>
      <c r="F352" s="23"/>
      <c r="G352" s="23"/>
      <c r="H352" s="23"/>
      <c r="I352" s="23"/>
      <c r="J352" s="23"/>
      <c r="K352" s="23"/>
      <c r="L352" s="23"/>
      <c r="M352" s="23"/>
      <c r="N352" s="23"/>
      <c r="O352" s="23"/>
      <c r="P352" s="23"/>
      <c r="Q352" s="23"/>
      <c r="R352" s="23"/>
      <c r="S352" s="23"/>
    </row>
    <row r="353" spans="1:19" ht="15.75" customHeight="1" x14ac:dyDescent="0.25">
      <c r="A353" s="92"/>
      <c r="B353" s="22"/>
      <c r="C353" s="23"/>
      <c r="D353" s="23"/>
      <c r="E353" s="23"/>
      <c r="F353" s="23"/>
      <c r="G353" s="23"/>
      <c r="H353" s="23"/>
      <c r="I353" s="23"/>
      <c r="J353" s="23"/>
      <c r="K353" s="23"/>
      <c r="L353" s="23"/>
      <c r="M353" s="23"/>
      <c r="N353" s="23"/>
      <c r="O353" s="23"/>
      <c r="P353" s="23"/>
      <c r="Q353" s="23"/>
      <c r="R353" s="23"/>
      <c r="S353" s="23"/>
    </row>
    <row r="354" spans="1:19" ht="15.75" customHeight="1" x14ac:dyDescent="0.25">
      <c r="A354" s="92"/>
      <c r="B354" s="22"/>
      <c r="C354" s="23"/>
      <c r="D354" s="23"/>
      <c r="E354" s="23"/>
      <c r="F354" s="23"/>
      <c r="G354" s="23"/>
      <c r="H354" s="23"/>
      <c r="I354" s="23"/>
      <c r="J354" s="23"/>
      <c r="K354" s="23"/>
      <c r="L354" s="23"/>
      <c r="M354" s="23"/>
      <c r="N354" s="23"/>
      <c r="O354" s="23"/>
      <c r="P354" s="23"/>
      <c r="Q354" s="23"/>
      <c r="R354" s="23"/>
      <c r="S354" s="23"/>
    </row>
    <row r="355" spans="1:19" ht="15.75" customHeight="1" x14ac:dyDescent="0.25">
      <c r="A355" s="92"/>
      <c r="B355" s="22"/>
      <c r="C355" s="23"/>
      <c r="D355" s="23"/>
      <c r="E355" s="23"/>
      <c r="F355" s="23"/>
      <c r="G355" s="23"/>
      <c r="H355" s="23"/>
      <c r="I355" s="23"/>
      <c r="J355" s="23"/>
      <c r="K355" s="23"/>
      <c r="L355" s="23"/>
      <c r="M355" s="23"/>
      <c r="N355" s="23"/>
      <c r="O355" s="23"/>
      <c r="P355" s="23"/>
      <c r="Q355" s="23"/>
      <c r="R355" s="23"/>
      <c r="S355" s="23"/>
    </row>
    <row r="356" spans="1:19" ht="15.75" customHeight="1" x14ac:dyDescent="0.25">
      <c r="A356" s="92"/>
      <c r="B356" s="22"/>
      <c r="C356" s="23"/>
      <c r="D356" s="23"/>
      <c r="E356" s="23"/>
      <c r="F356" s="23"/>
      <c r="G356" s="23"/>
      <c r="H356" s="23"/>
      <c r="I356" s="23"/>
      <c r="J356" s="23"/>
      <c r="K356" s="23"/>
      <c r="L356" s="23"/>
      <c r="M356" s="23"/>
      <c r="N356" s="23"/>
      <c r="O356" s="23"/>
      <c r="P356" s="23"/>
      <c r="Q356" s="23"/>
      <c r="R356" s="23"/>
      <c r="S356" s="23"/>
    </row>
    <row r="357" spans="1:19" ht="15.75" customHeight="1" x14ac:dyDescent="0.25">
      <c r="A357" s="92"/>
      <c r="B357" s="22"/>
      <c r="C357" s="23"/>
      <c r="D357" s="23"/>
      <c r="E357" s="23"/>
      <c r="F357" s="23"/>
      <c r="G357" s="23"/>
      <c r="H357" s="23"/>
      <c r="I357" s="23"/>
      <c r="J357" s="23"/>
      <c r="K357" s="23"/>
      <c r="L357" s="23"/>
      <c r="M357" s="23"/>
      <c r="N357" s="23"/>
      <c r="O357" s="23"/>
      <c r="P357" s="23"/>
      <c r="Q357" s="23"/>
      <c r="R357" s="23"/>
      <c r="S357" s="23"/>
    </row>
    <row r="358" spans="1:19" ht="15.75" customHeight="1" x14ac:dyDescent="0.25">
      <c r="A358" s="92"/>
      <c r="B358" s="22"/>
      <c r="C358" s="23"/>
      <c r="D358" s="23"/>
      <c r="E358" s="23"/>
      <c r="F358" s="23"/>
      <c r="G358" s="23"/>
      <c r="H358" s="23"/>
      <c r="I358" s="23"/>
      <c r="J358" s="23"/>
      <c r="K358" s="23"/>
      <c r="L358" s="23"/>
      <c r="M358" s="23"/>
      <c r="N358" s="23"/>
      <c r="O358" s="23"/>
      <c r="P358" s="23"/>
      <c r="Q358" s="23"/>
      <c r="R358" s="23"/>
      <c r="S358" s="23"/>
    </row>
    <row r="359" spans="1:19" ht="15.75" customHeight="1" x14ac:dyDescent="0.25">
      <c r="A359" s="92"/>
      <c r="B359" s="22"/>
      <c r="C359" s="23"/>
      <c r="D359" s="23"/>
      <c r="E359" s="23"/>
      <c r="F359" s="23"/>
      <c r="G359" s="23"/>
      <c r="H359" s="23"/>
      <c r="I359" s="23"/>
      <c r="J359" s="23"/>
      <c r="K359" s="23"/>
      <c r="L359" s="23"/>
      <c r="M359" s="23"/>
      <c r="N359" s="23"/>
      <c r="O359" s="23"/>
      <c r="P359" s="23"/>
      <c r="Q359" s="23"/>
      <c r="R359" s="23"/>
      <c r="S359" s="23"/>
    </row>
    <row r="360" spans="1:19" ht="15.75" customHeight="1" x14ac:dyDescent="0.25">
      <c r="A360" s="92"/>
      <c r="B360" s="22"/>
      <c r="C360" s="23"/>
      <c r="D360" s="23"/>
      <c r="E360" s="23"/>
      <c r="F360" s="23"/>
      <c r="G360" s="23"/>
      <c r="H360" s="23"/>
      <c r="I360" s="23"/>
      <c r="J360" s="23"/>
      <c r="K360" s="23"/>
      <c r="L360" s="23"/>
      <c r="M360" s="23"/>
      <c r="N360" s="23"/>
      <c r="O360" s="23"/>
      <c r="P360" s="23"/>
      <c r="Q360" s="23"/>
      <c r="R360" s="23"/>
      <c r="S360" s="23"/>
    </row>
    <row r="361" spans="1:19" ht="15.75" customHeight="1" x14ac:dyDescent="0.25">
      <c r="A361" s="92"/>
      <c r="B361" s="22"/>
      <c r="C361" s="23"/>
      <c r="D361" s="23"/>
      <c r="E361" s="23"/>
      <c r="F361" s="23"/>
      <c r="G361" s="23"/>
      <c r="H361" s="23"/>
      <c r="I361" s="23"/>
      <c r="J361" s="23"/>
      <c r="K361" s="23"/>
      <c r="L361" s="23"/>
      <c r="M361" s="23"/>
      <c r="N361" s="23"/>
      <c r="O361" s="23"/>
      <c r="P361" s="23"/>
      <c r="Q361" s="23"/>
      <c r="R361" s="23"/>
      <c r="S361" s="23"/>
    </row>
    <row r="362" spans="1:19" ht="15.75" customHeight="1" x14ac:dyDescent="0.25">
      <c r="A362" s="92"/>
      <c r="B362" s="22"/>
      <c r="C362" s="23"/>
      <c r="D362" s="23"/>
      <c r="E362" s="23"/>
      <c r="F362" s="23"/>
      <c r="G362" s="23"/>
      <c r="H362" s="23"/>
      <c r="I362" s="23"/>
      <c r="J362" s="23"/>
      <c r="K362" s="23"/>
      <c r="L362" s="23"/>
      <c r="M362" s="23"/>
      <c r="N362" s="23"/>
      <c r="O362" s="23"/>
      <c r="P362" s="23"/>
      <c r="Q362" s="23"/>
      <c r="R362" s="23"/>
      <c r="S362" s="23"/>
    </row>
    <row r="363" spans="1:19" ht="15.75" customHeight="1" x14ac:dyDescent="0.25">
      <c r="A363" s="92"/>
      <c r="B363" s="22"/>
      <c r="C363" s="23"/>
      <c r="D363" s="23"/>
      <c r="E363" s="23"/>
      <c r="F363" s="23"/>
      <c r="G363" s="23"/>
      <c r="H363" s="23"/>
      <c r="I363" s="23"/>
      <c r="J363" s="23"/>
      <c r="K363" s="23"/>
      <c r="L363" s="23"/>
      <c r="M363" s="23"/>
      <c r="N363" s="23"/>
      <c r="O363" s="23"/>
      <c r="P363" s="23"/>
      <c r="Q363" s="23"/>
      <c r="R363" s="23"/>
      <c r="S363" s="23"/>
    </row>
    <row r="364" spans="1:19" ht="15.75" customHeight="1" x14ac:dyDescent="0.25">
      <c r="A364" s="92"/>
      <c r="B364" s="22"/>
      <c r="C364" s="23"/>
      <c r="D364" s="23"/>
      <c r="E364" s="23"/>
      <c r="F364" s="23"/>
      <c r="G364" s="23"/>
      <c r="H364" s="23"/>
      <c r="I364" s="23"/>
      <c r="J364" s="23"/>
      <c r="K364" s="23"/>
      <c r="L364" s="23"/>
      <c r="M364" s="23"/>
      <c r="N364" s="23"/>
      <c r="O364" s="23"/>
      <c r="P364" s="23"/>
      <c r="Q364" s="23"/>
      <c r="R364" s="23"/>
      <c r="S364" s="23"/>
    </row>
    <row r="365" spans="1:19" ht="15.75" customHeight="1" x14ac:dyDescent="0.25">
      <c r="A365" s="92"/>
      <c r="B365" s="22"/>
      <c r="C365" s="23"/>
      <c r="D365" s="23"/>
      <c r="E365" s="23"/>
      <c r="F365" s="23"/>
      <c r="G365" s="23"/>
      <c r="H365" s="23"/>
      <c r="I365" s="23"/>
      <c r="J365" s="23"/>
      <c r="K365" s="23"/>
      <c r="L365" s="23"/>
      <c r="M365" s="23"/>
      <c r="N365" s="23"/>
      <c r="O365" s="23"/>
      <c r="P365" s="23"/>
      <c r="Q365" s="23"/>
      <c r="R365" s="23"/>
      <c r="S365" s="23"/>
    </row>
    <row r="366" spans="1:19" ht="15.75" customHeight="1" x14ac:dyDescent="0.25">
      <c r="A366" s="92"/>
      <c r="B366" s="22"/>
      <c r="C366" s="23"/>
      <c r="D366" s="23"/>
      <c r="E366" s="23"/>
      <c r="F366" s="23"/>
      <c r="G366" s="23"/>
      <c r="H366" s="23"/>
      <c r="I366" s="23"/>
      <c r="J366" s="23"/>
      <c r="K366" s="23"/>
      <c r="L366" s="23"/>
      <c r="M366" s="23"/>
      <c r="N366" s="23"/>
      <c r="O366" s="23"/>
      <c r="P366" s="23"/>
      <c r="Q366" s="23"/>
      <c r="R366" s="23"/>
      <c r="S366" s="23"/>
    </row>
    <row r="367" spans="1:19" ht="15.75" customHeight="1" x14ac:dyDescent="0.25">
      <c r="A367" s="92"/>
      <c r="B367" s="22"/>
      <c r="C367" s="23"/>
      <c r="D367" s="23"/>
      <c r="E367" s="23"/>
      <c r="F367" s="23"/>
      <c r="G367" s="23"/>
      <c r="H367" s="23"/>
      <c r="I367" s="23"/>
      <c r="J367" s="23"/>
      <c r="K367" s="23"/>
      <c r="L367" s="23"/>
      <c r="M367" s="23"/>
      <c r="N367" s="23"/>
      <c r="O367" s="23"/>
      <c r="P367" s="23"/>
      <c r="Q367" s="23"/>
      <c r="R367" s="23"/>
      <c r="S367" s="23"/>
    </row>
    <row r="368" spans="1:19" ht="15.75" customHeight="1" x14ac:dyDescent="0.25">
      <c r="A368" s="92"/>
      <c r="B368" s="22"/>
      <c r="C368" s="23"/>
      <c r="D368" s="23"/>
      <c r="E368" s="23"/>
      <c r="F368" s="23"/>
      <c r="G368" s="23"/>
      <c r="H368" s="23"/>
      <c r="I368" s="23"/>
      <c r="J368" s="23"/>
      <c r="K368" s="23"/>
      <c r="L368" s="23"/>
      <c r="M368" s="23"/>
      <c r="N368" s="23"/>
      <c r="O368" s="23"/>
      <c r="P368" s="23"/>
      <c r="Q368" s="23"/>
      <c r="R368" s="23"/>
      <c r="S368" s="23"/>
    </row>
    <row r="369" spans="1:19" ht="15.75" customHeight="1" x14ac:dyDescent="0.25">
      <c r="A369" s="92"/>
      <c r="B369" s="22"/>
      <c r="C369" s="23"/>
      <c r="D369" s="23"/>
      <c r="E369" s="23"/>
      <c r="F369" s="23"/>
      <c r="G369" s="23"/>
      <c r="H369" s="23"/>
      <c r="I369" s="23"/>
      <c r="J369" s="23"/>
      <c r="K369" s="23"/>
      <c r="L369" s="23"/>
      <c r="M369" s="23"/>
      <c r="N369" s="23"/>
      <c r="O369" s="23"/>
      <c r="P369" s="23"/>
      <c r="Q369" s="23"/>
      <c r="R369" s="23"/>
      <c r="S369" s="23"/>
    </row>
    <row r="370" spans="1:19" ht="15.75" customHeight="1" x14ac:dyDescent="0.25">
      <c r="A370" s="92"/>
      <c r="B370" s="22"/>
      <c r="C370" s="23"/>
      <c r="D370" s="23"/>
      <c r="E370" s="23"/>
      <c r="F370" s="23"/>
      <c r="G370" s="23"/>
      <c r="H370" s="23"/>
      <c r="I370" s="23"/>
      <c r="J370" s="23"/>
      <c r="K370" s="23"/>
      <c r="L370" s="23"/>
      <c r="M370" s="23"/>
      <c r="N370" s="23"/>
      <c r="O370" s="23"/>
      <c r="P370" s="23"/>
      <c r="Q370" s="23"/>
      <c r="R370" s="23"/>
      <c r="S370" s="23"/>
    </row>
    <row r="371" spans="1:19" ht="15.75" customHeight="1" x14ac:dyDescent="0.25">
      <c r="A371" s="92"/>
      <c r="B371" s="22"/>
      <c r="C371" s="23"/>
      <c r="D371" s="23"/>
      <c r="E371" s="23"/>
      <c r="F371" s="23"/>
      <c r="G371" s="23"/>
      <c r="H371" s="23"/>
      <c r="I371" s="23"/>
      <c r="J371" s="23"/>
      <c r="K371" s="23"/>
      <c r="L371" s="23"/>
      <c r="M371" s="23"/>
      <c r="N371" s="23"/>
      <c r="O371" s="23"/>
      <c r="P371" s="23"/>
      <c r="Q371" s="23"/>
      <c r="R371" s="23"/>
      <c r="S371" s="23"/>
    </row>
    <row r="372" spans="1:19" ht="15.75" customHeight="1" x14ac:dyDescent="0.25">
      <c r="A372" s="92"/>
      <c r="B372" s="22"/>
      <c r="C372" s="23"/>
      <c r="D372" s="23"/>
      <c r="E372" s="23"/>
      <c r="F372" s="23"/>
      <c r="G372" s="23"/>
      <c r="H372" s="23"/>
      <c r="I372" s="23"/>
      <c r="J372" s="23"/>
      <c r="K372" s="23"/>
      <c r="L372" s="23"/>
      <c r="M372" s="23"/>
      <c r="N372" s="23"/>
      <c r="O372" s="23"/>
      <c r="P372" s="23"/>
      <c r="Q372" s="23"/>
      <c r="R372" s="23"/>
      <c r="S372" s="23"/>
    </row>
    <row r="373" spans="1:19" ht="15.75" customHeight="1" x14ac:dyDescent="0.25">
      <c r="A373" s="92"/>
      <c r="B373" s="22"/>
      <c r="C373" s="23"/>
      <c r="D373" s="23"/>
      <c r="E373" s="23"/>
      <c r="F373" s="23"/>
      <c r="G373" s="23"/>
      <c r="H373" s="23"/>
      <c r="I373" s="23"/>
      <c r="J373" s="23"/>
      <c r="K373" s="23"/>
      <c r="L373" s="23"/>
      <c r="M373" s="23"/>
      <c r="N373" s="23"/>
      <c r="O373" s="23"/>
      <c r="P373" s="23"/>
      <c r="Q373" s="23"/>
      <c r="R373" s="23"/>
      <c r="S373" s="23"/>
    </row>
    <row r="374" spans="1:19" ht="15.75" customHeight="1" x14ac:dyDescent="0.25">
      <c r="A374" s="92"/>
      <c r="B374" s="22"/>
      <c r="C374" s="23"/>
      <c r="D374" s="23"/>
      <c r="E374" s="23"/>
      <c r="F374" s="23"/>
      <c r="G374" s="23"/>
      <c r="H374" s="23"/>
      <c r="I374" s="23"/>
      <c r="J374" s="23"/>
      <c r="K374" s="23"/>
      <c r="L374" s="23"/>
      <c r="M374" s="23"/>
      <c r="N374" s="23"/>
      <c r="O374" s="23"/>
      <c r="P374" s="23"/>
      <c r="Q374" s="23"/>
      <c r="R374" s="23"/>
      <c r="S374" s="23"/>
    </row>
    <row r="375" spans="1:19" ht="15.75" customHeight="1" x14ac:dyDescent="0.25">
      <c r="A375" s="92"/>
      <c r="B375" s="22"/>
      <c r="C375" s="23"/>
      <c r="D375" s="23"/>
      <c r="E375" s="23"/>
      <c r="F375" s="23"/>
      <c r="G375" s="23"/>
      <c r="H375" s="23"/>
      <c r="I375" s="23"/>
      <c r="J375" s="23"/>
      <c r="K375" s="23"/>
      <c r="L375" s="23"/>
      <c r="M375" s="23"/>
      <c r="N375" s="23"/>
      <c r="O375" s="23"/>
      <c r="P375" s="23"/>
      <c r="Q375" s="23"/>
      <c r="R375" s="23"/>
      <c r="S375" s="23"/>
    </row>
    <row r="376" spans="1:19" ht="15.75" customHeight="1" x14ac:dyDescent="0.25">
      <c r="A376" s="92"/>
      <c r="B376" s="22"/>
      <c r="C376" s="23"/>
      <c r="D376" s="23"/>
      <c r="E376" s="23"/>
      <c r="F376" s="23"/>
      <c r="G376" s="23"/>
      <c r="H376" s="23"/>
      <c r="I376" s="23"/>
      <c r="J376" s="23"/>
      <c r="K376" s="23"/>
      <c r="L376" s="23"/>
      <c r="M376" s="23"/>
      <c r="N376" s="23"/>
      <c r="O376" s="23"/>
      <c r="P376" s="23"/>
      <c r="Q376" s="23"/>
      <c r="R376" s="23"/>
      <c r="S376" s="23"/>
    </row>
    <row r="377" spans="1:19" ht="15.75" customHeight="1" x14ac:dyDescent="0.25">
      <c r="A377" s="92"/>
      <c r="B377" s="22"/>
      <c r="C377" s="23"/>
      <c r="D377" s="23"/>
      <c r="E377" s="23"/>
      <c r="F377" s="23"/>
      <c r="G377" s="23"/>
      <c r="H377" s="23"/>
      <c r="I377" s="23"/>
      <c r="J377" s="23"/>
      <c r="K377" s="23"/>
      <c r="L377" s="23"/>
      <c r="M377" s="23"/>
      <c r="N377" s="23"/>
      <c r="O377" s="23"/>
      <c r="P377" s="23"/>
      <c r="Q377" s="23"/>
      <c r="R377" s="23"/>
      <c r="S377" s="23"/>
    </row>
    <row r="378" spans="1:19" ht="15.75" customHeight="1" x14ac:dyDescent="0.25">
      <c r="A378" s="92"/>
      <c r="B378" s="22"/>
      <c r="C378" s="23"/>
      <c r="D378" s="23"/>
      <c r="E378" s="23"/>
      <c r="F378" s="23"/>
      <c r="G378" s="23"/>
      <c r="H378" s="23"/>
      <c r="I378" s="23"/>
      <c r="J378" s="23"/>
      <c r="K378" s="23"/>
      <c r="L378" s="23"/>
      <c r="M378" s="23"/>
      <c r="N378" s="23"/>
      <c r="O378" s="23"/>
      <c r="P378" s="23"/>
      <c r="Q378" s="23"/>
      <c r="R378" s="23"/>
      <c r="S378" s="23"/>
    </row>
    <row r="379" spans="1:19" ht="15.75" customHeight="1" x14ac:dyDescent="0.25">
      <c r="A379" s="92"/>
      <c r="B379" s="22"/>
      <c r="C379" s="23"/>
      <c r="D379" s="23"/>
      <c r="E379" s="23"/>
      <c r="F379" s="23"/>
      <c r="G379" s="23"/>
      <c r="H379" s="23"/>
      <c r="I379" s="23"/>
      <c r="J379" s="23"/>
      <c r="K379" s="23"/>
      <c r="L379" s="23"/>
      <c r="M379" s="23"/>
      <c r="N379" s="23"/>
      <c r="O379" s="23"/>
      <c r="P379" s="23"/>
      <c r="Q379" s="23"/>
      <c r="R379" s="23"/>
      <c r="S379" s="23"/>
    </row>
    <row r="380" spans="1:19" ht="15.75" customHeight="1" x14ac:dyDescent="0.25">
      <c r="A380" s="92"/>
      <c r="B380" s="22"/>
      <c r="C380" s="23"/>
      <c r="D380" s="23"/>
      <c r="E380" s="23"/>
      <c r="F380" s="23"/>
      <c r="G380" s="23"/>
      <c r="H380" s="23"/>
      <c r="I380" s="23"/>
      <c r="J380" s="23"/>
      <c r="K380" s="23"/>
      <c r="L380" s="23"/>
      <c r="M380" s="23"/>
      <c r="N380" s="23"/>
      <c r="O380" s="23"/>
      <c r="P380" s="23"/>
      <c r="Q380" s="23"/>
      <c r="R380" s="23"/>
      <c r="S380" s="23"/>
    </row>
    <row r="381" spans="1:19" ht="15.75" customHeight="1" x14ac:dyDescent="0.25">
      <c r="A381" s="92"/>
      <c r="B381" s="22"/>
      <c r="C381" s="23"/>
      <c r="D381" s="23"/>
      <c r="E381" s="23"/>
      <c r="F381" s="23"/>
      <c r="G381" s="23"/>
      <c r="H381" s="23"/>
      <c r="I381" s="23"/>
      <c r="J381" s="23"/>
      <c r="K381" s="23"/>
      <c r="L381" s="23"/>
      <c r="M381" s="23"/>
      <c r="N381" s="23"/>
      <c r="O381" s="23"/>
      <c r="P381" s="23"/>
      <c r="Q381" s="23"/>
      <c r="R381" s="23"/>
      <c r="S381" s="23"/>
    </row>
    <row r="382" spans="1:19" ht="15.75" customHeight="1" x14ac:dyDescent="0.25">
      <c r="A382" s="92"/>
      <c r="B382" s="22"/>
      <c r="C382" s="23"/>
      <c r="D382" s="23"/>
      <c r="E382" s="23"/>
      <c r="F382" s="23"/>
      <c r="G382" s="23"/>
      <c r="H382" s="23"/>
      <c r="I382" s="23"/>
      <c r="J382" s="23"/>
      <c r="K382" s="23"/>
      <c r="L382" s="23"/>
      <c r="M382" s="23"/>
      <c r="N382" s="23"/>
      <c r="O382" s="23"/>
      <c r="P382" s="23"/>
      <c r="Q382" s="23"/>
      <c r="R382" s="23"/>
      <c r="S382" s="23"/>
    </row>
    <row r="383" spans="1:19" ht="15.75" customHeight="1" x14ac:dyDescent="0.25">
      <c r="A383" s="92"/>
      <c r="B383" s="22"/>
      <c r="C383" s="23"/>
      <c r="D383" s="23"/>
      <c r="E383" s="23"/>
      <c r="F383" s="23"/>
      <c r="G383" s="23"/>
      <c r="H383" s="23"/>
      <c r="I383" s="23"/>
      <c r="J383" s="23"/>
      <c r="K383" s="23"/>
      <c r="L383" s="23"/>
      <c r="M383" s="23"/>
      <c r="N383" s="23"/>
      <c r="O383" s="23"/>
      <c r="P383" s="23"/>
      <c r="Q383" s="23"/>
      <c r="R383" s="23"/>
      <c r="S383" s="23"/>
    </row>
    <row r="384" spans="1:19" ht="15.75" customHeight="1" x14ac:dyDescent="0.25">
      <c r="A384" s="92"/>
      <c r="B384" s="22"/>
      <c r="C384" s="23"/>
      <c r="D384" s="23"/>
      <c r="E384" s="23"/>
      <c r="F384" s="23"/>
      <c r="G384" s="23"/>
      <c r="H384" s="23"/>
      <c r="I384" s="23"/>
      <c r="J384" s="23"/>
      <c r="K384" s="23"/>
      <c r="L384" s="23"/>
      <c r="M384" s="23"/>
      <c r="N384" s="23"/>
      <c r="O384" s="23"/>
      <c r="P384" s="23"/>
      <c r="Q384" s="23"/>
      <c r="R384" s="23"/>
      <c r="S384" s="23"/>
    </row>
    <row r="385" spans="1:19" ht="15.75" customHeight="1" x14ac:dyDescent="0.25">
      <c r="A385" s="92"/>
      <c r="B385" s="22"/>
      <c r="C385" s="23"/>
      <c r="D385" s="23"/>
      <c r="E385" s="23"/>
      <c r="F385" s="23"/>
      <c r="G385" s="23"/>
      <c r="H385" s="23"/>
      <c r="I385" s="23"/>
      <c r="J385" s="23"/>
      <c r="K385" s="23"/>
      <c r="L385" s="23"/>
      <c r="M385" s="23"/>
      <c r="N385" s="23"/>
      <c r="O385" s="23"/>
      <c r="P385" s="23"/>
      <c r="Q385" s="23"/>
      <c r="R385" s="23"/>
      <c r="S385" s="23"/>
    </row>
    <row r="386" spans="1:19" ht="15.75" customHeight="1" x14ac:dyDescent="0.25">
      <c r="A386" s="92"/>
      <c r="B386" s="22"/>
      <c r="C386" s="23"/>
      <c r="D386" s="23"/>
      <c r="E386" s="23"/>
      <c r="F386" s="23"/>
      <c r="G386" s="23"/>
      <c r="H386" s="23"/>
      <c r="I386" s="23"/>
      <c r="J386" s="23"/>
      <c r="K386" s="23"/>
      <c r="L386" s="23"/>
      <c r="M386" s="23"/>
      <c r="N386" s="23"/>
      <c r="O386" s="23"/>
      <c r="P386" s="23"/>
      <c r="Q386" s="23"/>
      <c r="R386" s="23"/>
      <c r="S386" s="23"/>
    </row>
    <row r="387" spans="1:19" ht="15.75" customHeight="1" x14ac:dyDescent="0.25">
      <c r="A387" s="92"/>
      <c r="B387" s="22"/>
      <c r="C387" s="23"/>
      <c r="D387" s="23"/>
      <c r="E387" s="23"/>
      <c r="F387" s="23"/>
      <c r="G387" s="23"/>
      <c r="H387" s="23"/>
      <c r="I387" s="23"/>
      <c r="J387" s="23"/>
      <c r="K387" s="23"/>
      <c r="L387" s="23"/>
      <c r="M387" s="23"/>
      <c r="N387" s="23"/>
      <c r="O387" s="23"/>
      <c r="P387" s="23"/>
      <c r="Q387" s="23"/>
      <c r="R387" s="23"/>
      <c r="S387" s="23"/>
    </row>
    <row r="388" spans="1:19" ht="15.75" customHeight="1" x14ac:dyDescent="0.25">
      <c r="A388" s="92"/>
      <c r="B388" s="22"/>
      <c r="C388" s="23"/>
      <c r="D388" s="23"/>
      <c r="E388" s="23"/>
      <c r="F388" s="23"/>
      <c r="G388" s="23"/>
      <c r="H388" s="23"/>
      <c r="I388" s="23"/>
      <c r="J388" s="23"/>
      <c r="K388" s="23"/>
      <c r="L388" s="23"/>
      <c r="M388" s="23"/>
      <c r="N388" s="23"/>
      <c r="O388" s="23"/>
      <c r="P388" s="23"/>
      <c r="Q388" s="23"/>
      <c r="R388" s="23"/>
      <c r="S388" s="23"/>
    </row>
    <row r="389" spans="1:19" ht="15.75" customHeight="1" x14ac:dyDescent="0.25">
      <c r="A389" s="92"/>
      <c r="B389" s="22"/>
      <c r="C389" s="23"/>
      <c r="D389" s="23"/>
      <c r="E389" s="23"/>
      <c r="F389" s="23"/>
      <c r="G389" s="23"/>
      <c r="H389" s="23"/>
      <c r="I389" s="23"/>
      <c r="J389" s="23"/>
      <c r="K389" s="23"/>
      <c r="L389" s="23"/>
      <c r="M389" s="23"/>
      <c r="N389" s="23"/>
      <c r="O389" s="23"/>
      <c r="P389" s="23"/>
      <c r="Q389" s="23"/>
      <c r="R389" s="23"/>
      <c r="S389" s="23"/>
    </row>
    <row r="390" spans="1:19" ht="15.75" customHeight="1" x14ac:dyDescent="0.25">
      <c r="A390" s="92"/>
      <c r="B390" s="22"/>
      <c r="C390" s="23"/>
      <c r="D390" s="23"/>
      <c r="E390" s="23"/>
      <c r="F390" s="23"/>
      <c r="G390" s="23"/>
      <c r="H390" s="23"/>
      <c r="I390" s="23"/>
      <c r="J390" s="23"/>
      <c r="K390" s="23"/>
      <c r="L390" s="23"/>
      <c r="M390" s="23"/>
      <c r="N390" s="23"/>
      <c r="O390" s="23"/>
      <c r="P390" s="23"/>
      <c r="Q390" s="23"/>
      <c r="R390" s="23"/>
      <c r="S390" s="23"/>
    </row>
    <row r="391" spans="1:19" ht="15.75" customHeight="1" x14ac:dyDescent="0.25">
      <c r="A391" s="92"/>
      <c r="B391" s="22"/>
      <c r="C391" s="23"/>
      <c r="D391" s="23"/>
      <c r="E391" s="23"/>
      <c r="F391" s="23"/>
      <c r="G391" s="23"/>
      <c r="H391" s="23"/>
      <c r="I391" s="23"/>
      <c r="J391" s="23"/>
      <c r="K391" s="23"/>
      <c r="L391" s="23"/>
      <c r="M391" s="23"/>
      <c r="N391" s="23"/>
      <c r="O391" s="23"/>
      <c r="P391" s="23"/>
      <c r="Q391" s="23"/>
      <c r="R391" s="23"/>
      <c r="S391" s="23"/>
    </row>
    <row r="392" spans="1:19" ht="15.75" customHeight="1" x14ac:dyDescent="0.25">
      <c r="A392" s="92"/>
      <c r="B392" s="22"/>
      <c r="C392" s="23"/>
      <c r="D392" s="23"/>
      <c r="E392" s="23"/>
      <c r="F392" s="23"/>
      <c r="G392" s="23"/>
      <c r="H392" s="23"/>
      <c r="I392" s="23"/>
      <c r="J392" s="23"/>
      <c r="K392" s="23"/>
      <c r="L392" s="23"/>
      <c r="M392" s="23"/>
      <c r="N392" s="23"/>
      <c r="O392" s="23"/>
      <c r="P392" s="23"/>
      <c r="Q392" s="23"/>
      <c r="R392" s="23"/>
      <c r="S392" s="23"/>
    </row>
    <row r="393" spans="1:19" ht="15.75" customHeight="1" x14ac:dyDescent="0.25">
      <c r="A393" s="92"/>
      <c r="B393" s="22"/>
      <c r="C393" s="23"/>
      <c r="D393" s="23"/>
      <c r="E393" s="23"/>
      <c r="F393" s="23"/>
      <c r="G393" s="23"/>
      <c r="H393" s="23"/>
      <c r="I393" s="23"/>
      <c r="J393" s="23"/>
      <c r="K393" s="23"/>
      <c r="L393" s="23"/>
      <c r="M393" s="23"/>
      <c r="N393" s="23"/>
      <c r="O393" s="23"/>
      <c r="P393" s="23"/>
      <c r="Q393" s="23"/>
      <c r="R393" s="23"/>
      <c r="S393" s="23"/>
    </row>
    <row r="394" spans="1:19" ht="15.75" customHeight="1" x14ac:dyDescent="0.25">
      <c r="A394" s="92"/>
      <c r="B394" s="22"/>
      <c r="C394" s="23"/>
      <c r="D394" s="23"/>
      <c r="E394" s="23"/>
      <c r="F394" s="23"/>
      <c r="G394" s="23"/>
      <c r="H394" s="23"/>
      <c r="I394" s="23"/>
      <c r="J394" s="23"/>
      <c r="K394" s="23"/>
      <c r="L394" s="23"/>
      <c r="M394" s="23"/>
      <c r="N394" s="23"/>
      <c r="O394" s="23"/>
      <c r="P394" s="23"/>
      <c r="Q394" s="23"/>
      <c r="R394" s="23"/>
      <c r="S394" s="23"/>
    </row>
    <row r="395" spans="1:19" ht="15.75" customHeight="1" x14ac:dyDescent="0.25">
      <c r="A395" s="92"/>
      <c r="B395" s="22"/>
      <c r="C395" s="23"/>
      <c r="D395" s="23"/>
      <c r="E395" s="23"/>
      <c r="F395" s="23"/>
      <c r="G395" s="23"/>
      <c r="H395" s="23"/>
      <c r="I395" s="23"/>
      <c r="J395" s="23"/>
      <c r="K395" s="23"/>
      <c r="L395" s="23"/>
      <c r="M395" s="23"/>
      <c r="N395" s="23"/>
      <c r="O395" s="23"/>
      <c r="P395" s="23"/>
      <c r="Q395" s="23"/>
      <c r="R395" s="23"/>
      <c r="S395" s="23"/>
    </row>
    <row r="396" spans="1:19" ht="15.75" customHeight="1" x14ac:dyDescent="0.25">
      <c r="A396" s="92"/>
      <c r="B396" s="22"/>
      <c r="C396" s="23"/>
      <c r="D396" s="23"/>
      <c r="E396" s="23"/>
      <c r="F396" s="23"/>
      <c r="G396" s="23"/>
      <c r="H396" s="23"/>
      <c r="I396" s="23"/>
      <c r="J396" s="23"/>
      <c r="K396" s="23"/>
      <c r="L396" s="23"/>
      <c r="M396" s="23"/>
      <c r="N396" s="23"/>
      <c r="O396" s="23"/>
      <c r="P396" s="23"/>
      <c r="Q396" s="23"/>
      <c r="R396" s="23"/>
      <c r="S396" s="23"/>
    </row>
    <row r="397" spans="1:19" ht="15.75" customHeight="1" x14ac:dyDescent="0.25">
      <c r="A397" s="92"/>
      <c r="B397" s="22"/>
      <c r="C397" s="23"/>
      <c r="D397" s="23"/>
      <c r="E397" s="23"/>
      <c r="F397" s="23"/>
      <c r="G397" s="23"/>
      <c r="H397" s="23"/>
      <c r="I397" s="23"/>
      <c r="J397" s="23"/>
      <c r="K397" s="23"/>
      <c r="L397" s="23"/>
      <c r="M397" s="23"/>
      <c r="N397" s="23"/>
      <c r="O397" s="23"/>
      <c r="P397" s="23"/>
      <c r="Q397" s="23"/>
      <c r="R397" s="23"/>
      <c r="S397" s="23"/>
    </row>
    <row r="398" spans="1:19" ht="15.75" customHeight="1" x14ac:dyDescent="0.25">
      <c r="A398" s="92"/>
      <c r="B398" s="22"/>
      <c r="C398" s="23"/>
      <c r="D398" s="23"/>
      <c r="E398" s="23"/>
      <c r="F398" s="23"/>
      <c r="G398" s="23"/>
      <c r="H398" s="23"/>
      <c r="I398" s="23"/>
      <c r="J398" s="23"/>
      <c r="K398" s="23"/>
      <c r="L398" s="23"/>
      <c r="M398" s="23"/>
      <c r="N398" s="23"/>
      <c r="O398" s="23"/>
      <c r="P398" s="23"/>
      <c r="Q398" s="23"/>
      <c r="R398" s="23"/>
      <c r="S398" s="23"/>
    </row>
    <row r="399" spans="1:19" ht="15.75" customHeight="1" x14ac:dyDescent="0.25">
      <c r="A399" s="92"/>
      <c r="B399" s="22"/>
      <c r="C399" s="23"/>
      <c r="D399" s="23"/>
      <c r="E399" s="23"/>
      <c r="F399" s="23"/>
      <c r="G399" s="23"/>
      <c r="H399" s="23"/>
      <c r="I399" s="23"/>
      <c r="J399" s="23"/>
      <c r="K399" s="23"/>
      <c r="L399" s="23"/>
      <c r="M399" s="23"/>
      <c r="N399" s="23"/>
      <c r="O399" s="23"/>
      <c r="P399" s="23"/>
      <c r="Q399" s="23"/>
      <c r="R399" s="23"/>
      <c r="S399" s="23"/>
    </row>
    <row r="400" spans="1:19" ht="15.75" customHeight="1" x14ac:dyDescent="0.25">
      <c r="A400" s="92"/>
      <c r="B400" s="22"/>
      <c r="C400" s="23"/>
      <c r="D400" s="23"/>
      <c r="E400" s="23"/>
      <c r="F400" s="23"/>
      <c r="G400" s="23"/>
      <c r="H400" s="23"/>
      <c r="I400" s="23"/>
      <c r="J400" s="23"/>
      <c r="K400" s="23"/>
      <c r="L400" s="23"/>
      <c r="M400" s="23"/>
      <c r="N400" s="23"/>
      <c r="O400" s="23"/>
      <c r="P400" s="23"/>
      <c r="Q400" s="23"/>
      <c r="R400" s="23"/>
      <c r="S400" s="23"/>
    </row>
    <row r="401" spans="1:19" ht="15.75" customHeight="1" x14ac:dyDescent="0.25">
      <c r="A401" s="92"/>
      <c r="B401" s="22"/>
      <c r="C401" s="23"/>
      <c r="D401" s="23"/>
      <c r="E401" s="23"/>
      <c r="F401" s="23"/>
      <c r="G401" s="23"/>
      <c r="H401" s="23"/>
      <c r="I401" s="23"/>
      <c r="J401" s="23"/>
      <c r="K401" s="23"/>
      <c r="L401" s="23"/>
      <c r="M401" s="23"/>
      <c r="N401" s="23"/>
      <c r="O401" s="23"/>
      <c r="P401" s="23"/>
      <c r="Q401" s="23"/>
      <c r="R401" s="23"/>
      <c r="S401" s="23"/>
    </row>
    <row r="402" spans="1:19" ht="15.75" customHeight="1" x14ac:dyDescent="0.25">
      <c r="A402" s="92"/>
      <c r="B402" s="22"/>
      <c r="C402" s="23"/>
      <c r="D402" s="23"/>
      <c r="E402" s="23"/>
      <c r="F402" s="23"/>
      <c r="G402" s="23"/>
      <c r="H402" s="23"/>
      <c r="I402" s="23"/>
      <c r="J402" s="23"/>
      <c r="K402" s="23"/>
      <c r="L402" s="23"/>
      <c r="M402" s="23"/>
      <c r="N402" s="23"/>
      <c r="O402" s="23"/>
      <c r="P402" s="23"/>
      <c r="Q402" s="23"/>
      <c r="R402" s="23"/>
      <c r="S402" s="23"/>
    </row>
    <row r="403" spans="1:19" ht="15.75" customHeight="1" x14ac:dyDescent="0.25">
      <c r="A403" s="92"/>
      <c r="B403" s="22"/>
      <c r="C403" s="23"/>
      <c r="D403" s="23"/>
      <c r="E403" s="23"/>
      <c r="F403" s="23"/>
      <c r="G403" s="23"/>
      <c r="H403" s="23"/>
      <c r="I403" s="23"/>
      <c r="J403" s="23"/>
      <c r="K403" s="23"/>
      <c r="L403" s="23"/>
      <c r="M403" s="23"/>
      <c r="N403" s="23"/>
      <c r="O403" s="23"/>
      <c r="P403" s="23"/>
      <c r="Q403" s="23"/>
      <c r="R403" s="23"/>
      <c r="S403" s="23"/>
    </row>
    <row r="404" spans="1:19" ht="15.75" customHeight="1" x14ac:dyDescent="0.25">
      <c r="A404" s="92"/>
      <c r="B404" s="22"/>
      <c r="C404" s="23"/>
      <c r="D404" s="23"/>
      <c r="E404" s="23"/>
      <c r="F404" s="23"/>
      <c r="G404" s="23"/>
      <c r="H404" s="23"/>
      <c r="I404" s="23"/>
      <c r="J404" s="23"/>
      <c r="K404" s="23"/>
      <c r="L404" s="23"/>
      <c r="M404" s="23"/>
      <c r="N404" s="23"/>
      <c r="O404" s="23"/>
      <c r="P404" s="23"/>
      <c r="Q404" s="23"/>
      <c r="R404" s="23"/>
      <c r="S404" s="23"/>
    </row>
    <row r="405" spans="1:19" ht="15.75" customHeight="1" x14ac:dyDescent="0.25">
      <c r="A405" s="92"/>
      <c r="B405" s="22"/>
      <c r="C405" s="23"/>
      <c r="D405" s="23"/>
      <c r="E405" s="23"/>
      <c r="F405" s="23"/>
      <c r="G405" s="23"/>
      <c r="H405" s="23"/>
      <c r="I405" s="23"/>
      <c r="J405" s="23"/>
      <c r="K405" s="23"/>
      <c r="L405" s="23"/>
      <c r="M405" s="23"/>
      <c r="N405" s="23"/>
      <c r="O405" s="23"/>
      <c r="P405" s="23"/>
      <c r="Q405" s="23"/>
      <c r="R405" s="23"/>
      <c r="S405" s="23"/>
    </row>
    <row r="406" spans="1:19" ht="15.75" customHeight="1" x14ac:dyDescent="0.25">
      <c r="A406" s="92"/>
      <c r="B406" s="22"/>
      <c r="C406" s="23"/>
      <c r="D406" s="23"/>
      <c r="E406" s="23"/>
      <c r="F406" s="23"/>
      <c r="G406" s="23"/>
      <c r="H406" s="23"/>
      <c r="I406" s="23"/>
      <c r="J406" s="23"/>
      <c r="K406" s="23"/>
      <c r="L406" s="23"/>
      <c r="M406" s="23"/>
      <c r="N406" s="23"/>
      <c r="O406" s="23"/>
      <c r="P406" s="23"/>
      <c r="Q406" s="23"/>
      <c r="R406" s="23"/>
      <c r="S406" s="23"/>
    </row>
    <row r="407" spans="1:19" ht="15.75" customHeight="1" x14ac:dyDescent="0.25">
      <c r="A407" s="92"/>
      <c r="B407" s="22"/>
      <c r="C407" s="23"/>
      <c r="D407" s="23"/>
      <c r="E407" s="23"/>
      <c r="F407" s="23"/>
      <c r="G407" s="23"/>
      <c r="H407" s="23"/>
      <c r="I407" s="23"/>
      <c r="J407" s="23"/>
      <c r="K407" s="23"/>
      <c r="L407" s="23"/>
      <c r="M407" s="23"/>
      <c r="N407" s="23"/>
      <c r="O407" s="23"/>
      <c r="P407" s="23"/>
      <c r="Q407" s="23"/>
      <c r="R407" s="23"/>
      <c r="S407" s="23"/>
    </row>
    <row r="408" spans="1:19" ht="15.75" customHeight="1" x14ac:dyDescent="0.25">
      <c r="A408" s="92"/>
      <c r="B408" s="22"/>
      <c r="C408" s="23"/>
      <c r="D408" s="23"/>
      <c r="E408" s="23"/>
      <c r="F408" s="23"/>
      <c r="G408" s="23"/>
      <c r="H408" s="23"/>
      <c r="I408" s="23"/>
      <c r="J408" s="23"/>
      <c r="K408" s="23"/>
      <c r="L408" s="23"/>
      <c r="M408" s="23"/>
      <c r="N408" s="23"/>
      <c r="O408" s="23"/>
      <c r="P408" s="23"/>
      <c r="Q408" s="23"/>
      <c r="R408" s="23"/>
      <c r="S408" s="23"/>
    </row>
    <row r="409" spans="1:19" ht="15.75" customHeight="1" x14ac:dyDescent="0.25">
      <c r="A409" s="92"/>
      <c r="B409" s="22"/>
      <c r="C409" s="23"/>
      <c r="D409" s="23"/>
      <c r="E409" s="23"/>
      <c r="F409" s="23"/>
      <c r="G409" s="23"/>
      <c r="H409" s="23"/>
      <c r="I409" s="23"/>
      <c r="J409" s="23"/>
      <c r="K409" s="23"/>
      <c r="L409" s="23"/>
      <c r="M409" s="23"/>
      <c r="N409" s="23"/>
      <c r="O409" s="23"/>
      <c r="P409" s="23"/>
      <c r="Q409" s="23"/>
      <c r="R409" s="23"/>
      <c r="S409" s="23"/>
    </row>
    <row r="410" spans="1:19" ht="15.75" customHeight="1" x14ac:dyDescent="0.25">
      <c r="A410" s="92"/>
      <c r="B410" s="22"/>
      <c r="C410" s="23"/>
      <c r="D410" s="23"/>
      <c r="E410" s="23"/>
      <c r="F410" s="23"/>
      <c r="G410" s="23"/>
      <c r="H410" s="23"/>
      <c r="I410" s="23"/>
      <c r="J410" s="23"/>
      <c r="K410" s="23"/>
      <c r="L410" s="23"/>
      <c r="M410" s="23"/>
      <c r="N410" s="23"/>
      <c r="O410" s="23"/>
      <c r="P410" s="23"/>
      <c r="Q410" s="23"/>
      <c r="R410" s="23"/>
      <c r="S410" s="23"/>
    </row>
    <row r="411" spans="1:19" ht="15.75" customHeight="1" x14ac:dyDescent="0.25">
      <c r="A411" s="92"/>
      <c r="B411" s="22"/>
      <c r="C411" s="23"/>
      <c r="D411" s="23"/>
      <c r="E411" s="23"/>
      <c r="F411" s="23"/>
      <c r="G411" s="23"/>
      <c r="H411" s="23"/>
      <c r="I411" s="23"/>
      <c r="J411" s="23"/>
      <c r="K411" s="23"/>
      <c r="L411" s="23"/>
      <c r="M411" s="23"/>
      <c r="N411" s="23"/>
      <c r="O411" s="23"/>
      <c r="P411" s="23"/>
      <c r="Q411" s="23"/>
      <c r="R411" s="23"/>
      <c r="S411" s="23"/>
    </row>
    <row r="412" spans="1:19" ht="15.75" customHeight="1" x14ac:dyDescent="0.25">
      <c r="A412" s="92"/>
      <c r="B412" s="22"/>
      <c r="C412" s="23"/>
      <c r="D412" s="23"/>
      <c r="E412" s="23"/>
      <c r="F412" s="23"/>
      <c r="G412" s="23"/>
      <c r="H412" s="23"/>
      <c r="I412" s="23"/>
      <c r="J412" s="23"/>
      <c r="K412" s="23"/>
      <c r="L412" s="23"/>
      <c r="M412" s="23"/>
      <c r="N412" s="23"/>
      <c r="O412" s="23"/>
      <c r="P412" s="23"/>
      <c r="Q412" s="23"/>
      <c r="R412" s="23"/>
      <c r="S412" s="23"/>
    </row>
    <row r="413" spans="1:19" ht="15.75" customHeight="1" x14ac:dyDescent="0.25">
      <c r="A413" s="92"/>
      <c r="B413" s="22"/>
      <c r="C413" s="23"/>
      <c r="D413" s="23"/>
      <c r="E413" s="23"/>
      <c r="F413" s="23"/>
      <c r="G413" s="23"/>
      <c r="H413" s="23"/>
      <c r="I413" s="23"/>
      <c r="J413" s="23"/>
      <c r="K413" s="23"/>
      <c r="L413" s="23"/>
      <c r="M413" s="23"/>
      <c r="N413" s="23"/>
      <c r="O413" s="23"/>
      <c r="P413" s="23"/>
      <c r="Q413" s="23"/>
      <c r="R413" s="23"/>
      <c r="S413" s="23"/>
    </row>
    <row r="414" spans="1:19" ht="15.75" customHeight="1" x14ac:dyDescent="0.25">
      <c r="A414" s="92"/>
      <c r="B414" s="22"/>
      <c r="C414" s="23"/>
      <c r="D414" s="23"/>
      <c r="E414" s="23"/>
      <c r="F414" s="23"/>
      <c r="G414" s="23"/>
      <c r="H414" s="23"/>
      <c r="I414" s="23"/>
      <c r="J414" s="23"/>
      <c r="K414" s="23"/>
      <c r="L414" s="23"/>
      <c r="M414" s="23"/>
      <c r="N414" s="23"/>
      <c r="O414" s="23"/>
      <c r="P414" s="23"/>
      <c r="Q414" s="23"/>
      <c r="R414" s="23"/>
      <c r="S414" s="23"/>
    </row>
    <row r="415" spans="1:19" ht="15.75" customHeight="1" x14ac:dyDescent="0.25">
      <c r="A415" s="92"/>
      <c r="B415" s="22"/>
      <c r="C415" s="23"/>
      <c r="D415" s="23"/>
      <c r="E415" s="23"/>
      <c r="F415" s="23"/>
      <c r="G415" s="23"/>
      <c r="H415" s="23"/>
      <c r="I415" s="23"/>
      <c r="J415" s="23"/>
      <c r="K415" s="23"/>
      <c r="L415" s="23"/>
      <c r="M415" s="23"/>
      <c r="N415" s="23"/>
      <c r="O415" s="23"/>
      <c r="P415" s="23"/>
      <c r="Q415" s="23"/>
      <c r="R415" s="23"/>
      <c r="S415" s="23"/>
    </row>
    <row r="416" spans="1:19" ht="15.75" customHeight="1" x14ac:dyDescent="0.25">
      <c r="A416" s="92"/>
      <c r="B416" s="22"/>
      <c r="C416" s="23"/>
      <c r="D416" s="23"/>
      <c r="E416" s="23"/>
      <c r="F416" s="23"/>
      <c r="G416" s="23"/>
      <c r="H416" s="23"/>
      <c r="I416" s="23"/>
      <c r="J416" s="23"/>
      <c r="K416" s="23"/>
      <c r="L416" s="23"/>
      <c r="M416" s="23"/>
      <c r="N416" s="23"/>
      <c r="O416" s="23"/>
      <c r="P416" s="23"/>
      <c r="Q416" s="23"/>
      <c r="R416" s="23"/>
      <c r="S416" s="23"/>
    </row>
    <row r="417" spans="1:19" ht="15.75" customHeight="1" x14ac:dyDescent="0.25">
      <c r="A417" s="92"/>
      <c r="B417" s="22"/>
      <c r="C417" s="23"/>
      <c r="D417" s="23"/>
      <c r="E417" s="23"/>
      <c r="F417" s="23"/>
      <c r="G417" s="23"/>
      <c r="H417" s="23"/>
      <c r="I417" s="23"/>
      <c r="J417" s="23"/>
      <c r="K417" s="23"/>
      <c r="L417" s="23"/>
      <c r="M417" s="23"/>
      <c r="N417" s="23"/>
      <c r="O417" s="23"/>
      <c r="P417" s="23"/>
      <c r="Q417" s="23"/>
      <c r="R417" s="23"/>
      <c r="S417" s="23"/>
    </row>
    <row r="418" spans="1:19" ht="15.75" customHeight="1" x14ac:dyDescent="0.25">
      <c r="A418" s="92"/>
      <c r="B418" s="22"/>
      <c r="C418" s="23"/>
      <c r="D418" s="23"/>
      <c r="E418" s="23"/>
      <c r="F418" s="23"/>
      <c r="G418" s="23"/>
      <c r="H418" s="23"/>
      <c r="I418" s="23"/>
      <c r="J418" s="23"/>
      <c r="K418" s="23"/>
      <c r="L418" s="23"/>
      <c r="M418" s="23"/>
      <c r="N418" s="23"/>
      <c r="O418" s="23"/>
      <c r="P418" s="23"/>
      <c r="Q418" s="23"/>
      <c r="R418" s="23"/>
      <c r="S418" s="23"/>
    </row>
    <row r="419" spans="1:19" ht="15.75" customHeight="1" x14ac:dyDescent="0.25">
      <c r="A419" s="92"/>
      <c r="B419" s="22"/>
      <c r="C419" s="23"/>
      <c r="D419" s="23"/>
      <c r="E419" s="23"/>
      <c r="F419" s="23"/>
      <c r="G419" s="23"/>
      <c r="H419" s="23"/>
      <c r="I419" s="23"/>
      <c r="J419" s="23"/>
      <c r="K419" s="23"/>
      <c r="L419" s="23"/>
      <c r="M419" s="23"/>
      <c r="N419" s="23"/>
      <c r="O419" s="23"/>
      <c r="P419" s="23"/>
      <c r="Q419" s="23"/>
      <c r="R419" s="23"/>
      <c r="S419" s="23"/>
    </row>
    <row r="420" spans="1:19" ht="15.75" customHeight="1" x14ac:dyDescent="0.25">
      <c r="A420" s="92"/>
      <c r="B420" s="22"/>
      <c r="C420" s="23"/>
      <c r="D420" s="23"/>
      <c r="E420" s="23"/>
      <c r="F420" s="23"/>
      <c r="G420" s="23"/>
      <c r="H420" s="23"/>
      <c r="I420" s="23"/>
      <c r="J420" s="23"/>
      <c r="K420" s="23"/>
      <c r="L420" s="23"/>
      <c r="M420" s="23"/>
      <c r="N420" s="23"/>
      <c r="O420" s="23"/>
      <c r="P420" s="23"/>
      <c r="Q420" s="23"/>
      <c r="R420" s="23"/>
      <c r="S420" s="23"/>
    </row>
    <row r="421" spans="1:19" ht="15.75" customHeight="1" x14ac:dyDescent="0.25">
      <c r="A421" s="92"/>
      <c r="B421" s="22"/>
      <c r="C421" s="23"/>
      <c r="D421" s="23"/>
      <c r="E421" s="23"/>
      <c r="F421" s="23"/>
      <c r="G421" s="23"/>
      <c r="H421" s="23"/>
      <c r="I421" s="23"/>
      <c r="J421" s="23"/>
      <c r="K421" s="23"/>
      <c r="L421" s="23"/>
      <c r="M421" s="23"/>
      <c r="N421" s="23"/>
      <c r="O421" s="23"/>
      <c r="P421" s="23"/>
      <c r="Q421" s="23"/>
      <c r="R421" s="23"/>
      <c r="S421" s="23"/>
    </row>
    <row r="422" spans="1:19" ht="15.75" customHeight="1" x14ac:dyDescent="0.25">
      <c r="A422" s="92"/>
      <c r="B422" s="22"/>
      <c r="C422" s="23"/>
      <c r="D422" s="23"/>
      <c r="E422" s="23"/>
      <c r="F422" s="23"/>
      <c r="G422" s="23"/>
      <c r="H422" s="23"/>
      <c r="I422" s="23"/>
      <c r="J422" s="23"/>
      <c r="K422" s="23"/>
      <c r="L422" s="23"/>
      <c r="M422" s="23"/>
      <c r="N422" s="23"/>
      <c r="O422" s="23"/>
      <c r="P422" s="23"/>
      <c r="Q422" s="23"/>
      <c r="R422" s="23"/>
      <c r="S422" s="23"/>
    </row>
    <row r="423" spans="1:19" ht="15.75" customHeight="1" x14ac:dyDescent="0.25">
      <c r="A423" s="92"/>
      <c r="B423" s="22"/>
      <c r="C423" s="23"/>
      <c r="D423" s="23"/>
      <c r="E423" s="23"/>
      <c r="F423" s="23"/>
      <c r="G423" s="23"/>
      <c r="H423" s="23"/>
      <c r="I423" s="23"/>
      <c r="J423" s="23"/>
      <c r="K423" s="23"/>
      <c r="L423" s="23"/>
      <c r="M423" s="23"/>
      <c r="N423" s="23"/>
      <c r="O423" s="23"/>
      <c r="P423" s="23"/>
      <c r="Q423" s="23"/>
      <c r="R423" s="23"/>
      <c r="S423" s="23"/>
    </row>
    <row r="424" spans="1:19" ht="15.75" customHeight="1" x14ac:dyDescent="0.25">
      <c r="A424" s="92"/>
      <c r="B424" s="22"/>
      <c r="C424" s="23"/>
      <c r="D424" s="23"/>
      <c r="E424" s="23"/>
      <c r="F424" s="23"/>
      <c r="G424" s="23"/>
      <c r="H424" s="23"/>
      <c r="I424" s="23"/>
      <c r="J424" s="23"/>
      <c r="K424" s="23"/>
      <c r="L424" s="23"/>
      <c r="M424" s="23"/>
      <c r="N424" s="23"/>
      <c r="O424" s="23"/>
      <c r="P424" s="23"/>
      <c r="Q424" s="23"/>
      <c r="R424" s="23"/>
      <c r="S424" s="23"/>
    </row>
    <row r="425" spans="1:19" ht="15.75" customHeight="1" x14ac:dyDescent="0.25">
      <c r="A425" s="92"/>
      <c r="B425" s="22"/>
      <c r="C425" s="23"/>
      <c r="D425" s="23"/>
      <c r="E425" s="23"/>
      <c r="F425" s="23"/>
      <c r="G425" s="23"/>
      <c r="H425" s="23"/>
      <c r="I425" s="23"/>
      <c r="J425" s="23"/>
      <c r="K425" s="23"/>
      <c r="L425" s="23"/>
      <c r="M425" s="23"/>
      <c r="N425" s="23"/>
      <c r="O425" s="23"/>
      <c r="P425" s="23"/>
      <c r="Q425" s="23"/>
      <c r="R425" s="23"/>
      <c r="S425" s="23"/>
    </row>
    <row r="426" spans="1:19" ht="15.75" customHeight="1" x14ac:dyDescent="0.25">
      <c r="A426" s="92"/>
      <c r="B426" s="22"/>
      <c r="C426" s="23"/>
      <c r="D426" s="23"/>
      <c r="E426" s="23"/>
      <c r="F426" s="23"/>
      <c r="G426" s="23"/>
      <c r="H426" s="23"/>
      <c r="I426" s="23"/>
      <c r="J426" s="23"/>
      <c r="K426" s="23"/>
      <c r="L426" s="23"/>
      <c r="M426" s="23"/>
      <c r="N426" s="23"/>
      <c r="O426" s="23"/>
      <c r="P426" s="23"/>
      <c r="Q426" s="23"/>
      <c r="R426" s="23"/>
      <c r="S426" s="23"/>
    </row>
    <row r="427" spans="1:19" ht="15.75" customHeight="1" x14ac:dyDescent="0.25">
      <c r="A427" s="92"/>
      <c r="B427" s="22"/>
      <c r="C427" s="23"/>
      <c r="D427" s="23"/>
      <c r="E427" s="23"/>
      <c r="F427" s="23"/>
      <c r="G427" s="23"/>
      <c r="H427" s="23"/>
      <c r="I427" s="23"/>
      <c r="J427" s="23"/>
      <c r="K427" s="23"/>
      <c r="L427" s="23"/>
      <c r="M427" s="23"/>
      <c r="N427" s="23"/>
      <c r="O427" s="23"/>
      <c r="P427" s="23"/>
      <c r="Q427" s="23"/>
      <c r="R427" s="23"/>
      <c r="S427" s="23"/>
    </row>
    <row r="428" spans="1:19" ht="15.75" customHeight="1" x14ac:dyDescent="0.25">
      <c r="A428" s="92"/>
      <c r="B428" s="22"/>
      <c r="C428" s="23"/>
      <c r="D428" s="23"/>
      <c r="E428" s="23"/>
      <c r="F428" s="23"/>
      <c r="G428" s="23"/>
      <c r="H428" s="23"/>
      <c r="I428" s="23"/>
      <c r="J428" s="23"/>
      <c r="K428" s="23"/>
      <c r="L428" s="23"/>
      <c r="M428" s="23"/>
      <c r="N428" s="23"/>
      <c r="O428" s="23"/>
      <c r="P428" s="23"/>
      <c r="Q428" s="23"/>
      <c r="R428" s="23"/>
      <c r="S428" s="23"/>
    </row>
    <row r="429" spans="1:19" ht="15.75" customHeight="1" x14ac:dyDescent="0.25">
      <c r="A429" s="92"/>
      <c r="B429" s="22"/>
      <c r="C429" s="23"/>
      <c r="D429" s="23"/>
      <c r="E429" s="23"/>
      <c r="F429" s="23"/>
      <c r="G429" s="23"/>
      <c r="H429" s="23"/>
      <c r="I429" s="23"/>
      <c r="J429" s="23"/>
      <c r="K429" s="23"/>
      <c r="L429" s="23"/>
      <c r="M429" s="23"/>
      <c r="N429" s="23"/>
      <c r="O429" s="23"/>
      <c r="P429" s="23"/>
      <c r="Q429" s="23"/>
      <c r="R429" s="23"/>
      <c r="S429" s="23"/>
    </row>
    <row r="430" spans="1:19" ht="15.75" customHeight="1" x14ac:dyDescent="0.25">
      <c r="A430" s="92"/>
      <c r="B430" s="22"/>
      <c r="C430" s="23"/>
      <c r="D430" s="23"/>
      <c r="E430" s="23"/>
      <c r="F430" s="23"/>
      <c r="G430" s="23"/>
      <c r="H430" s="23"/>
      <c r="I430" s="23"/>
      <c r="J430" s="23"/>
      <c r="K430" s="23"/>
      <c r="L430" s="23"/>
      <c r="M430" s="23"/>
      <c r="N430" s="23"/>
      <c r="O430" s="23"/>
      <c r="P430" s="23"/>
      <c r="Q430" s="23"/>
      <c r="R430" s="23"/>
      <c r="S430" s="23"/>
    </row>
    <row r="431" spans="1:19" ht="15.75" customHeight="1" x14ac:dyDescent="0.25">
      <c r="A431" s="92"/>
      <c r="B431" s="22"/>
      <c r="C431" s="23"/>
      <c r="D431" s="23"/>
      <c r="E431" s="23"/>
      <c r="F431" s="23"/>
      <c r="G431" s="23"/>
      <c r="H431" s="23"/>
      <c r="I431" s="23"/>
      <c r="J431" s="23"/>
      <c r="K431" s="23"/>
      <c r="L431" s="23"/>
      <c r="M431" s="23"/>
      <c r="N431" s="23"/>
      <c r="O431" s="23"/>
      <c r="P431" s="23"/>
      <c r="Q431" s="23"/>
      <c r="R431" s="23"/>
      <c r="S431" s="23"/>
    </row>
    <row r="432" spans="1:19" ht="15.75" customHeight="1" x14ac:dyDescent="0.25">
      <c r="A432" s="92"/>
      <c r="B432" s="22"/>
      <c r="C432" s="23"/>
      <c r="D432" s="23"/>
      <c r="E432" s="23"/>
      <c r="F432" s="23"/>
      <c r="G432" s="23"/>
      <c r="H432" s="23"/>
      <c r="I432" s="23"/>
      <c r="J432" s="23"/>
      <c r="K432" s="23"/>
      <c r="L432" s="23"/>
      <c r="M432" s="23"/>
      <c r="N432" s="23"/>
      <c r="O432" s="23"/>
      <c r="P432" s="23"/>
      <c r="Q432" s="23"/>
      <c r="R432" s="23"/>
      <c r="S432" s="23"/>
    </row>
    <row r="433" spans="1:19" ht="15.75" customHeight="1" x14ac:dyDescent="0.25">
      <c r="A433" s="92"/>
      <c r="B433" s="22"/>
      <c r="C433" s="23"/>
      <c r="D433" s="23"/>
      <c r="E433" s="23"/>
      <c r="F433" s="23"/>
      <c r="G433" s="23"/>
      <c r="H433" s="23"/>
      <c r="I433" s="23"/>
      <c r="J433" s="23"/>
      <c r="K433" s="23"/>
      <c r="L433" s="23"/>
      <c r="M433" s="23"/>
      <c r="N433" s="23"/>
      <c r="O433" s="23"/>
      <c r="P433" s="23"/>
      <c r="Q433" s="23"/>
      <c r="R433" s="23"/>
      <c r="S433" s="23"/>
    </row>
    <row r="434" spans="1:19" ht="15.75" customHeight="1" x14ac:dyDescent="0.25">
      <c r="A434" s="92"/>
      <c r="B434" s="22"/>
      <c r="C434" s="23"/>
      <c r="D434" s="23"/>
      <c r="E434" s="23"/>
      <c r="F434" s="23"/>
      <c r="G434" s="23"/>
      <c r="H434" s="23"/>
      <c r="I434" s="23"/>
      <c r="J434" s="23"/>
      <c r="K434" s="23"/>
      <c r="L434" s="23"/>
      <c r="M434" s="23"/>
      <c r="N434" s="23"/>
      <c r="O434" s="23"/>
      <c r="P434" s="23"/>
      <c r="Q434" s="23"/>
      <c r="R434" s="23"/>
      <c r="S434" s="23"/>
    </row>
    <row r="435" spans="1:19" ht="15.75" customHeight="1" x14ac:dyDescent="0.25">
      <c r="A435" s="92"/>
      <c r="B435" s="22"/>
      <c r="C435" s="23"/>
      <c r="D435" s="23"/>
      <c r="E435" s="23"/>
      <c r="F435" s="23"/>
      <c r="G435" s="23"/>
      <c r="H435" s="23"/>
      <c r="I435" s="23"/>
      <c r="J435" s="23"/>
      <c r="K435" s="23"/>
      <c r="L435" s="23"/>
      <c r="M435" s="23"/>
      <c r="N435" s="23"/>
      <c r="O435" s="23"/>
      <c r="P435" s="23"/>
      <c r="Q435" s="23"/>
      <c r="R435" s="23"/>
      <c r="S435" s="23"/>
    </row>
    <row r="436" spans="1:19" ht="15.75" customHeight="1" x14ac:dyDescent="0.25">
      <c r="A436" s="92"/>
      <c r="B436" s="22"/>
      <c r="C436" s="23"/>
      <c r="D436" s="23"/>
      <c r="E436" s="23"/>
      <c r="F436" s="23"/>
      <c r="G436" s="23"/>
      <c r="H436" s="23"/>
      <c r="I436" s="23"/>
      <c r="J436" s="23"/>
      <c r="K436" s="23"/>
      <c r="L436" s="23"/>
      <c r="M436" s="23"/>
      <c r="N436" s="23"/>
      <c r="O436" s="23"/>
      <c r="P436" s="23"/>
      <c r="Q436" s="23"/>
      <c r="R436" s="23"/>
      <c r="S436" s="23"/>
    </row>
    <row r="437" spans="1:19" ht="15.75" customHeight="1" x14ac:dyDescent="0.25">
      <c r="A437" s="92"/>
      <c r="B437" s="22"/>
      <c r="C437" s="23"/>
      <c r="D437" s="23"/>
      <c r="E437" s="23"/>
      <c r="F437" s="23"/>
      <c r="G437" s="23"/>
      <c r="H437" s="23"/>
      <c r="I437" s="23"/>
      <c r="J437" s="23"/>
      <c r="K437" s="23"/>
      <c r="L437" s="23"/>
      <c r="M437" s="23"/>
      <c r="N437" s="23"/>
      <c r="O437" s="23"/>
      <c r="P437" s="23"/>
      <c r="Q437" s="23"/>
      <c r="R437" s="23"/>
      <c r="S437" s="23"/>
    </row>
    <row r="438" spans="1:19" ht="15.75" customHeight="1" x14ac:dyDescent="0.25">
      <c r="A438" s="92"/>
      <c r="B438" s="22"/>
      <c r="C438" s="23"/>
      <c r="D438" s="23"/>
      <c r="E438" s="23"/>
      <c r="F438" s="23"/>
      <c r="G438" s="23"/>
      <c r="H438" s="23"/>
      <c r="I438" s="23"/>
      <c r="J438" s="23"/>
      <c r="K438" s="23"/>
      <c r="L438" s="23"/>
      <c r="M438" s="23"/>
      <c r="N438" s="23"/>
      <c r="O438" s="23"/>
      <c r="P438" s="23"/>
      <c r="Q438" s="23"/>
      <c r="R438" s="23"/>
      <c r="S438" s="23"/>
    </row>
    <row r="439" spans="1:19" ht="15.75" customHeight="1" x14ac:dyDescent="0.25">
      <c r="A439" s="92"/>
      <c r="B439" s="22"/>
      <c r="C439" s="23"/>
      <c r="D439" s="23"/>
      <c r="E439" s="23"/>
      <c r="F439" s="23"/>
      <c r="G439" s="23"/>
      <c r="H439" s="23"/>
      <c r="I439" s="23"/>
      <c r="J439" s="23"/>
      <c r="K439" s="23"/>
      <c r="L439" s="23"/>
      <c r="M439" s="23"/>
      <c r="N439" s="23"/>
      <c r="O439" s="23"/>
      <c r="P439" s="23"/>
      <c r="Q439" s="23"/>
      <c r="R439" s="23"/>
      <c r="S439" s="23"/>
    </row>
    <row r="440" spans="1:19" ht="15.75" customHeight="1" x14ac:dyDescent="0.25">
      <c r="A440" s="92"/>
      <c r="B440" s="22"/>
      <c r="C440" s="23"/>
      <c r="D440" s="23"/>
      <c r="E440" s="23"/>
      <c r="F440" s="23"/>
      <c r="G440" s="23"/>
      <c r="H440" s="23"/>
      <c r="I440" s="23"/>
      <c r="J440" s="23"/>
      <c r="K440" s="23"/>
      <c r="L440" s="23"/>
      <c r="M440" s="23"/>
      <c r="N440" s="23"/>
      <c r="O440" s="23"/>
      <c r="P440" s="23"/>
      <c r="Q440" s="23"/>
      <c r="R440" s="23"/>
      <c r="S440" s="23"/>
    </row>
    <row r="441" spans="1:19" ht="15.75" customHeight="1" x14ac:dyDescent="0.25">
      <c r="A441" s="92"/>
      <c r="B441" s="22"/>
      <c r="C441" s="23"/>
      <c r="D441" s="23"/>
      <c r="E441" s="23"/>
      <c r="F441" s="23"/>
      <c r="G441" s="23"/>
      <c r="H441" s="23"/>
      <c r="I441" s="23"/>
      <c r="J441" s="23"/>
      <c r="K441" s="23"/>
      <c r="L441" s="23"/>
      <c r="M441" s="23"/>
      <c r="N441" s="23"/>
      <c r="O441" s="23"/>
      <c r="P441" s="23"/>
      <c r="Q441" s="23"/>
      <c r="R441" s="23"/>
      <c r="S441" s="23"/>
    </row>
    <row r="442" spans="1:19" ht="15.75" customHeight="1" x14ac:dyDescent="0.25">
      <c r="A442" s="92"/>
      <c r="B442" s="22"/>
      <c r="C442" s="23"/>
      <c r="D442" s="23"/>
      <c r="E442" s="23"/>
      <c r="F442" s="23"/>
      <c r="G442" s="23"/>
      <c r="H442" s="23"/>
      <c r="I442" s="23"/>
      <c r="J442" s="23"/>
      <c r="K442" s="23"/>
      <c r="L442" s="23"/>
      <c r="M442" s="23"/>
      <c r="N442" s="23"/>
      <c r="O442" s="23"/>
      <c r="P442" s="23"/>
      <c r="Q442" s="23"/>
      <c r="R442" s="23"/>
      <c r="S442" s="23"/>
    </row>
    <row r="443" spans="1:19" ht="15.75" customHeight="1" x14ac:dyDescent="0.25">
      <c r="A443" s="92"/>
      <c r="B443" s="22"/>
      <c r="C443" s="23"/>
      <c r="D443" s="23"/>
      <c r="E443" s="23"/>
      <c r="F443" s="23"/>
      <c r="G443" s="23"/>
      <c r="H443" s="23"/>
      <c r="I443" s="23"/>
      <c r="J443" s="23"/>
      <c r="K443" s="23"/>
      <c r="L443" s="23"/>
      <c r="M443" s="23"/>
      <c r="N443" s="23"/>
      <c r="O443" s="23"/>
      <c r="P443" s="23"/>
      <c r="Q443" s="23"/>
      <c r="R443" s="23"/>
      <c r="S443" s="23"/>
    </row>
    <row r="444" spans="1:19" ht="15.75" customHeight="1" x14ac:dyDescent="0.25">
      <c r="A444" s="92"/>
      <c r="B444" s="22"/>
      <c r="C444" s="23"/>
      <c r="D444" s="23"/>
      <c r="E444" s="23"/>
      <c r="F444" s="23"/>
      <c r="G444" s="23"/>
      <c r="H444" s="23"/>
      <c r="I444" s="23"/>
      <c r="J444" s="23"/>
      <c r="K444" s="23"/>
      <c r="L444" s="23"/>
      <c r="M444" s="23"/>
      <c r="N444" s="23"/>
      <c r="O444" s="23"/>
      <c r="P444" s="23"/>
      <c r="Q444" s="23"/>
      <c r="R444" s="23"/>
      <c r="S444" s="23"/>
    </row>
    <row r="445" spans="1:19" ht="15.75" customHeight="1" x14ac:dyDescent="0.25">
      <c r="A445" s="92"/>
      <c r="B445" s="22"/>
      <c r="C445" s="23"/>
      <c r="D445" s="23"/>
      <c r="E445" s="23"/>
      <c r="F445" s="23"/>
      <c r="G445" s="23"/>
      <c r="H445" s="23"/>
      <c r="I445" s="23"/>
      <c r="J445" s="23"/>
      <c r="K445" s="23"/>
      <c r="L445" s="23"/>
      <c r="M445" s="23"/>
      <c r="N445" s="23"/>
      <c r="O445" s="23"/>
      <c r="P445" s="23"/>
      <c r="Q445" s="23"/>
      <c r="R445" s="23"/>
      <c r="S445" s="23"/>
    </row>
    <row r="446" spans="1:19" ht="15.75" customHeight="1" x14ac:dyDescent="0.25">
      <c r="A446" s="92"/>
      <c r="B446" s="22"/>
      <c r="C446" s="23"/>
      <c r="D446" s="23"/>
      <c r="E446" s="23"/>
      <c r="F446" s="23"/>
      <c r="G446" s="23"/>
      <c r="H446" s="23"/>
      <c r="I446" s="23"/>
      <c r="J446" s="23"/>
      <c r="K446" s="23"/>
      <c r="L446" s="23"/>
      <c r="M446" s="23"/>
      <c r="N446" s="23"/>
      <c r="O446" s="23"/>
      <c r="P446" s="23"/>
      <c r="Q446" s="23"/>
      <c r="R446" s="23"/>
      <c r="S446" s="23"/>
    </row>
    <row r="447" spans="1:19" ht="15.75" customHeight="1" x14ac:dyDescent="0.25">
      <c r="A447" s="92"/>
      <c r="B447" s="22"/>
      <c r="C447" s="23"/>
      <c r="D447" s="23"/>
      <c r="E447" s="23"/>
      <c r="F447" s="23"/>
      <c r="G447" s="23"/>
      <c r="H447" s="23"/>
      <c r="I447" s="23"/>
      <c r="J447" s="23"/>
      <c r="K447" s="23"/>
      <c r="L447" s="23"/>
      <c r="M447" s="23"/>
      <c r="N447" s="23"/>
      <c r="O447" s="23"/>
      <c r="P447" s="23"/>
      <c r="Q447" s="23"/>
      <c r="R447" s="23"/>
      <c r="S447" s="23"/>
    </row>
    <row r="448" spans="1:19" ht="15.75" customHeight="1" x14ac:dyDescent="0.25">
      <c r="A448" s="92"/>
      <c r="B448" s="22"/>
      <c r="C448" s="23"/>
      <c r="D448" s="23"/>
      <c r="E448" s="23"/>
      <c r="F448" s="23"/>
      <c r="G448" s="23"/>
      <c r="H448" s="23"/>
      <c r="I448" s="23"/>
      <c r="J448" s="23"/>
      <c r="K448" s="23"/>
      <c r="L448" s="23"/>
      <c r="M448" s="23"/>
      <c r="N448" s="23"/>
      <c r="O448" s="23"/>
      <c r="P448" s="23"/>
      <c r="Q448" s="23"/>
      <c r="R448" s="23"/>
      <c r="S448" s="23"/>
    </row>
    <row r="449" spans="1:19" ht="15.75" customHeight="1" x14ac:dyDescent="0.25">
      <c r="A449" s="92"/>
      <c r="B449" s="22"/>
      <c r="C449" s="23"/>
      <c r="D449" s="23"/>
      <c r="E449" s="23"/>
      <c r="F449" s="23"/>
      <c r="G449" s="23"/>
      <c r="H449" s="23"/>
      <c r="I449" s="23"/>
      <c r="J449" s="23"/>
      <c r="K449" s="23"/>
      <c r="L449" s="23"/>
      <c r="M449" s="23"/>
      <c r="N449" s="23"/>
      <c r="O449" s="23"/>
      <c r="P449" s="23"/>
      <c r="Q449" s="23"/>
      <c r="R449" s="23"/>
      <c r="S449" s="23"/>
    </row>
    <row r="450" spans="1:19" ht="15.75" customHeight="1" x14ac:dyDescent="0.25">
      <c r="A450" s="92"/>
      <c r="B450" s="22"/>
      <c r="C450" s="23"/>
      <c r="D450" s="23"/>
      <c r="E450" s="23"/>
      <c r="F450" s="23"/>
      <c r="G450" s="23"/>
      <c r="H450" s="23"/>
      <c r="I450" s="23"/>
      <c r="J450" s="23"/>
      <c r="K450" s="23"/>
      <c r="L450" s="23"/>
      <c r="M450" s="23"/>
      <c r="N450" s="23"/>
      <c r="O450" s="23"/>
      <c r="P450" s="23"/>
      <c r="Q450" s="23"/>
      <c r="R450" s="23"/>
      <c r="S450" s="23"/>
    </row>
    <row r="451" spans="1:19" ht="15.75" customHeight="1" x14ac:dyDescent="0.25">
      <c r="A451" s="92"/>
      <c r="B451" s="22"/>
      <c r="C451" s="23"/>
      <c r="D451" s="23"/>
      <c r="E451" s="23"/>
      <c r="F451" s="23"/>
      <c r="G451" s="23"/>
      <c r="H451" s="23"/>
      <c r="I451" s="23"/>
      <c r="J451" s="23"/>
      <c r="K451" s="23"/>
      <c r="L451" s="23"/>
      <c r="M451" s="23"/>
      <c r="N451" s="23"/>
      <c r="O451" s="23"/>
      <c r="P451" s="23"/>
      <c r="Q451" s="23"/>
      <c r="R451" s="23"/>
      <c r="S451" s="23"/>
    </row>
    <row r="452" spans="1:19" ht="15.75" customHeight="1" x14ac:dyDescent="0.25">
      <c r="A452" s="92"/>
      <c r="B452" s="22"/>
      <c r="C452" s="23"/>
      <c r="D452" s="23"/>
      <c r="E452" s="23"/>
      <c r="F452" s="23"/>
      <c r="G452" s="23"/>
      <c r="H452" s="23"/>
      <c r="I452" s="23"/>
      <c r="J452" s="23"/>
      <c r="K452" s="23"/>
      <c r="L452" s="23"/>
      <c r="M452" s="23"/>
      <c r="N452" s="23"/>
      <c r="O452" s="23"/>
      <c r="P452" s="23"/>
      <c r="Q452" s="23"/>
      <c r="R452" s="23"/>
      <c r="S452" s="23"/>
    </row>
    <row r="453" spans="1:19" ht="15.75" customHeight="1" x14ac:dyDescent="0.25">
      <c r="A453" s="92"/>
      <c r="B453" s="22"/>
      <c r="C453" s="23"/>
      <c r="D453" s="23"/>
      <c r="E453" s="23"/>
      <c r="F453" s="23"/>
      <c r="G453" s="23"/>
      <c r="H453" s="23"/>
      <c r="I453" s="23"/>
      <c r="J453" s="23"/>
      <c r="K453" s="23"/>
      <c r="L453" s="23"/>
      <c r="M453" s="23"/>
      <c r="N453" s="23"/>
      <c r="O453" s="23"/>
      <c r="P453" s="23"/>
      <c r="Q453" s="23"/>
      <c r="R453" s="23"/>
      <c r="S453" s="23"/>
    </row>
    <row r="454" spans="1:19" ht="15.75" customHeight="1" x14ac:dyDescent="0.25">
      <c r="A454" s="92"/>
      <c r="B454" s="22"/>
      <c r="C454" s="23"/>
      <c r="D454" s="23"/>
      <c r="E454" s="23"/>
      <c r="F454" s="23"/>
      <c r="G454" s="23"/>
      <c r="H454" s="23"/>
      <c r="I454" s="23"/>
      <c r="J454" s="23"/>
      <c r="K454" s="23"/>
      <c r="L454" s="23"/>
      <c r="M454" s="23"/>
      <c r="N454" s="23"/>
      <c r="O454" s="23"/>
      <c r="P454" s="23"/>
      <c r="Q454" s="23"/>
      <c r="R454" s="23"/>
      <c r="S454" s="23"/>
    </row>
    <row r="455" spans="1:19" ht="15.75" customHeight="1" x14ac:dyDescent="0.25">
      <c r="A455" s="92"/>
      <c r="B455" s="22"/>
      <c r="C455" s="23"/>
      <c r="D455" s="23"/>
      <c r="E455" s="23"/>
      <c r="F455" s="23"/>
      <c r="G455" s="23"/>
      <c r="H455" s="23"/>
      <c r="I455" s="23"/>
      <c r="J455" s="23"/>
      <c r="K455" s="23"/>
      <c r="L455" s="23"/>
      <c r="M455" s="23"/>
      <c r="N455" s="23"/>
      <c r="O455" s="23"/>
      <c r="P455" s="23"/>
      <c r="Q455" s="23"/>
      <c r="R455" s="23"/>
      <c r="S455" s="23"/>
    </row>
    <row r="456" spans="1:19" ht="15.75" customHeight="1" x14ac:dyDescent="0.25">
      <c r="A456" s="92"/>
      <c r="B456" s="22"/>
      <c r="C456" s="23"/>
      <c r="D456" s="23"/>
      <c r="E456" s="23"/>
      <c r="F456" s="23"/>
      <c r="G456" s="23"/>
      <c r="H456" s="23"/>
      <c r="I456" s="23"/>
      <c r="J456" s="23"/>
      <c r="K456" s="23"/>
      <c r="L456" s="23"/>
      <c r="M456" s="23"/>
      <c r="N456" s="23"/>
      <c r="O456" s="23"/>
      <c r="P456" s="23"/>
      <c r="Q456" s="23"/>
      <c r="R456" s="23"/>
      <c r="S456" s="23"/>
    </row>
    <row r="457" spans="1:19" ht="15.75" customHeight="1" x14ac:dyDescent="0.25">
      <c r="A457" s="92"/>
      <c r="B457" s="22"/>
      <c r="C457" s="23"/>
      <c r="D457" s="23"/>
      <c r="E457" s="23"/>
      <c r="F457" s="23"/>
      <c r="G457" s="23"/>
      <c r="H457" s="23"/>
      <c r="I457" s="23"/>
      <c r="J457" s="23"/>
      <c r="K457" s="23"/>
      <c r="L457" s="23"/>
      <c r="M457" s="23"/>
      <c r="N457" s="23"/>
      <c r="O457" s="23"/>
      <c r="P457" s="23"/>
      <c r="Q457" s="23"/>
      <c r="R457" s="23"/>
      <c r="S457" s="23"/>
    </row>
    <row r="458" spans="1:19" ht="15.75" customHeight="1" x14ac:dyDescent="0.25">
      <c r="A458" s="92"/>
      <c r="B458" s="22"/>
      <c r="C458" s="23"/>
      <c r="D458" s="23"/>
      <c r="E458" s="23"/>
      <c r="F458" s="23"/>
      <c r="G458" s="23"/>
      <c r="H458" s="23"/>
      <c r="I458" s="23"/>
      <c r="J458" s="23"/>
      <c r="K458" s="23"/>
      <c r="L458" s="23"/>
      <c r="M458" s="23"/>
      <c r="N458" s="23"/>
      <c r="O458" s="23"/>
      <c r="P458" s="23"/>
      <c r="Q458" s="23"/>
      <c r="R458" s="23"/>
      <c r="S458" s="23"/>
    </row>
    <row r="459" spans="1:19" ht="15.75" customHeight="1" x14ac:dyDescent="0.25">
      <c r="A459" s="92"/>
      <c r="B459" s="22"/>
      <c r="C459" s="23"/>
      <c r="D459" s="23"/>
      <c r="E459" s="23"/>
      <c r="F459" s="23"/>
      <c r="G459" s="23"/>
      <c r="H459" s="23"/>
      <c r="I459" s="23"/>
      <c r="J459" s="23"/>
      <c r="K459" s="23"/>
      <c r="L459" s="23"/>
      <c r="M459" s="23"/>
      <c r="N459" s="23"/>
      <c r="O459" s="23"/>
      <c r="P459" s="23"/>
      <c r="Q459" s="23"/>
      <c r="R459" s="23"/>
      <c r="S459" s="23"/>
    </row>
    <row r="460" spans="1:19" ht="15.75" customHeight="1" x14ac:dyDescent="0.25">
      <c r="A460" s="92"/>
      <c r="B460" s="22"/>
      <c r="C460" s="23"/>
      <c r="D460" s="23"/>
      <c r="E460" s="23"/>
      <c r="F460" s="23"/>
      <c r="G460" s="23"/>
      <c r="H460" s="23"/>
      <c r="I460" s="23"/>
      <c r="J460" s="23"/>
      <c r="K460" s="23"/>
      <c r="L460" s="23"/>
      <c r="M460" s="23"/>
      <c r="N460" s="23"/>
      <c r="O460" s="23"/>
      <c r="P460" s="23"/>
      <c r="Q460" s="23"/>
      <c r="R460" s="23"/>
      <c r="S460" s="23"/>
    </row>
    <row r="461" spans="1:19" ht="15.75" customHeight="1" x14ac:dyDescent="0.25">
      <c r="A461" s="92"/>
      <c r="B461" s="22"/>
      <c r="C461" s="23"/>
      <c r="D461" s="23"/>
      <c r="E461" s="23"/>
      <c r="F461" s="23"/>
      <c r="G461" s="23"/>
      <c r="H461" s="23"/>
      <c r="I461" s="23"/>
      <c r="J461" s="23"/>
      <c r="K461" s="23"/>
      <c r="L461" s="23"/>
      <c r="M461" s="23"/>
      <c r="N461" s="23"/>
      <c r="O461" s="23"/>
      <c r="P461" s="23"/>
      <c r="Q461" s="23"/>
      <c r="R461" s="23"/>
      <c r="S461" s="23"/>
    </row>
    <row r="462" spans="1:19" ht="15.75" customHeight="1" x14ac:dyDescent="0.25">
      <c r="A462" s="92"/>
      <c r="B462" s="22"/>
      <c r="C462" s="23"/>
      <c r="D462" s="23"/>
      <c r="E462" s="23"/>
      <c r="F462" s="23"/>
      <c r="G462" s="23"/>
      <c r="H462" s="23"/>
      <c r="I462" s="23"/>
      <c r="J462" s="23"/>
      <c r="K462" s="23"/>
      <c r="L462" s="23"/>
      <c r="M462" s="23"/>
      <c r="N462" s="23"/>
      <c r="O462" s="23"/>
      <c r="P462" s="23"/>
      <c r="Q462" s="23"/>
      <c r="R462" s="23"/>
      <c r="S462" s="23"/>
    </row>
    <row r="463" spans="1:19" ht="15.75" customHeight="1" x14ac:dyDescent="0.25">
      <c r="A463" s="92"/>
      <c r="B463" s="22"/>
      <c r="C463" s="23"/>
      <c r="D463" s="23"/>
      <c r="E463" s="23"/>
      <c r="F463" s="23"/>
      <c r="G463" s="23"/>
      <c r="H463" s="23"/>
      <c r="I463" s="23"/>
      <c r="J463" s="23"/>
      <c r="K463" s="23"/>
      <c r="L463" s="23"/>
      <c r="M463" s="23"/>
      <c r="N463" s="23"/>
      <c r="O463" s="23"/>
      <c r="P463" s="23"/>
      <c r="Q463" s="23"/>
      <c r="R463" s="23"/>
      <c r="S463" s="23"/>
    </row>
    <row r="464" spans="1:19" ht="15.75" customHeight="1" x14ac:dyDescent="0.25">
      <c r="A464" s="92"/>
      <c r="B464" s="22"/>
      <c r="C464" s="23"/>
      <c r="D464" s="23"/>
      <c r="E464" s="23"/>
      <c r="F464" s="23"/>
      <c r="G464" s="23"/>
      <c r="H464" s="23"/>
      <c r="I464" s="23"/>
      <c r="J464" s="23"/>
      <c r="K464" s="23"/>
      <c r="L464" s="23"/>
      <c r="M464" s="23"/>
      <c r="N464" s="23"/>
      <c r="O464" s="23"/>
      <c r="P464" s="23"/>
      <c r="Q464" s="23"/>
      <c r="R464" s="23"/>
      <c r="S464" s="23"/>
    </row>
    <row r="465" spans="1:19" ht="15.75" customHeight="1" x14ac:dyDescent="0.25">
      <c r="A465" s="92"/>
      <c r="B465" s="22"/>
      <c r="C465" s="23"/>
      <c r="D465" s="23"/>
      <c r="E465" s="23"/>
      <c r="F465" s="23"/>
      <c r="G465" s="23"/>
      <c r="H465" s="23"/>
      <c r="I465" s="23"/>
      <c r="J465" s="23"/>
      <c r="K465" s="23"/>
      <c r="L465" s="23"/>
      <c r="M465" s="23"/>
      <c r="N465" s="23"/>
      <c r="O465" s="23"/>
      <c r="P465" s="23"/>
      <c r="Q465" s="23"/>
      <c r="R465" s="23"/>
      <c r="S465" s="23"/>
    </row>
    <row r="466" spans="1:19" ht="15.75" customHeight="1" x14ac:dyDescent="0.25">
      <c r="A466" s="92"/>
      <c r="B466" s="22"/>
      <c r="C466" s="23"/>
      <c r="D466" s="23"/>
      <c r="E466" s="23"/>
      <c r="F466" s="23"/>
      <c r="G466" s="23"/>
      <c r="H466" s="23"/>
      <c r="I466" s="23"/>
      <c r="J466" s="23"/>
      <c r="K466" s="23"/>
      <c r="L466" s="23"/>
      <c r="M466" s="23"/>
      <c r="N466" s="23"/>
      <c r="O466" s="23"/>
      <c r="P466" s="23"/>
      <c r="Q466" s="23"/>
      <c r="R466" s="23"/>
      <c r="S466" s="23"/>
    </row>
    <row r="467" spans="1:19" ht="15.75" customHeight="1" x14ac:dyDescent="0.25">
      <c r="A467" s="92"/>
      <c r="B467" s="22"/>
      <c r="C467" s="23"/>
      <c r="D467" s="23"/>
      <c r="E467" s="23"/>
      <c r="F467" s="23"/>
      <c r="G467" s="23"/>
      <c r="H467" s="23"/>
      <c r="I467" s="23"/>
      <c r="J467" s="23"/>
      <c r="K467" s="23"/>
      <c r="L467" s="23"/>
      <c r="M467" s="23"/>
      <c r="N467" s="23"/>
      <c r="O467" s="23"/>
      <c r="P467" s="23"/>
      <c r="Q467" s="23"/>
      <c r="R467" s="23"/>
      <c r="S467" s="23"/>
    </row>
    <row r="468" spans="1:19" ht="15.75" customHeight="1" x14ac:dyDescent="0.25">
      <c r="A468" s="92"/>
      <c r="B468" s="22"/>
      <c r="C468" s="23"/>
      <c r="D468" s="23"/>
      <c r="E468" s="23"/>
      <c r="F468" s="23"/>
      <c r="G468" s="23"/>
      <c r="H468" s="23"/>
      <c r="I468" s="23"/>
      <c r="J468" s="23"/>
      <c r="K468" s="23"/>
      <c r="L468" s="23"/>
      <c r="M468" s="23"/>
      <c r="N468" s="23"/>
      <c r="O468" s="23"/>
      <c r="P468" s="23"/>
      <c r="Q468" s="23"/>
      <c r="R468" s="23"/>
      <c r="S468" s="23"/>
    </row>
    <row r="469" spans="1:19" ht="15.75" customHeight="1" x14ac:dyDescent="0.25">
      <c r="A469" s="92"/>
      <c r="B469" s="22"/>
      <c r="C469" s="23"/>
      <c r="D469" s="23"/>
      <c r="E469" s="23"/>
      <c r="F469" s="23"/>
      <c r="G469" s="23"/>
      <c r="H469" s="23"/>
      <c r="I469" s="23"/>
      <c r="J469" s="23"/>
      <c r="K469" s="23"/>
      <c r="L469" s="23"/>
      <c r="M469" s="23"/>
      <c r="N469" s="23"/>
      <c r="O469" s="23"/>
      <c r="P469" s="23"/>
      <c r="Q469" s="23"/>
      <c r="R469" s="23"/>
      <c r="S469" s="23"/>
    </row>
    <row r="470" spans="1:19" ht="15.75" customHeight="1" x14ac:dyDescent="0.25">
      <c r="A470" s="92"/>
      <c r="B470" s="22"/>
      <c r="C470" s="23"/>
      <c r="D470" s="23"/>
      <c r="E470" s="23"/>
      <c r="F470" s="23"/>
      <c r="G470" s="23"/>
      <c r="H470" s="23"/>
      <c r="I470" s="23"/>
      <c r="J470" s="23"/>
      <c r="K470" s="23"/>
      <c r="L470" s="23"/>
      <c r="M470" s="23"/>
      <c r="N470" s="23"/>
      <c r="O470" s="23"/>
      <c r="P470" s="23"/>
      <c r="Q470" s="23"/>
      <c r="R470" s="23"/>
      <c r="S470" s="23"/>
    </row>
    <row r="471" spans="1:19" ht="15.75" customHeight="1" x14ac:dyDescent="0.25">
      <c r="A471" s="92"/>
      <c r="B471" s="22"/>
      <c r="C471" s="23"/>
      <c r="D471" s="23"/>
      <c r="E471" s="23"/>
      <c r="F471" s="23"/>
      <c r="G471" s="23"/>
      <c r="H471" s="23"/>
      <c r="I471" s="23"/>
      <c r="J471" s="23"/>
      <c r="K471" s="23"/>
      <c r="L471" s="23"/>
      <c r="M471" s="23"/>
      <c r="N471" s="23"/>
      <c r="O471" s="23"/>
      <c r="P471" s="23"/>
      <c r="Q471" s="23"/>
      <c r="R471" s="23"/>
      <c r="S471" s="23"/>
    </row>
    <row r="472" spans="1:19" ht="15.75" customHeight="1" x14ac:dyDescent="0.25">
      <c r="A472" s="92"/>
      <c r="B472" s="22"/>
      <c r="C472" s="23"/>
      <c r="D472" s="23"/>
      <c r="E472" s="23"/>
      <c r="F472" s="23"/>
      <c r="G472" s="23"/>
      <c r="H472" s="23"/>
      <c r="I472" s="23"/>
      <c r="J472" s="23"/>
      <c r="K472" s="23"/>
      <c r="L472" s="23"/>
      <c r="M472" s="23"/>
      <c r="N472" s="23"/>
      <c r="O472" s="23"/>
      <c r="P472" s="23"/>
      <c r="Q472" s="23"/>
      <c r="R472" s="23"/>
      <c r="S472" s="23"/>
    </row>
    <row r="473" spans="1:19" ht="15.75" customHeight="1" x14ac:dyDescent="0.25">
      <c r="A473" s="92"/>
      <c r="B473" s="22"/>
      <c r="C473" s="23"/>
      <c r="D473" s="23"/>
      <c r="E473" s="23"/>
      <c r="F473" s="23"/>
      <c r="G473" s="23"/>
      <c r="H473" s="23"/>
      <c r="I473" s="23"/>
      <c r="J473" s="23"/>
      <c r="K473" s="23"/>
      <c r="L473" s="23"/>
      <c r="M473" s="23"/>
      <c r="N473" s="23"/>
      <c r="O473" s="23"/>
      <c r="P473" s="23"/>
      <c r="Q473" s="23"/>
      <c r="R473" s="23"/>
      <c r="S473" s="23"/>
    </row>
    <row r="474" spans="1:19" ht="15.75" customHeight="1" x14ac:dyDescent="0.25">
      <c r="A474" s="92"/>
      <c r="B474" s="22"/>
      <c r="C474" s="23"/>
      <c r="D474" s="23"/>
      <c r="E474" s="23"/>
      <c r="F474" s="23"/>
      <c r="G474" s="23"/>
      <c r="H474" s="23"/>
      <c r="I474" s="23"/>
      <c r="J474" s="23"/>
      <c r="K474" s="23"/>
      <c r="L474" s="23"/>
      <c r="M474" s="23"/>
      <c r="N474" s="23"/>
      <c r="O474" s="23"/>
      <c r="P474" s="23"/>
      <c r="Q474" s="23"/>
      <c r="R474" s="23"/>
      <c r="S474" s="23"/>
    </row>
    <row r="475" spans="1:19" ht="15.75" customHeight="1" x14ac:dyDescent="0.25">
      <c r="A475" s="92"/>
      <c r="B475" s="22"/>
      <c r="C475" s="23"/>
      <c r="D475" s="23"/>
      <c r="E475" s="23"/>
      <c r="F475" s="23"/>
      <c r="G475" s="23"/>
      <c r="H475" s="23"/>
      <c r="I475" s="23"/>
      <c r="J475" s="23"/>
      <c r="K475" s="23"/>
      <c r="L475" s="23"/>
      <c r="M475" s="23"/>
      <c r="N475" s="23"/>
      <c r="O475" s="23"/>
      <c r="P475" s="23"/>
      <c r="Q475" s="23"/>
      <c r="R475" s="23"/>
      <c r="S475" s="23"/>
    </row>
    <row r="476" spans="1:19" ht="15.75" customHeight="1" x14ac:dyDescent="0.25">
      <c r="A476" s="92"/>
      <c r="B476" s="22"/>
      <c r="C476" s="23"/>
      <c r="D476" s="23"/>
      <c r="E476" s="23"/>
      <c r="F476" s="23"/>
      <c r="G476" s="23"/>
      <c r="H476" s="23"/>
      <c r="I476" s="23"/>
      <c r="J476" s="23"/>
      <c r="K476" s="23"/>
      <c r="L476" s="23"/>
      <c r="M476" s="23"/>
      <c r="N476" s="23"/>
      <c r="O476" s="23"/>
      <c r="P476" s="23"/>
      <c r="Q476" s="23"/>
      <c r="R476" s="23"/>
      <c r="S476" s="23"/>
    </row>
    <row r="477" spans="1:19" ht="15.75" customHeight="1" x14ac:dyDescent="0.25">
      <c r="A477" s="92"/>
      <c r="B477" s="22"/>
      <c r="C477" s="23"/>
      <c r="D477" s="23"/>
      <c r="E477" s="23"/>
      <c r="F477" s="23"/>
      <c r="G477" s="23"/>
      <c r="H477" s="23"/>
      <c r="I477" s="23"/>
      <c r="J477" s="23"/>
      <c r="K477" s="23"/>
      <c r="L477" s="23"/>
      <c r="M477" s="23"/>
      <c r="N477" s="23"/>
      <c r="O477" s="23"/>
      <c r="P477" s="23"/>
      <c r="Q477" s="23"/>
      <c r="R477" s="23"/>
      <c r="S477" s="23"/>
    </row>
    <row r="478" spans="1:19" ht="15.75" customHeight="1" x14ac:dyDescent="0.25">
      <c r="A478" s="92"/>
      <c r="B478" s="22"/>
      <c r="C478" s="23"/>
      <c r="D478" s="23"/>
      <c r="E478" s="23"/>
      <c r="F478" s="23"/>
      <c r="G478" s="23"/>
      <c r="H478" s="23"/>
      <c r="I478" s="23"/>
      <c r="J478" s="23"/>
      <c r="K478" s="23"/>
      <c r="L478" s="23"/>
      <c r="M478" s="23"/>
      <c r="N478" s="23"/>
      <c r="O478" s="23"/>
      <c r="P478" s="23"/>
      <c r="Q478" s="23"/>
      <c r="R478" s="23"/>
      <c r="S478" s="23"/>
    </row>
    <row r="479" spans="1:19" ht="15.75" customHeight="1" x14ac:dyDescent="0.25">
      <c r="A479" s="92"/>
      <c r="B479" s="22"/>
      <c r="C479" s="23"/>
      <c r="D479" s="23"/>
      <c r="E479" s="23"/>
      <c r="F479" s="23"/>
      <c r="G479" s="23"/>
      <c r="H479" s="23"/>
      <c r="I479" s="23"/>
      <c r="J479" s="23"/>
      <c r="K479" s="23"/>
      <c r="L479" s="23"/>
      <c r="M479" s="23"/>
      <c r="N479" s="23"/>
      <c r="O479" s="23"/>
      <c r="P479" s="23"/>
      <c r="Q479" s="23"/>
      <c r="R479" s="23"/>
      <c r="S479" s="23"/>
    </row>
    <row r="480" spans="1:19" ht="15.75" customHeight="1" x14ac:dyDescent="0.25">
      <c r="A480" s="92"/>
      <c r="B480" s="22"/>
      <c r="C480" s="23"/>
      <c r="D480" s="23"/>
      <c r="E480" s="23"/>
      <c r="F480" s="23"/>
      <c r="G480" s="23"/>
      <c r="H480" s="23"/>
      <c r="I480" s="23"/>
      <c r="J480" s="23"/>
      <c r="K480" s="23"/>
      <c r="L480" s="23"/>
      <c r="M480" s="23"/>
      <c r="N480" s="23"/>
      <c r="O480" s="23"/>
      <c r="P480" s="23"/>
      <c r="Q480" s="23"/>
      <c r="R480" s="23"/>
      <c r="S480" s="23"/>
    </row>
    <row r="481" spans="1:19" ht="15.75" customHeight="1" x14ac:dyDescent="0.25">
      <c r="A481" s="92"/>
      <c r="B481" s="22"/>
      <c r="C481" s="23"/>
      <c r="D481" s="23"/>
      <c r="E481" s="23"/>
      <c r="F481" s="23"/>
      <c r="G481" s="23"/>
      <c r="H481" s="23"/>
      <c r="I481" s="23"/>
      <c r="J481" s="23"/>
      <c r="K481" s="23"/>
      <c r="L481" s="23"/>
      <c r="M481" s="23"/>
      <c r="N481" s="23"/>
      <c r="O481" s="23"/>
      <c r="P481" s="23"/>
      <c r="Q481" s="23"/>
      <c r="R481" s="23"/>
      <c r="S481" s="23"/>
    </row>
    <row r="482" spans="1:19" ht="15.75" customHeight="1" x14ac:dyDescent="0.25">
      <c r="A482" s="92"/>
      <c r="B482" s="22"/>
      <c r="C482" s="23"/>
      <c r="D482" s="23"/>
      <c r="E482" s="23"/>
      <c r="F482" s="23"/>
      <c r="G482" s="23"/>
      <c r="H482" s="23"/>
      <c r="I482" s="23"/>
      <c r="J482" s="23"/>
      <c r="K482" s="23"/>
      <c r="L482" s="23"/>
      <c r="M482" s="23"/>
      <c r="N482" s="23"/>
      <c r="O482" s="23"/>
      <c r="P482" s="23"/>
      <c r="Q482" s="23"/>
      <c r="R482" s="23"/>
      <c r="S482" s="23"/>
    </row>
    <row r="483" spans="1:19" ht="15.75" customHeight="1" x14ac:dyDescent="0.25">
      <c r="A483" s="92"/>
      <c r="B483" s="22"/>
      <c r="C483" s="23"/>
      <c r="D483" s="23"/>
      <c r="E483" s="23"/>
      <c r="F483" s="23"/>
      <c r="G483" s="23"/>
      <c r="H483" s="23"/>
      <c r="I483" s="23"/>
      <c r="J483" s="23"/>
      <c r="K483" s="23"/>
      <c r="L483" s="23"/>
      <c r="M483" s="23"/>
      <c r="N483" s="23"/>
      <c r="O483" s="23"/>
      <c r="P483" s="23"/>
      <c r="Q483" s="23"/>
      <c r="R483" s="23"/>
      <c r="S483" s="23"/>
    </row>
    <row r="484" spans="1:19" ht="15.75" customHeight="1" x14ac:dyDescent="0.25">
      <c r="A484" s="92"/>
      <c r="B484" s="22"/>
      <c r="C484" s="23"/>
      <c r="D484" s="23"/>
      <c r="E484" s="23"/>
      <c r="F484" s="23"/>
      <c r="G484" s="23"/>
      <c r="H484" s="23"/>
      <c r="I484" s="23"/>
      <c r="J484" s="23"/>
      <c r="K484" s="23"/>
      <c r="L484" s="23"/>
      <c r="M484" s="23"/>
      <c r="N484" s="23"/>
      <c r="O484" s="23"/>
      <c r="P484" s="23"/>
      <c r="Q484" s="23"/>
      <c r="R484" s="23"/>
      <c r="S484" s="23"/>
    </row>
    <row r="485" spans="1:19" ht="15.75" customHeight="1" x14ac:dyDescent="0.25">
      <c r="A485" s="92"/>
      <c r="B485" s="22"/>
      <c r="C485" s="23"/>
      <c r="D485" s="23"/>
      <c r="E485" s="23"/>
      <c r="F485" s="23"/>
      <c r="G485" s="23"/>
      <c r="H485" s="23"/>
      <c r="I485" s="23"/>
      <c r="J485" s="23"/>
      <c r="K485" s="23"/>
      <c r="L485" s="23"/>
      <c r="M485" s="23"/>
      <c r="N485" s="23"/>
      <c r="O485" s="23"/>
      <c r="P485" s="23"/>
      <c r="Q485" s="23"/>
      <c r="R485" s="23"/>
      <c r="S485" s="23"/>
    </row>
    <row r="486" spans="1:19" ht="15.75" customHeight="1" x14ac:dyDescent="0.25">
      <c r="A486" s="92"/>
      <c r="B486" s="22"/>
      <c r="C486" s="23"/>
      <c r="D486" s="23"/>
      <c r="E486" s="23"/>
      <c r="F486" s="23"/>
      <c r="G486" s="23"/>
      <c r="H486" s="23"/>
      <c r="I486" s="23"/>
      <c r="J486" s="23"/>
      <c r="K486" s="23"/>
      <c r="L486" s="23"/>
      <c r="M486" s="23"/>
      <c r="N486" s="23"/>
      <c r="O486" s="23"/>
      <c r="P486" s="23"/>
      <c r="Q486" s="23"/>
      <c r="R486" s="23"/>
      <c r="S486" s="23"/>
    </row>
    <row r="487" spans="1:19" ht="15.75" customHeight="1" x14ac:dyDescent="0.25">
      <c r="A487" s="92"/>
      <c r="B487" s="22"/>
      <c r="C487" s="23"/>
      <c r="D487" s="23"/>
      <c r="E487" s="23"/>
      <c r="F487" s="23"/>
      <c r="G487" s="23"/>
      <c r="H487" s="23"/>
      <c r="I487" s="23"/>
      <c r="J487" s="23"/>
      <c r="K487" s="23"/>
      <c r="L487" s="23"/>
      <c r="M487" s="23"/>
      <c r="N487" s="23"/>
      <c r="O487" s="23"/>
      <c r="P487" s="23"/>
      <c r="Q487" s="23"/>
      <c r="R487" s="23"/>
      <c r="S487" s="23"/>
    </row>
    <row r="488" spans="1:19" ht="15.75" customHeight="1" x14ac:dyDescent="0.25">
      <c r="A488" s="92"/>
      <c r="B488" s="22"/>
      <c r="C488" s="23"/>
      <c r="D488" s="23"/>
      <c r="E488" s="23"/>
      <c r="F488" s="23"/>
      <c r="G488" s="23"/>
      <c r="H488" s="23"/>
      <c r="I488" s="23"/>
      <c r="J488" s="23"/>
      <c r="K488" s="23"/>
      <c r="L488" s="23"/>
      <c r="M488" s="23"/>
      <c r="N488" s="23"/>
      <c r="O488" s="23"/>
      <c r="P488" s="23"/>
      <c r="Q488" s="23"/>
      <c r="R488" s="23"/>
      <c r="S488" s="23"/>
    </row>
    <row r="489" spans="1:19" ht="15.75" customHeight="1" x14ac:dyDescent="0.25">
      <c r="A489" s="92"/>
      <c r="B489" s="22"/>
      <c r="C489" s="23"/>
      <c r="D489" s="23"/>
      <c r="E489" s="23"/>
      <c r="F489" s="23"/>
      <c r="G489" s="23"/>
      <c r="H489" s="23"/>
      <c r="I489" s="23"/>
      <c r="J489" s="23"/>
      <c r="K489" s="23"/>
      <c r="L489" s="23"/>
      <c r="M489" s="23"/>
      <c r="N489" s="23"/>
      <c r="O489" s="23"/>
      <c r="P489" s="23"/>
      <c r="Q489" s="23"/>
      <c r="R489" s="23"/>
      <c r="S489" s="23"/>
    </row>
    <row r="490" spans="1:19" ht="15.75" customHeight="1" x14ac:dyDescent="0.25">
      <c r="A490" s="92"/>
      <c r="B490" s="22"/>
      <c r="C490" s="23"/>
      <c r="D490" s="23"/>
      <c r="E490" s="23"/>
      <c r="F490" s="23"/>
      <c r="G490" s="23"/>
      <c r="H490" s="23"/>
      <c r="I490" s="23"/>
      <c r="J490" s="23"/>
      <c r="K490" s="23"/>
      <c r="L490" s="23"/>
      <c r="M490" s="23"/>
      <c r="N490" s="23"/>
      <c r="O490" s="23"/>
      <c r="P490" s="23"/>
      <c r="Q490" s="23"/>
      <c r="R490" s="23"/>
      <c r="S490" s="23"/>
    </row>
    <row r="491" spans="1:19" ht="15.75" customHeight="1" x14ac:dyDescent="0.25">
      <c r="A491" s="92"/>
      <c r="B491" s="22"/>
      <c r="C491" s="23"/>
      <c r="D491" s="23"/>
      <c r="E491" s="23"/>
      <c r="F491" s="23"/>
      <c r="G491" s="23"/>
      <c r="H491" s="23"/>
      <c r="I491" s="23"/>
      <c r="J491" s="23"/>
      <c r="K491" s="23"/>
      <c r="L491" s="23"/>
      <c r="M491" s="23"/>
      <c r="N491" s="23"/>
      <c r="O491" s="23"/>
      <c r="P491" s="23"/>
      <c r="Q491" s="23"/>
      <c r="R491" s="23"/>
      <c r="S491" s="23"/>
    </row>
    <row r="492" spans="1:19" ht="15.75" customHeight="1" x14ac:dyDescent="0.25">
      <c r="A492" s="92"/>
      <c r="B492" s="22"/>
      <c r="C492" s="23"/>
      <c r="D492" s="23"/>
      <c r="E492" s="23"/>
      <c r="F492" s="23"/>
      <c r="G492" s="23"/>
      <c r="H492" s="23"/>
      <c r="I492" s="23"/>
      <c r="J492" s="23"/>
      <c r="K492" s="23"/>
      <c r="L492" s="23"/>
      <c r="M492" s="23"/>
      <c r="N492" s="23"/>
      <c r="O492" s="23"/>
      <c r="P492" s="23"/>
      <c r="Q492" s="23"/>
      <c r="R492" s="23"/>
      <c r="S492" s="23"/>
    </row>
    <row r="493" spans="1:19" ht="15.75" customHeight="1" x14ac:dyDescent="0.25">
      <c r="A493" s="92"/>
      <c r="B493" s="22"/>
      <c r="C493" s="23"/>
      <c r="D493" s="23"/>
      <c r="E493" s="23"/>
      <c r="F493" s="23"/>
      <c r="G493" s="23"/>
      <c r="H493" s="23"/>
      <c r="I493" s="23"/>
      <c r="J493" s="23"/>
      <c r="K493" s="23"/>
      <c r="L493" s="23"/>
      <c r="M493" s="23"/>
      <c r="N493" s="23"/>
      <c r="O493" s="23"/>
      <c r="P493" s="23"/>
      <c r="Q493" s="23"/>
      <c r="R493" s="23"/>
      <c r="S493" s="23"/>
    </row>
    <row r="494" spans="1:19" ht="15.75" customHeight="1" x14ac:dyDescent="0.25">
      <c r="A494" s="92"/>
      <c r="B494" s="22"/>
      <c r="C494" s="23"/>
      <c r="D494" s="23"/>
      <c r="E494" s="23"/>
      <c r="F494" s="23"/>
      <c r="G494" s="23"/>
      <c r="H494" s="23"/>
      <c r="I494" s="23"/>
      <c r="J494" s="23"/>
      <c r="K494" s="23"/>
      <c r="L494" s="23"/>
      <c r="M494" s="23"/>
      <c r="N494" s="23"/>
      <c r="O494" s="23"/>
      <c r="P494" s="23"/>
      <c r="Q494" s="23"/>
      <c r="R494" s="23"/>
      <c r="S494" s="23"/>
    </row>
    <row r="495" spans="1:19" ht="15.75" customHeight="1" x14ac:dyDescent="0.25">
      <c r="A495" s="92"/>
      <c r="B495" s="22"/>
      <c r="C495" s="23"/>
      <c r="D495" s="23"/>
      <c r="E495" s="23"/>
      <c r="F495" s="23"/>
      <c r="G495" s="23"/>
      <c r="H495" s="23"/>
      <c r="I495" s="23"/>
      <c r="J495" s="23"/>
      <c r="K495" s="23"/>
      <c r="L495" s="23"/>
      <c r="M495" s="23"/>
      <c r="N495" s="23"/>
      <c r="O495" s="23"/>
      <c r="P495" s="23"/>
      <c r="Q495" s="23"/>
      <c r="R495" s="23"/>
      <c r="S495" s="23"/>
    </row>
    <row r="496" spans="1:19" ht="15.75" customHeight="1" x14ac:dyDescent="0.25">
      <c r="A496" s="92"/>
      <c r="B496" s="22"/>
      <c r="C496" s="23"/>
      <c r="D496" s="23"/>
      <c r="E496" s="23"/>
      <c r="F496" s="23"/>
      <c r="G496" s="23"/>
      <c r="H496" s="23"/>
      <c r="I496" s="23"/>
      <c r="J496" s="23"/>
      <c r="K496" s="23"/>
      <c r="L496" s="23"/>
      <c r="M496" s="23"/>
      <c r="N496" s="23"/>
      <c r="O496" s="23"/>
      <c r="P496" s="23"/>
      <c r="Q496" s="23"/>
      <c r="R496" s="23"/>
      <c r="S496" s="23"/>
    </row>
    <row r="497" spans="1:19" ht="15.75" customHeight="1" x14ac:dyDescent="0.25">
      <c r="A497" s="92"/>
      <c r="B497" s="22"/>
      <c r="C497" s="23"/>
      <c r="D497" s="23"/>
      <c r="E497" s="23"/>
      <c r="F497" s="23"/>
      <c r="G497" s="23"/>
      <c r="H497" s="23"/>
      <c r="I497" s="23"/>
      <c r="J497" s="23"/>
      <c r="K497" s="23"/>
      <c r="L497" s="23"/>
      <c r="M497" s="23"/>
      <c r="N497" s="23"/>
      <c r="O497" s="23"/>
      <c r="P497" s="23"/>
      <c r="Q497" s="23"/>
      <c r="R497" s="23"/>
      <c r="S497" s="23"/>
    </row>
    <row r="498" spans="1:19" ht="15.75" customHeight="1" x14ac:dyDescent="0.25">
      <c r="A498" s="92"/>
      <c r="B498" s="22"/>
      <c r="C498" s="23"/>
      <c r="D498" s="23"/>
      <c r="E498" s="23"/>
      <c r="F498" s="23"/>
      <c r="G498" s="23"/>
      <c r="H498" s="23"/>
      <c r="I498" s="23"/>
      <c r="J498" s="23"/>
      <c r="K498" s="23"/>
      <c r="L498" s="23"/>
      <c r="M498" s="23"/>
      <c r="N498" s="23"/>
      <c r="O498" s="23"/>
      <c r="P498" s="23"/>
      <c r="Q498" s="23"/>
      <c r="R498" s="23"/>
      <c r="S498" s="23"/>
    </row>
    <row r="499" spans="1:19" ht="15.75" customHeight="1" x14ac:dyDescent="0.25">
      <c r="A499" s="92"/>
      <c r="B499" s="22"/>
      <c r="C499" s="23"/>
      <c r="D499" s="23"/>
      <c r="E499" s="23"/>
      <c r="F499" s="23"/>
      <c r="G499" s="23"/>
      <c r="H499" s="23"/>
      <c r="I499" s="23"/>
      <c r="J499" s="23"/>
      <c r="K499" s="23"/>
      <c r="L499" s="23"/>
      <c r="M499" s="23"/>
      <c r="N499" s="23"/>
      <c r="O499" s="23"/>
      <c r="P499" s="23"/>
      <c r="Q499" s="23"/>
      <c r="R499" s="23"/>
      <c r="S499" s="23"/>
    </row>
    <row r="500" spans="1:19" ht="15.75" customHeight="1" x14ac:dyDescent="0.25">
      <c r="A500" s="92"/>
      <c r="B500" s="22"/>
      <c r="C500" s="23"/>
      <c r="D500" s="23"/>
      <c r="E500" s="23"/>
      <c r="F500" s="23"/>
      <c r="G500" s="23"/>
      <c r="H500" s="23"/>
      <c r="I500" s="23"/>
      <c r="J500" s="23"/>
      <c r="K500" s="23"/>
      <c r="L500" s="23"/>
      <c r="M500" s="23"/>
      <c r="N500" s="23"/>
      <c r="O500" s="23"/>
      <c r="P500" s="23"/>
      <c r="Q500" s="23"/>
      <c r="R500" s="23"/>
      <c r="S500" s="23"/>
    </row>
    <row r="501" spans="1:19" ht="15.75" customHeight="1" x14ac:dyDescent="0.25">
      <c r="A501" s="92"/>
      <c r="B501" s="22"/>
      <c r="C501" s="23"/>
      <c r="D501" s="23"/>
      <c r="E501" s="23"/>
      <c r="F501" s="23"/>
      <c r="G501" s="23"/>
      <c r="H501" s="23"/>
      <c r="I501" s="23"/>
      <c r="J501" s="23"/>
      <c r="K501" s="23"/>
      <c r="L501" s="23"/>
      <c r="M501" s="23"/>
      <c r="N501" s="23"/>
      <c r="O501" s="23"/>
      <c r="P501" s="23"/>
      <c r="Q501" s="23"/>
      <c r="R501" s="23"/>
      <c r="S501" s="23"/>
    </row>
    <row r="502" spans="1:19" ht="15.75" customHeight="1" x14ac:dyDescent="0.25">
      <c r="A502" s="92"/>
      <c r="B502" s="22"/>
      <c r="C502" s="23"/>
      <c r="D502" s="23"/>
      <c r="E502" s="23"/>
      <c r="F502" s="23"/>
      <c r="G502" s="23"/>
      <c r="H502" s="23"/>
      <c r="I502" s="23"/>
      <c r="J502" s="23"/>
      <c r="K502" s="23"/>
      <c r="L502" s="23"/>
      <c r="M502" s="23"/>
      <c r="N502" s="23"/>
      <c r="O502" s="23"/>
      <c r="P502" s="23"/>
      <c r="Q502" s="23"/>
      <c r="R502" s="23"/>
      <c r="S502" s="23"/>
    </row>
    <row r="503" spans="1:19" ht="15.75" customHeight="1" x14ac:dyDescent="0.25">
      <c r="A503" s="92"/>
      <c r="B503" s="22"/>
      <c r="C503" s="23"/>
      <c r="D503" s="23"/>
      <c r="E503" s="23"/>
      <c r="F503" s="23"/>
      <c r="G503" s="23"/>
      <c r="H503" s="23"/>
      <c r="I503" s="23"/>
      <c r="J503" s="23"/>
      <c r="K503" s="23"/>
      <c r="L503" s="23"/>
      <c r="M503" s="23"/>
      <c r="N503" s="23"/>
      <c r="O503" s="23"/>
      <c r="P503" s="23"/>
      <c r="Q503" s="23"/>
      <c r="R503" s="23"/>
      <c r="S503" s="23"/>
    </row>
    <row r="504" spans="1:19" ht="15.75" customHeight="1" x14ac:dyDescent="0.25">
      <c r="A504" s="92"/>
      <c r="B504" s="22"/>
      <c r="C504" s="23"/>
      <c r="D504" s="23"/>
      <c r="E504" s="23"/>
      <c r="F504" s="23"/>
      <c r="G504" s="23"/>
      <c r="H504" s="23"/>
      <c r="I504" s="23"/>
      <c r="J504" s="23"/>
      <c r="K504" s="23"/>
      <c r="L504" s="23"/>
      <c r="M504" s="23"/>
      <c r="N504" s="23"/>
      <c r="O504" s="23"/>
      <c r="P504" s="23"/>
      <c r="Q504" s="23"/>
      <c r="R504" s="23"/>
      <c r="S504" s="23"/>
    </row>
    <row r="505" spans="1:19" ht="15.75" customHeight="1" x14ac:dyDescent="0.25">
      <c r="A505" s="92"/>
      <c r="B505" s="22"/>
      <c r="C505" s="23"/>
      <c r="D505" s="23"/>
      <c r="E505" s="23"/>
      <c r="F505" s="23"/>
      <c r="G505" s="23"/>
      <c r="H505" s="23"/>
      <c r="I505" s="23"/>
      <c r="J505" s="23"/>
      <c r="K505" s="23"/>
      <c r="L505" s="23"/>
      <c r="M505" s="23"/>
      <c r="N505" s="23"/>
      <c r="O505" s="23"/>
      <c r="P505" s="23"/>
      <c r="Q505" s="23"/>
      <c r="R505" s="23"/>
      <c r="S505" s="23"/>
    </row>
    <row r="506" spans="1:19" ht="15.75" customHeight="1" x14ac:dyDescent="0.25">
      <c r="A506" s="92"/>
      <c r="B506" s="22"/>
      <c r="C506" s="23"/>
      <c r="D506" s="23"/>
      <c r="E506" s="23"/>
      <c r="F506" s="23"/>
      <c r="G506" s="23"/>
      <c r="H506" s="23"/>
      <c r="I506" s="23"/>
      <c r="J506" s="23"/>
      <c r="K506" s="23"/>
      <c r="L506" s="23"/>
      <c r="M506" s="23"/>
      <c r="N506" s="23"/>
      <c r="O506" s="23"/>
      <c r="P506" s="23"/>
      <c r="Q506" s="23"/>
      <c r="R506" s="23"/>
      <c r="S506" s="23"/>
    </row>
    <row r="507" spans="1:19" ht="15.75" customHeight="1" x14ac:dyDescent="0.25">
      <c r="A507" s="92"/>
      <c r="B507" s="22"/>
      <c r="C507" s="23"/>
      <c r="D507" s="23"/>
      <c r="E507" s="23"/>
      <c r="F507" s="23"/>
      <c r="G507" s="23"/>
      <c r="H507" s="23"/>
      <c r="I507" s="23"/>
      <c r="J507" s="23"/>
      <c r="K507" s="23"/>
      <c r="L507" s="23"/>
      <c r="M507" s="23"/>
      <c r="N507" s="23"/>
      <c r="O507" s="23"/>
      <c r="P507" s="23"/>
      <c r="Q507" s="23"/>
      <c r="R507" s="23"/>
      <c r="S507" s="23"/>
    </row>
    <row r="508" spans="1:19" ht="15.75" customHeight="1" x14ac:dyDescent="0.25">
      <c r="A508" s="92"/>
      <c r="B508" s="22"/>
      <c r="C508" s="23"/>
      <c r="D508" s="23"/>
      <c r="E508" s="23"/>
      <c r="F508" s="23"/>
      <c r="G508" s="23"/>
      <c r="H508" s="23"/>
      <c r="I508" s="23"/>
      <c r="J508" s="23"/>
      <c r="K508" s="23"/>
      <c r="L508" s="23"/>
      <c r="M508" s="23"/>
      <c r="N508" s="23"/>
      <c r="O508" s="23"/>
      <c r="P508" s="23"/>
      <c r="Q508" s="23"/>
      <c r="R508" s="23"/>
      <c r="S508" s="23"/>
    </row>
    <row r="509" spans="1:19" ht="15.75" customHeight="1" x14ac:dyDescent="0.25">
      <c r="A509" s="92"/>
      <c r="B509" s="22"/>
      <c r="C509" s="23"/>
      <c r="D509" s="23"/>
      <c r="E509" s="23"/>
      <c r="F509" s="23"/>
      <c r="G509" s="23"/>
      <c r="H509" s="23"/>
      <c r="I509" s="23"/>
      <c r="J509" s="23"/>
      <c r="K509" s="23"/>
      <c r="L509" s="23"/>
      <c r="M509" s="23"/>
      <c r="N509" s="23"/>
      <c r="O509" s="23"/>
      <c r="P509" s="23"/>
      <c r="Q509" s="23"/>
      <c r="R509" s="23"/>
      <c r="S509" s="23"/>
    </row>
    <row r="510" spans="1:19" ht="15.75" customHeight="1" x14ac:dyDescent="0.25">
      <c r="A510" s="92"/>
      <c r="B510" s="22"/>
      <c r="C510" s="23"/>
      <c r="D510" s="23"/>
      <c r="E510" s="23"/>
      <c r="F510" s="23"/>
      <c r="G510" s="23"/>
      <c r="H510" s="23"/>
      <c r="I510" s="23"/>
      <c r="J510" s="23"/>
      <c r="K510" s="23"/>
      <c r="L510" s="23"/>
      <c r="M510" s="23"/>
      <c r="N510" s="23"/>
      <c r="O510" s="23"/>
      <c r="P510" s="23"/>
      <c r="Q510" s="23"/>
      <c r="R510" s="23"/>
      <c r="S510" s="23"/>
    </row>
    <row r="511" spans="1:19" ht="15.75" customHeight="1" x14ac:dyDescent="0.25">
      <c r="A511" s="92"/>
      <c r="B511" s="22"/>
      <c r="C511" s="23"/>
      <c r="D511" s="23"/>
      <c r="E511" s="23"/>
      <c r="F511" s="23"/>
      <c r="G511" s="23"/>
      <c r="H511" s="23"/>
      <c r="I511" s="23"/>
      <c r="J511" s="23"/>
      <c r="K511" s="23"/>
      <c r="L511" s="23"/>
      <c r="M511" s="23"/>
      <c r="N511" s="23"/>
      <c r="O511" s="23"/>
      <c r="P511" s="23"/>
      <c r="Q511" s="23"/>
      <c r="R511" s="23"/>
      <c r="S511" s="23"/>
    </row>
    <row r="512" spans="1:19" ht="15.75" customHeight="1" x14ac:dyDescent="0.25">
      <c r="A512" s="92"/>
      <c r="B512" s="22"/>
      <c r="C512" s="23"/>
      <c r="D512" s="23"/>
      <c r="E512" s="23"/>
      <c r="F512" s="23"/>
      <c r="G512" s="23"/>
      <c r="H512" s="23"/>
      <c r="I512" s="23"/>
      <c r="J512" s="23"/>
      <c r="K512" s="23"/>
      <c r="L512" s="23"/>
      <c r="M512" s="23"/>
      <c r="N512" s="23"/>
      <c r="O512" s="23"/>
      <c r="P512" s="23"/>
      <c r="Q512" s="23"/>
      <c r="R512" s="23"/>
      <c r="S512" s="23"/>
    </row>
    <row r="513" spans="1:19" ht="15.75" customHeight="1" x14ac:dyDescent="0.25">
      <c r="A513" s="92"/>
      <c r="B513" s="22"/>
      <c r="C513" s="23"/>
      <c r="D513" s="23"/>
      <c r="E513" s="23"/>
      <c r="F513" s="23"/>
      <c r="G513" s="23"/>
      <c r="H513" s="23"/>
      <c r="I513" s="23"/>
      <c r="J513" s="23"/>
      <c r="K513" s="23"/>
      <c r="L513" s="23"/>
      <c r="M513" s="23"/>
      <c r="N513" s="23"/>
      <c r="O513" s="23"/>
      <c r="P513" s="23"/>
      <c r="Q513" s="23"/>
      <c r="R513" s="23"/>
      <c r="S513" s="23"/>
    </row>
    <row r="514" spans="1:19" ht="15.75" customHeight="1" x14ac:dyDescent="0.25">
      <c r="A514" s="92"/>
      <c r="B514" s="22"/>
      <c r="C514" s="23"/>
      <c r="D514" s="23"/>
      <c r="E514" s="23"/>
      <c r="F514" s="23"/>
      <c r="G514" s="23"/>
      <c r="H514" s="23"/>
      <c r="I514" s="23"/>
      <c r="J514" s="23"/>
      <c r="K514" s="23"/>
      <c r="L514" s="23"/>
      <c r="M514" s="23"/>
      <c r="N514" s="23"/>
      <c r="O514" s="23"/>
      <c r="P514" s="23"/>
      <c r="Q514" s="23"/>
      <c r="R514" s="23"/>
      <c r="S514" s="23"/>
    </row>
    <row r="515" spans="1:19" ht="15.75" customHeight="1" x14ac:dyDescent="0.25">
      <c r="A515" s="92"/>
      <c r="B515" s="22"/>
      <c r="C515" s="23"/>
      <c r="D515" s="23"/>
      <c r="E515" s="23"/>
      <c r="F515" s="23"/>
      <c r="G515" s="23"/>
      <c r="H515" s="23"/>
      <c r="I515" s="23"/>
      <c r="J515" s="23"/>
      <c r="K515" s="23"/>
      <c r="L515" s="23"/>
      <c r="M515" s="23"/>
      <c r="N515" s="23"/>
      <c r="O515" s="23"/>
      <c r="P515" s="23"/>
      <c r="Q515" s="23"/>
      <c r="R515" s="23"/>
      <c r="S515" s="23"/>
    </row>
    <row r="516" spans="1:19" ht="15.75" customHeight="1" x14ac:dyDescent="0.25">
      <c r="A516" s="92"/>
      <c r="B516" s="22"/>
      <c r="C516" s="23"/>
      <c r="D516" s="23"/>
      <c r="E516" s="23"/>
      <c r="F516" s="23"/>
      <c r="G516" s="23"/>
      <c r="H516" s="23"/>
      <c r="I516" s="23"/>
      <c r="J516" s="23"/>
      <c r="K516" s="23"/>
      <c r="L516" s="23"/>
      <c r="M516" s="23"/>
      <c r="N516" s="23"/>
      <c r="O516" s="23"/>
      <c r="P516" s="23"/>
      <c r="Q516" s="23"/>
      <c r="R516" s="23"/>
      <c r="S516" s="23"/>
    </row>
    <row r="517" spans="1:19" ht="15.75" customHeight="1" x14ac:dyDescent="0.25">
      <c r="A517" s="92"/>
      <c r="B517" s="22"/>
      <c r="C517" s="23"/>
      <c r="D517" s="23"/>
      <c r="E517" s="23"/>
      <c r="F517" s="23"/>
      <c r="G517" s="23"/>
      <c r="H517" s="23"/>
      <c r="I517" s="23"/>
      <c r="J517" s="23"/>
      <c r="K517" s="23"/>
      <c r="L517" s="23"/>
      <c r="M517" s="23"/>
      <c r="N517" s="23"/>
      <c r="O517" s="23"/>
      <c r="P517" s="23"/>
      <c r="Q517" s="23"/>
      <c r="R517" s="23"/>
      <c r="S517" s="23"/>
    </row>
    <row r="518" spans="1:19" ht="15.75" customHeight="1" x14ac:dyDescent="0.25">
      <c r="A518" s="92"/>
      <c r="B518" s="22"/>
      <c r="C518" s="23"/>
      <c r="D518" s="23"/>
      <c r="E518" s="23"/>
      <c r="F518" s="23"/>
      <c r="G518" s="23"/>
      <c r="H518" s="23"/>
      <c r="I518" s="23"/>
      <c r="J518" s="23"/>
      <c r="K518" s="23"/>
      <c r="L518" s="23"/>
      <c r="M518" s="23"/>
      <c r="N518" s="23"/>
      <c r="O518" s="23"/>
      <c r="P518" s="23"/>
      <c r="Q518" s="23"/>
      <c r="R518" s="23"/>
      <c r="S518" s="23"/>
    </row>
    <row r="519" spans="1:19" ht="15.75" customHeight="1" x14ac:dyDescent="0.25">
      <c r="A519" s="92"/>
      <c r="B519" s="22"/>
      <c r="C519" s="23"/>
      <c r="D519" s="23"/>
      <c r="E519" s="23"/>
      <c r="F519" s="23"/>
      <c r="G519" s="23"/>
      <c r="H519" s="23"/>
      <c r="I519" s="23"/>
      <c r="J519" s="23"/>
      <c r="K519" s="23"/>
      <c r="L519" s="23"/>
      <c r="M519" s="23"/>
      <c r="N519" s="23"/>
      <c r="O519" s="23"/>
      <c r="P519" s="23"/>
      <c r="Q519" s="23"/>
      <c r="R519" s="23"/>
      <c r="S519" s="23"/>
    </row>
    <row r="520" spans="1:19" ht="15.75" customHeight="1" x14ac:dyDescent="0.25">
      <c r="A520" s="92"/>
      <c r="B520" s="22"/>
      <c r="C520" s="23"/>
      <c r="D520" s="23"/>
      <c r="E520" s="23"/>
      <c r="F520" s="23"/>
      <c r="G520" s="23"/>
      <c r="H520" s="23"/>
      <c r="I520" s="23"/>
      <c r="J520" s="23"/>
      <c r="K520" s="23"/>
      <c r="L520" s="23"/>
      <c r="M520" s="23"/>
      <c r="N520" s="23"/>
      <c r="O520" s="23"/>
      <c r="P520" s="23"/>
      <c r="Q520" s="23"/>
      <c r="R520" s="23"/>
      <c r="S520" s="23"/>
    </row>
    <row r="521" spans="1:19" ht="15.75" customHeight="1" x14ac:dyDescent="0.25">
      <c r="A521" s="92"/>
      <c r="B521" s="22"/>
      <c r="C521" s="23"/>
      <c r="D521" s="23"/>
      <c r="E521" s="23"/>
      <c r="F521" s="23"/>
      <c r="G521" s="23"/>
      <c r="H521" s="23"/>
      <c r="I521" s="23"/>
      <c r="J521" s="23"/>
      <c r="K521" s="23"/>
      <c r="L521" s="23"/>
      <c r="M521" s="23"/>
      <c r="N521" s="23"/>
      <c r="O521" s="23"/>
      <c r="P521" s="23"/>
      <c r="Q521" s="23"/>
      <c r="R521" s="23"/>
      <c r="S521" s="23"/>
    </row>
    <row r="522" spans="1:19" ht="15.75" customHeight="1" x14ac:dyDescent="0.25">
      <c r="A522" s="92"/>
      <c r="B522" s="22"/>
      <c r="C522" s="23"/>
      <c r="D522" s="23"/>
      <c r="E522" s="23"/>
      <c r="F522" s="23"/>
      <c r="G522" s="23"/>
      <c r="H522" s="23"/>
      <c r="I522" s="23"/>
      <c r="J522" s="23"/>
      <c r="K522" s="23"/>
      <c r="L522" s="23"/>
      <c r="M522" s="23"/>
      <c r="N522" s="23"/>
      <c r="O522" s="23"/>
      <c r="P522" s="23"/>
      <c r="Q522" s="23"/>
      <c r="R522" s="23"/>
      <c r="S522" s="23"/>
    </row>
    <row r="523" spans="1:19" ht="15.75" customHeight="1" x14ac:dyDescent="0.25">
      <c r="A523" s="92"/>
      <c r="B523" s="22"/>
      <c r="C523" s="23"/>
      <c r="D523" s="23"/>
      <c r="E523" s="23"/>
      <c r="F523" s="23"/>
      <c r="G523" s="23"/>
      <c r="H523" s="23"/>
      <c r="I523" s="23"/>
      <c r="J523" s="23"/>
      <c r="K523" s="23"/>
      <c r="L523" s="23"/>
      <c r="M523" s="23"/>
      <c r="N523" s="23"/>
      <c r="O523" s="23"/>
      <c r="P523" s="23"/>
      <c r="Q523" s="23"/>
      <c r="R523" s="23"/>
      <c r="S523" s="23"/>
    </row>
    <row r="524" spans="1:19" ht="15.75" customHeight="1" x14ac:dyDescent="0.25">
      <c r="A524" s="92"/>
      <c r="B524" s="22"/>
      <c r="C524" s="23"/>
      <c r="D524" s="23"/>
      <c r="E524" s="23"/>
      <c r="F524" s="23"/>
      <c r="G524" s="23"/>
      <c r="H524" s="23"/>
      <c r="I524" s="23"/>
      <c r="J524" s="23"/>
      <c r="K524" s="23"/>
      <c r="L524" s="23"/>
      <c r="M524" s="23"/>
      <c r="N524" s="23"/>
      <c r="O524" s="23"/>
      <c r="P524" s="23"/>
      <c r="Q524" s="23"/>
      <c r="R524" s="23"/>
      <c r="S524" s="23"/>
    </row>
    <row r="525" spans="1:19" ht="15.75" customHeight="1" x14ac:dyDescent="0.25">
      <c r="A525" s="92"/>
      <c r="B525" s="22"/>
      <c r="C525" s="23"/>
      <c r="D525" s="23"/>
      <c r="E525" s="23"/>
      <c r="F525" s="23"/>
      <c r="G525" s="23"/>
      <c r="H525" s="23"/>
      <c r="I525" s="23"/>
      <c r="J525" s="23"/>
      <c r="K525" s="23"/>
      <c r="L525" s="23"/>
      <c r="M525" s="23"/>
      <c r="N525" s="23"/>
      <c r="O525" s="23"/>
      <c r="P525" s="23"/>
      <c r="Q525" s="23"/>
      <c r="R525" s="23"/>
      <c r="S525" s="23"/>
    </row>
    <row r="526" spans="1:19" ht="15.75" customHeight="1" x14ac:dyDescent="0.25">
      <c r="A526" s="92"/>
      <c r="B526" s="22"/>
      <c r="C526" s="23"/>
      <c r="D526" s="23"/>
      <c r="E526" s="23"/>
      <c r="F526" s="23"/>
      <c r="G526" s="23"/>
      <c r="H526" s="23"/>
      <c r="I526" s="23"/>
      <c r="J526" s="23"/>
      <c r="K526" s="23"/>
      <c r="L526" s="23"/>
      <c r="M526" s="23"/>
      <c r="N526" s="23"/>
      <c r="O526" s="23"/>
      <c r="P526" s="23"/>
      <c r="Q526" s="23"/>
      <c r="R526" s="23"/>
      <c r="S526" s="23"/>
    </row>
    <row r="527" spans="1:19" ht="15.75" customHeight="1" x14ac:dyDescent="0.25">
      <c r="A527" s="92"/>
      <c r="B527" s="22"/>
      <c r="C527" s="23"/>
      <c r="D527" s="23"/>
      <c r="E527" s="23"/>
      <c r="F527" s="23"/>
      <c r="G527" s="23"/>
      <c r="H527" s="23"/>
      <c r="I527" s="23"/>
      <c r="J527" s="23"/>
      <c r="K527" s="23"/>
      <c r="L527" s="23"/>
      <c r="M527" s="23"/>
      <c r="N527" s="23"/>
      <c r="O527" s="23"/>
      <c r="P527" s="23"/>
      <c r="Q527" s="23"/>
      <c r="R527" s="23"/>
      <c r="S527" s="23"/>
    </row>
    <row r="528" spans="1:19" ht="15.75" customHeight="1" x14ac:dyDescent="0.25">
      <c r="A528" s="92"/>
      <c r="B528" s="22"/>
      <c r="C528" s="23"/>
      <c r="D528" s="23"/>
      <c r="E528" s="23"/>
      <c r="F528" s="23"/>
      <c r="G528" s="23"/>
      <c r="H528" s="23"/>
      <c r="I528" s="23"/>
      <c r="J528" s="23"/>
      <c r="K528" s="23"/>
      <c r="L528" s="23"/>
      <c r="M528" s="23"/>
      <c r="N528" s="23"/>
      <c r="O528" s="23"/>
      <c r="P528" s="23"/>
      <c r="Q528" s="23"/>
      <c r="R528" s="23"/>
      <c r="S528" s="23"/>
    </row>
    <row r="529" spans="1:19" ht="15.75" customHeight="1" x14ac:dyDescent="0.25">
      <c r="A529" s="92"/>
      <c r="B529" s="22"/>
      <c r="C529" s="23"/>
      <c r="D529" s="23"/>
      <c r="E529" s="23"/>
      <c r="F529" s="23"/>
      <c r="G529" s="23"/>
      <c r="H529" s="23"/>
      <c r="I529" s="23"/>
      <c r="J529" s="23"/>
      <c r="K529" s="23"/>
      <c r="L529" s="23"/>
      <c r="M529" s="23"/>
      <c r="N529" s="23"/>
      <c r="O529" s="23"/>
      <c r="P529" s="23"/>
      <c r="Q529" s="23"/>
      <c r="R529" s="23"/>
      <c r="S529" s="23"/>
    </row>
    <row r="530" spans="1:19" ht="15.75" customHeight="1" x14ac:dyDescent="0.25">
      <c r="A530" s="92"/>
      <c r="B530" s="22"/>
      <c r="C530" s="23"/>
      <c r="D530" s="23"/>
      <c r="E530" s="23"/>
      <c r="F530" s="23"/>
      <c r="G530" s="23"/>
      <c r="H530" s="23"/>
      <c r="I530" s="23"/>
      <c r="J530" s="23"/>
      <c r="K530" s="23"/>
      <c r="L530" s="23"/>
      <c r="M530" s="23"/>
      <c r="N530" s="23"/>
      <c r="O530" s="23"/>
      <c r="P530" s="23"/>
      <c r="Q530" s="23"/>
      <c r="R530" s="23"/>
      <c r="S530" s="23"/>
    </row>
    <row r="531" spans="1:19" ht="15.75" customHeight="1" x14ac:dyDescent="0.25">
      <c r="A531" s="92"/>
      <c r="B531" s="22"/>
      <c r="C531" s="23"/>
      <c r="D531" s="23"/>
      <c r="E531" s="23"/>
      <c r="F531" s="23"/>
      <c r="G531" s="23"/>
      <c r="H531" s="23"/>
      <c r="I531" s="23"/>
      <c r="J531" s="23"/>
      <c r="K531" s="23"/>
      <c r="L531" s="23"/>
      <c r="M531" s="23"/>
      <c r="N531" s="23"/>
      <c r="O531" s="23"/>
      <c r="P531" s="23"/>
      <c r="Q531" s="23"/>
      <c r="R531" s="23"/>
      <c r="S531" s="23"/>
    </row>
    <row r="532" spans="1:19" ht="15.75" customHeight="1" x14ac:dyDescent="0.25">
      <c r="A532" s="92"/>
      <c r="B532" s="22"/>
      <c r="C532" s="23"/>
      <c r="D532" s="23"/>
      <c r="E532" s="23"/>
      <c r="F532" s="23"/>
      <c r="G532" s="23"/>
      <c r="H532" s="23"/>
      <c r="I532" s="23"/>
      <c r="J532" s="23"/>
      <c r="K532" s="23"/>
      <c r="L532" s="23"/>
      <c r="M532" s="23"/>
      <c r="N532" s="23"/>
      <c r="O532" s="23"/>
      <c r="P532" s="23"/>
      <c r="Q532" s="23"/>
      <c r="R532" s="23"/>
      <c r="S532" s="23"/>
    </row>
    <row r="533" spans="1:19" ht="15.75" customHeight="1" x14ac:dyDescent="0.25">
      <c r="A533" s="92"/>
      <c r="B533" s="22"/>
      <c r="C533" s="23"/>
      <c r="D533" s="23"/>
      <c r="E533" s="23"/>
      <c r="F533" s="23"/>
      <c r="G533" s="23"/>
      <c r="H533" s="23"/>
      <c r="I533" s="23"/>
      <c r="J533" s="23"/>
      <c r="K533" s="23"/>
      <c r="L533" s="23"/>
      <c r="M533" s="23"/>
      <c r="N533" s="23"/>
      <c r="O533" s="23"/>
      <c r="P533" s="23"/>
      <c r="Q533" s="23"/>
      <c r="R533" s="23"/>
      <c r="S533" s="23"/>
    </row>
    <row r="534" spans="1:19" ht="15.75" customHeight="1" x14ac:dyDescent="0.25">
      <c r="A534" s="92"/>
      <c r="B534" s="22"/>
      <c r="C534" s="23"/>
      <c r="D534" s="23"/>
      <c r="E534" s="23"/>
      <c r="F534" s="23"/>
      <c r="G534" s="23"/>
      <c r="H534" s="23"/>
      <c r="I534" s="23"/>
      <c r="J534" s="23"/>
      <c r="K534" s="23"/>
      <c r="L534" s="23"/>
      <c r="M534" s="23"/>
      <c r="N534" s="23"/>
      <c r="O534" s="23"/>
      <c r="P534" s="23"/>
      <c r="Q534" s="23"/>
      <c r="R534" s="23"/>
      <c r="S534" s="23"/>
    </row>
    <row r="535" spans="1:19" ht="15.75" customHeight="1" x14ac:dyDescent="0.25">
      <c r="A535" s="92"/>
      <c r="B535" s="22"/>
      <c r="C535" s="23"/>
      <c r="D535" s="23"/>
      <c r="E535" s="23"/>
      <c r="F535" s="23"/>
      <c r="G535" s="23"/>
      <c r="H535" s="23"/>
      <c r="I535" s="23"/>
      <c r="J535" s="23"/>
      <c r="K535" s="23"/>
      <c r="L535" s="23"/>
      <c r="M535" s="23"/>
      <c r="N535" s="23"/>
      <c r="O535" s="23"/>
      <c r="P535" s="23"/>
      <c r="Q535" s="23"/>
      <c r="R535" s="23"/>
      <c r="S535" s="23"/>
    </row>
    <row r="536" spans="1:19" ht="15.75" customHeight="1" x14ac:dyDescent="0.25">
      <c r="A536" s="92"/>
      <c r="B536" s="22"/>
      <c r="C536" s="23"/>
      <c r="D536" s="23"/>
      <c r="E536" s="23"/>
      <c r="F536" s="23"/>
      <c r="G536" s="23"/>
      <c r="H536" s="23"/>
      <c r="I536" s="23"/>
      <c r="J536" s="23"/>
      <c r="K536" s="23"/>
      <c r="L536" s="23"/>
      <c r="M536" s="23"/>
      <c r="N536" s="23"/>
      <c r="O536" s="23"/>
      <c r="P536" s="23"/>
      <c r="Q536" s="23"/>
      <c r="R536" s="23"/>
      <c r="S536" s="23"/>
    </row>
    <row r="537" spans="1:19" ht="15.75" customHeight="1" x14ac:dyDescent="0.25">
      <c r="A537" s="92"/>
      <c r="B537" s="22"/>
      <c r="C537" s="23"/>
      <c r="D537" s="23"/>
      <c r="E537" s="23"/>
      <c r="F537" s="23"/>
      <c r="G537" s="23"/>
      <c r="H537" s="23"/>
      <c r="I537" s="23"/>
      <c r="J537" s="23"/>
      <c r="K537" s="23"/>
      <c r="L537" s="23"/>
      <c r="M537" s="23"/>
      <c r="N537" s="23"/>
      <c r="O537" s="23"/>
      <c r="P537" s="23"/>
      <c r="Q537" s="23"/>
      <c r="R537" s="23"/>
      <c r="S537" s="23"/>
    </row>
    <row r="538" spans="1:19" ht="15.75" customHeight="1" x14ac:dyDescent="0.25">
      <c r="A538" s="92"/>
      <c r="B538" s="22"/>
      <c r="C538" s="23"/>
      <c r="D538" s="23"/>
      <c r="E538" s="23"/>
      <c r="F538" s="23"/>
      <c r="G538" s="23"/>
      <c r="H538" s="23"/>
      <c r="I538" s="23"/>
      <c r="J538" s="23"/>
      <c r="K538" s="23"/>
      <c r="L538" s="23"/>
      <c r="M538" s="23"/>
      <c r="N538" s="23"/>
      <c r="O538" s="23"/>
      <c r="P538" s="23"/>
      <c r="Q538" s="23"/>
      <c r="R538" s="23"/>
      <c r="S538" s="23"/>
    </row>
    <row r="539" spans="1:19" ht="15.75" customHeight="1" x14ac:dyDescent="0.25">
      <c r="A539" s="92"/>
      <c r="B539" s="22"/>
      <c r="C539" s="23"/>
      <c r="D539" s="23"/>
      <c r="E539" s="23"/>
      <c r="F539" s="23"/>
      <c r="G539" s="23"/>
      <c r="H539" s="23"/>
      <c r="I539" s="23"/>
      <c r="J539" s="23"/>
      <c r="K539" s="23"/>
      <c r="L539" s="23"/>
      <c r="M539" s="23"/>
      <c r="N539" s="23"/>
      <c r="O539" s="23"/>
      <c r="P539" s="23"/>
      <c r="Q539" s="23"/>
      <c r="R539" s="23"/>
      <c r="S539" s="23"/>
    </row>
    <row r="540" spans="1:19" ht="15.75" customHeight="1" x14ac:dyDescent="0.25">
      <c r="A540" s="92"/>
      <c r="B540" s="22"/>
      <c r="C540" s="23"/>
      <c r="D540" s="23"/>
      <c r="E540" s="23"/>
      <c r="F540" s="23"/>
      <c r="G540" s="23"/>
      <c r="H540" s="23"/>
      <c r="I540" s="23"/>
      <c r="J540" s="23"/>
      <c r="K540" s="23"/>
      <c r="L540" s="23"/>
      <c r="M540" s="23"/>
      <c r="N540" s="23"/>
      <c r="O540" s="23"/>
      <c r="P540" s="23"/>
      <c r="Q540" s="23"/>
      <c r="R540" s="23"/>
      <c r="S540" s="23"/>
    </row>
    <row r="541" spans="1:19" ht="15.75" customHeight="1" x14ac:dyDescent="0.25">
      <c r="A541" s="92"/>
      <c r="B541" s="22"/>
      <c r="C541" s="23"/>
      <c r="D541" s="23"/>
      <c r="E541" s="23"/>
      <c r="F541" s="23"/>
      <c r="G541" s="23"/>
      <c r="H541" s="23"/>
      <c r="I541" s="23"/>
      <c r="J541" s="23"/>
      <c r="K541" s="23"/>
      <c r="L541" s="23"/>
      <c r="M541" s="23"/>
      <c r="N541" s="23"/>
      <c r="O541" s="23"/>
      <c r="P541" s="23"/>
      <c r="Q541" s="23"/>
      <c r="R541" s="23"/>
      <c r="S541" s="23"/>
    </row>
    <row r="542" spans="1:19" ht="15.75" customHeight="1" x14ac:dyDescent="0.25">
      <c r="A542" s="92"/>
      <c r="B542" s="22"/>
      <c r="C542" s="23"/>
      <c r="D542" s="23"/>
      <c r="E542" s="23"/>
      <c r="F542" s="23"/>
      <c r="G542" s="23"/>
      <c r="H542" s="23"/>
      <c r="I542" s="23"/>
      <c r="J542" s="23"/>
      <c r="K542" s="23"/>
      <c r="L542" s="23"/>
      <c r="M542" s="23"/>
      <c r="N542" s="23"/>
      <c r="O542" s="23"/>
      <c r="P542" s="23"/>
      <c r="Q542" s="23"/>
      <c r="R542" s="23"/>
      <c r="S542" s="23"/>
    </row>
    <row r="543" spans="1:19" ht="15.75" customHeight="1" x14ac:dyDescent="0.25">
      <c r="A543" s="92"/>
      <c r="B543" s="22"/>
      <c r="C543" s="23"/>
      <c r="D543" s="23"/>
      <c r="E543" s="23"/>
      <c r="F543" s="23"/>
      <c r="G543" s="23"/>
      <c r="H543" s="23"/>
      <c r="I543" s="23"/>
      <c r="J543" s="23"/>
      <c r="K543" s="23"/>
      <c r="L543" s="23"/>
      <c r="M543" s="23"/>
      <c r="N543" s="23"/>
      <c r="O543" s="23"/>
      <c r="P543" s="23"/>
      <c r="Q543" s="23"/>
      <c r="R543" s="23"/>
      <c r="S543" s="23"/>
    </row>
    <row r="544" spans="1:19" ht="15.75" customHeight="1" x14ac:dyDescent="0.25">
      <c r="A544" s="92"/>
      <c r="B544" s="22"/>
      <c r="C544" s="23"/>
      <c r="D544" s="23"/>
      <c r="E544" s="23"/>
      <c r="F544" s="23"/>
      <c r="G544" s="23"/>
      <c r="H544" s="23"/>
      <c r="I544" s="23"/>
      <c r="J544" s="23"/>
      <c r="K544" s="23"/>
      <c r="L544" s="23"/>
      <c r="M544" s="23"/>
      <c r="N544" s="23"/>
      <c r="O544" s="23"/>
      <c r="P544" s="23"/>
      <c r="Q544" s="23"/>
      <c r="R544" s="23"/>
      <c r="S544" s="23"/>
    </row>
    <row r="545" spans="1:19" ht="15.75" customHeight="1" x14ac:dyDescent="0.25">
      <c r="A545" s="92"/>
      <c r="B545" s="22"/>
      <c r="C545" s="23"/>
      <c r="D545" s="23"/>
      <c r="E545" s="23"/>
      <c r="F545" s="23"/>
      <c r="G545" s="23"/>
      <c r="H545" s="23"/>
      <c r="I545" s="23"/>
      <c r="J545" s="23"/>
      <c r="K545" s="23"/>
      <c r="L545" s="23"/>
      <c r="M545" s="23"/>
      <c r="N545" s="23"/>
      <c r="O545" s="23"/>
      <c r="P545" s="23"/>
      <c r="Q545" s="23"/>
      <c r="R545" s="23"/>
      <c r="S545" s="23"/>
    </row>
    <row r="546" spans="1:19" ht="15.75" customHeight="1" x14ac:dyDescent="0.25">
      <c r="A546" s="92"/>
      <c r="B546" s="22"/>
      <c r="C546" s="23"/>
      <c r="D546" s="23"/>
      <c r="E546" s="23"/>
      <c r="F546" s="23"/>
      <c r="G546" s="23"/>
      <c r="H546" s="23"/>
      <c r="I546" s="23"/>
      <c r="J546" s="23"/>
      <c r="K546" s="23"/>
      <c r="L546" s="23"/>
      <c r="M546" s="23"/>
      <c r="N546" s="23"/>
      <c r="O546" s="23"/>
      <c r="P546" s="23"/>
      <c r="Q546" s="23"/>
      <c r="R546" s="23"/>
      <c r="S546" s="23"/>
    </row>
    <row r="547" spans="1:19" ht="15.75" customHeight="1" x14ac:dyDescent="0.25">
      <c r="A547" s="92"/>
      <c r="B547" s="22"/>
      <c r="C547" s="23"/>
      <c r="D547" s="23"/>
      <c r="E547" s="23"/>
      <c r="F547" s="23"/>
      <c r="G547" s="23"/>
      <c r="H547" s="23"/>
      <c r="I547" s="23"/>
      <c r="J547" s="23"/>
      <c r="K547" s="23"/>
      <c r="L547" s="23"/>
      <c r="M547" s="23"/>
      <c r="N547" s="23"/>
      <c r="O547" s="23"/>
      <c r="P547" s="23"/>
      <c r="Q547" s="23"/>
      <c r="R547" s="23"/>
      <c r="S547" s="23"/>
    </row>
    <row r="548" spans="1:19" ht="15.75" customHeight="1" x14ac:dyDescent="0.25">
      <c r="A548" s="92"/>
      <c r="B548" s="22"/>
      <c r="C548" s="23"/>
      <c r="D548" s="23"/>
      <c r="E548" s="23"/>
      <c r="F548" s="23"/>
      <c r="G548" s="23"/>
      <c r="H548" s="23"/>
      <c r="I548" s="23"/>
      <c r="J548" s="23"/>
      <c r="K548" s="23"/>
      <c r="L548" s="23"/>
      <c r="M548" s="23"/>
      <c r="N548" s="23"/>
      <c r="O548" s="23"/>
      <c r="P548" s="23"/>
      <c r="Q548" s="23"/>
      <c r="R548" s="23"/>
      <c r="S548" s="23"/>
    </row>
    <row r="549" spans="1:19" ht="15.75" customHeight="1" x14ac:dyDescent="0.25">
      <c r="A549" s="92"/>
      <c r="B549" s="22"/>
      <c r="C549" s="23"/>
      <c r="D549" s="23"/>
      <c r="E549" s="23"/>
      <c r="F549" s="23"/>
      <c r="G549" s="23"/>
      <c r="H549" s="23"/>
      <c r="I549" s="23"/>
      <c r="J549" s="23"/>
      <c r="K549" s="23"/>
      <c r="L549" s="23"/>
      <c r="M549" s="23"/>
      <c r="N549" s="23"/>
      <c r="O549" s="23"/>
      <c r="P549" s="23"/>
      <c r="Q549" s="23"/>
      <c r="R549" s="23"/>
      <c r="S549" s="23"/>
    </row>
    <row r="550" spans="1:19" ht="15.75" customHeight="1" x14ac:dyDescent="0.25">
      <c r="A550" s="92"/>
      <c r="B550" s="22"/>
      <c r="C550" s="23"/>
      <c r="D550" s="23"/>
      <c r="E550" s="23"/>
      <c r="F550" s="23"/>
      <c r="G550" s="23"/>
      <c r="H550" s="23"/>
      <c r="I550" s="23"/>
      <c r="J550" s="23"/>
      <c r="K550" s="23"/>
      <c r="L550" s="23"/>
      <c r="M550" s="23"/>
      <c r="N550" s="23"/>
      <c r="O550" s="23"/>
      <c r="P550" s="23"/>
      <c r="Q550" s="23"/>
      <c r="R550" s="23"/>
      <c r="S550" s="23"/>
    </row>
    <row r="551" spans="1:19" ht="15.75" customHeight="1" x14ac:dyDescent="0.25">
      <c r="A551" s="92"/>
      <c r="B551" s="22"/>
      <c r="C551" s="23"/>
      <c r="D551" s="23"/>
      <c r="E551" s="23"/>
      <c r="F551" s="23"/>
      <c r="G551" s="23"/>
      <c r="H551" s="23"/>
      <c r="I551" s="23"/>
      <c r="J551" s="23"/>
      <c r="K551" s="23"/>
      <c r="L551" s="23"/>
      <c r="M551" s="23"/>
      <c r="N551" s="23"/>
      <c r="O551" s="23"/>
      <c r="P551" s="23"/>
      <c r="Q551" s="23"/>
      <c r="R551" s="23"/>
      <c r="S551" s="23"/>
    </row>
    <row r="552" spans="1:19" ht="15.75" customHeight="1" x14ac:dyDescent="0.25">
      <c r="A552" s="92"/>
      <c r="B552" s="22"/>
      <c r="C552" s="23"/>
      <c r="D552" s="23"/>
      <c r="E552" s="23"/>
      <c r="F552" s="23"/>
      <c r="G552" s="23"/>
      <c r="H552" s="23"/>
      <c r="I552" s="23"/>
      <c r="J552" s="23"/>
      <c r="K552" s="23"/>
      <c r="L552" s="23"/>
      <c r="M552" s="23"/>
      <c r="N552" s="23"/>
      <c r="O552" s="23"/>
      <c r="P552" s="23"/>
      <c r="Q552" s="23"/>
      <c r="R552" s="23"/>
      <c r="S552" s="23"/>
    </row>
    <row r="553" spans="1:19" ht="15.75" customHeight="1" x14ac:dyDescent="0.25">
      <c r="A553" s="92"/>
      <c r="B553" s="22"/>
      <c r="C553" s="23"/>
      <c r="D553" s="23"/>
      <c r="E553" s="23"/>
      <c r="F553" s="23"/>
      <c r="G553" s="23"/>
      <c r="H553" s="23"/>
      <c r="I553" s="23"/>
      <c r="J553" s="23"/>
      <c r="K553" s="23"/>
      <c r="L553" s="23"/>
      <c r="M553" s="23"/>
      <c r="N553" s="23"/>
      <c r="O553" s="23"/>
      <c r="P553" s="23"/>
      <c r="Q553" s="23"/>
      <c r="R553" s="23"/>
      <c r="S553" s="23"/>
    </row>
    <row r="554" spans="1:19" ht="15.75" customHeight="1" x14ac:dyDescent="0.25">
      <c r="A554" s="92"/>
      <c r="B554" s="22"/>
      <c r="C554" s="23"/>
      <c r="D554" s="23"/>
      <c r="E554" s="23"/>
      <c r="F554" s="23"/>
      <c r="G554" s="23"/>
      <c r="H554" s="23"/>
      <c r="I554" s="23"/>
      <c r="J554" s="23"/>
      <c r="K554" s="23"/>
      <c r="L554" s="23"/>
      <c r="M554" s="23"/>
      <c r="N554" s="23"/>
      <c r="O554" s="23"/>
      <c r="P554" s="23"/>
      <c r="Q554" s="23"/>
      <c r="R554" s="23"/>
      <c r="S554" s="23"/>
    </row>
    <row r="555" spans="1:19" ht="15.75" customHeight="1" x14ac:dyDescent="0.25">
      <c r="A555" s="92"/>
      <c r="B555" s="22"/>
      <c r="C555" s="23"/>
      <c r="D555" s="23"/>
      <c r="E555" s="23"/>
      <c r="F555" s="23"/>
      <c r="G555" s="23"/>
      <c r="H555" s="23"/>
      <c r="I555" s="23"/>
      <c r="J555" s="23"/>
      <c r="K555" s="23"/>
      <c r="L555" s="23"/>
      <c r="M555" s="23"/>
      <c r="N555" s="23"/>
      <c r="O555" s="23"/>
      <c r="P555" s="23"/>
      <c r="Q555" s="23"/>
      <c r="R555" s="23"/>
      <c r="S555" s="23"/>
    </row>
    <row r="556" spans="1:19" ht="15.75" customHeight="1" x14ac:dyDescent="0.25">
      <c r="A556" s="92"/>
      <c r="B556" s="22"/>
      <c r="C556" s="23"/>
      <c r="D556" s="23"/>
      <c r="E556" s="23"/>
      <c r="F556" s="23"/>
      <c r="G556" s="23"/>
      <c r="H556" s="23"/>
      <c r="I556" s="23"/>
      <c r="J556" s="23"/>
      <c r="K556" s="23"/>
      <c r="L556" s="23"/>
      <c r="M556" s="23"/>
      <c r="N556" s="23"/>
      <c r="O556" s="23"/>
      <c r="P556" s="23"/>
      <c r="Q556" s="23"/>
      <c r="R556" s="23"/>
      <c r="S556" s="23"/>
    </row>
    <row r="557" spans="1:19" ht="15.75" customHeight="1" x14ac:dyDescent="0.25">
      <c r="A557" s="92"/>
      <c r="B557" s="22"/>
      <c r="C557" s="23"/>
      <c r="D557" s="23"/>
      <c r="E557" s="23"/>
      <c r="F557" s="23"/>
      <c r="G557" s="23"/>
      <c r="H557" s="23"/>
      <c r="I557" s="23"/>
      <c r="J557" s="23"/>
      <c r="K557" s="23"/>
      <c r="L557" s="23"/>
      <c r="M557" s="23"/>
      <c r="N557" s="23"/>
      <c r="O557" s="23"/>
      <c r="P557" s="23"/>
      <c r="Q557" s="23"/>
      <c r="R557" s="23"/>
      <c r="S557" s="23"/>
    </row>
    <row r="558" spans="1:19" ht="15.75" customHeight="1" x14ac:dyDescent="0.25">
      <c r="A558" s="92"/>
      <c r="B558" s="22"/>
      <c r="C558" s="23"/>
      <c r="D558" s="23"/>
      <c r="E558" s="23"/>
      <c r="F558" s="23"/>
      <c r="G558" s="23"/>
      <c r="H558" s="23"/>
      <c r="I558" s="23"/>
      <c r="J558" s="23"/>
      <c r="K558" s="23"/>
      <c r="L558" s="23"/>
      <c r="M558" s="23"/>
      <c r="N558" s="23"/>
      <c r="O558" s="23"/>
      <c r="P558" s="23"/>
      <c r="Q558" s="23"/>
      <c r="R558" s="23"/>
      <c r="S558" s="23"/>
    </row>
    <row r="559" spans="1:19" ht="15.75" customHeight="1" x14ac:dyDescent="0.25">
      <c r="A559" s="92"/>
      <c r="B559" s="22"/>
      <c r="C559" s="23"/>
      <c r="D559" s="23"/>
      <c r="E559" s="23"/>
      <c r="F559" s="23"/>
      <c r="G559" s="23"/>
      <c r="H559" s="23"/>
      <c r="I559" s="23"/>
      <c r="J559" s="23"/>
      <c r="K559" s="23"/>
      <c r="L559" s="23"/>
      <c r="M559" s="23"/>
      <c r="N559" s="23"/>
      <c r="O559" s="23"/>
      <c r="P559" s="23"/>
      <c r="Q559" s="23"/>
      <c r="R559" s="23"/>
      <c r="S559" s="23"/>
    </row>
    <row r="560" spans="1:19" ht="15.75" customHeight="1" x14ac:dyDescent="0.25">
      <c r="A560" s="92"/>
      <c r="B560" s="22"/>
      <c r="C560" s="23"/>
      <c r="D560" s="23"/>
      <c r="E560" s="23"/>
      <c r="F560" s="23"/>
      <c r="G560" s="23"/>
      <c r="H560" s="23"/>
      <c r="I560" s="23"/>
      <c r="J560" s="23"/>
      <c r="K560" s="23"/>
      <c r="L560" s="23"/>
      <c r="M560" s="23"/>
      <c r="N560" s="23"/>
      <c r="O560" s="23"/>
      <c r="P560" s="23"/>
      <c r="Q560" s="23"/>
      <c r="R560" s="23"/>
      <c r="S560" s="23"/>
    </row>
    <row r="561" spans="1:19" ht="15.75" customHeight="1" x14ac:dyDescent="0.25">
      <c r="A561" s="92"/>
      <c r="B561" s="22"/>
      <c r="C561" s="23"/>
      <c r="D561" s="23"/>
      <c r="E561" s="23"/>
      <c r="F561" s="23"/>
      <c r="G561" s="23"/>
      <c r="H561" s="23"/>
      <c r="I561" s="23"/>
      <c r="J561" s="23"/>
      <c r="K561" s="23"/>
      <c r="L561" s="23"/>
      <c r="M561" s="23"/>
      <c r="N561" s="23"/>
      <c r="O561" s="23"/>
      <c r="P561" s="23"/>
      <c r="Q561" s="23"/>
      <c r="R561" s="23"/>
      <c r="S561" s="23"/>
    </row>
    <row r="562" spans="1:19" ht="15.75" customHeight="1" x14ac:dyDescent="0.25">
      <c r="A562" s="92"/>
      <c r="B562" s="22"/>
      <c r="C562" s="23"/>
      <c r="D562" s="23"/>
      <c r="E562" s="23"/>
      <c r="F562" s="23"/>
      <c r="G562" s="23"/>
      <c r="H562" s="23"/>
      <c r="I562" s="23"/>
      <c r="J562" s="23"/>
      <c r="K562" s="23"/>
      <c r="L562" s="23"/>
      <c r="M562" s="23"/>
      <c r="N562" s="23"/>
      <c r="O562" s="23"/>
      <c r="P562" s="23"/>
      <c r="Q562" s="23"/>
      <c r="R562" s="23"/>
      <c r="S562" s="23"/>
    </row>
    <row r="563" spans="1:19" ht="15.75" customHeight="1" x14ac:dyDescent="0.25">
      <c r="A563" s="92"/>
      <c r="B563" s="22"/>
      <c r="C563" s="23"/>
      <c r="D563" s="23"/>
      <c r="E563" s="23"/>
      <c r="F563" s="23"/>
      <c r="G563" s="23"/>
      <c r="H563" s="23"/>
      <c r="I563" s="23"/>
      <c r="J563" s="23"/>
      <c r="K563" s="23"/>
      <c r="L563" s="23"/>
      <c r="M563" s="23"/>
      <c r="N563" s="23"/>
      <c r="O563" s="23"/>
      <c r="P563" s="23"/>
      <c r="Q563" s="23"/>
      <c r="R563" s="23"/>
      <c r="S563" s="23"/>
    </row>
    <row r="564" spans="1:19" ht="15.75" customHeight="1" x14ac:dyDescent="0.25">
      <c r="A564" s="92"/>
      <c r="B564" s="22"/>
      <c r="C564" s="23"/>
      <c r="D564" s="23"/>
      <c r="E564" s="23"/>
      <c r="F564" s="23"/>
      <c r="G564" s="23"/>
      <c r="H564" s="23"/>
      <c r="I564" s="23"/>
      <c r="J564" s="23"/>
      <c r="K564" s="23"/>
      <c r="L564" s="23"/>
      <c r="M564" s="23"/>
      <c r="N564" s="23"/>
      <c r="O564" s="23"/>
      <c r="P564" s="23"/>
      <c r="Q564" s="23"/>
      <c r="R564" s="23"/>
      <c r="S564" s="23"/>
    </row>
    <row r="565" spans="1:19" ht="15.75" customHeight="1" x14ac:dyDescent="0.25">
      <c r="A565" s="92"/>
      <c r="B565" s="22"/>
      <c r="C565" s="23"/>
      <c r="D565" s="23"/>
      <c r="E565" s="23"/>
      <c r="F565" s="23"/>
      <c r="G565" s="23"/>
      <c r="H565" s="23"/>
      <c r="I565" s="23"/>
      <c r="J565" s="23"/>
      <c r="K565" s="23"/>
      <c r="L565" s="23"/>
      <c r="M565" s="23"/>
      <c r="N565" s="23"/>
      <c r="O565" s="23"/>
      <c r="P565" s="23"/>
      <c r="Q565" s="23"/>
      <c r="R565" s="23"/>
      <c r="S565" s="23"/>
    </row>
    <row r="566" spans="1:19" ht="15.75" customHeight="1" x14ac:dyDescent="0.25">
      <c r="A566" s="92"/>
      <c r="B566" s="22"/>
      <c r="C566" s="23"/>
      <c r="D566" s="23"/>
      <c r="E566" s="23"/>
      <c r="F566" s="23"/>
      <c r="G566" s="23"/>
      <c r="H566" s="23"/>
      <c r="I566" s="23"/>
      <c r="J566" s="23"/>
      <c r="K566" s="23"/>
      <c r="L566" s="23"/>
      <c r="M566" s="23"/>
      <c r="N566" s="23"/>
      <c r="O566" s="23"/>
      <c r="P566" s="23"/>
      <c r="Q566" s="23"/>
      <c r="R566" s="23"/>
      <c r="S566" s="23"/>
    </row>
    <row r="567" spans="1:19" ht="15.75" customHeight="1" x14ac:dyDescent="0.25">
      <c r="A567" s="92"/>
      <c r="B567" s="22"/>
      <c r="C567" s="23"/>
      <c r="D567" s="23"/>
      <c r="E567" s="23"/>
      <c r="F567" s="23"/>
      <c r="G567" s="23"/>
      <c r="H567" s="23"/>
      <c r="I567" s="23"/>
      <c r="J567" s="23"/>
      <c r="K567" s="23"/>
      <c r="L567" s="23"/>
      <c r="M567" s="23"/>
      <c r="N567" s="23"/>
      <c r="O567" s="23"/>
      <c r="P567" s="23"/>
      <c r="Q567" s="23"/>
      <c r="R567" s="23"/>
      <c r="S567" s="23"/>
    </row>
    <row r="568" spans="1:19" ht="15.75" customHeight="1" x14ac:dyDescent="0.25">
      <c r="A568" s="92"/>
      <c r="B568" s="22"/>
      <c r="C568" s="23"/>
      <c r="D568" s="23"/>
      <c r="E568" s="23"/>
      <c r="F568" s="23"/>
      <c r="G568" s="23"/>
      <c r="H568" s="23"/>
      <c r="I568" s="23"/>
      <c r="J568" s="23"/>
      <c r="K568" s="23"/>
      <c r="L568" s="23"/>
      <c r="M568" s="23"/>
      <c r="N568" s="23"/>
      <c r="O568" s="23"/>
      <c r="P568" s="23"/>
      <c r="Q568" s="23"/>
      <c r="R568" s="23"/>
      <c r="S568" s="23"/>
    </row>
    <row r="569" spans="1:19" ht="15.75" customHeight="1" x14ac:dyDescent="0.25">
      <c r="A569" s="92"/>
      <c r="B569" s="22"/>
      <c r="C569" s="23"/>
      <c r="D569" s="23"/>
      <c r="E569" s="23"/>
      <c r="F569" s="23"/>
      <c r="G569" s="23"/>
      <c r="H569" s="23"/>
      <c r="I569" s="23"/>
      <c r="J569" s="23"/>
      <c r="K569" s="23"/>
      <c r="L569" s="23"/>
      <c r="M569" s="23"/>
      <c r="N569" s="23"/>
      <c r="O569" s="23"/>
      <c r="P569" s="23"/>
      <c r="Q569" s="23"/>
      <c r="R569" s="23"/>
      <c r="S569" s="23"/>
    </row>
    <row r="570" spans="1:19" ht="15.75" customHeight="1" x14ac:dyDescent="0.25">
      <c r="A570" s="92"/>
      <c r="B570" s="22"/>
      <c r="C570" s="23"/>
      <c r="D570" s="23"/>
      <c r="E570" s="23"/>
      <c r="F570" s="23"/>
      <c r="G570" s="23"/>
      <c r="H570" s="23"/>
      <c r="I570" s="23"/>
      <c r="J570" s="23"/>
      <c r="K570" s="23"/>
      <c r="L570" s="23"/>
      <c r="M570" s="23"/>
      <c r="N570" s="23"/>
      <c r="O570" s="23"/>
      <c r="P570" s="23"/>
      <c r="Q570" s="23"/>
      <c r="R570" s="23"/>
      <c r="S570" s="23"/>
    </row>
    <row r="571" spans="1:19" ht="15.75" customHeight="1" x14ac:dyDescent="0.25">
      <c r="A571" s="92"/>
      <c r="B571" s="22"/>
      <c r="C571" s="23"/>
      <c r="D571" s="23"/>
      <c r="E571" s="23"/>
      <c r="F571" s="23"/>
      <c r="G571" s="23"/>
      <c r="H571" s="23"/>
      <c r="I571" s="23"/>
      <c r="J571" s="23"/>
      <c r="K571" s="23"/>
      <c r="L571" s="23"/>
      <c r="M571" s="23"/>
      <c r="N571" s="23"/>
      <c r="O571" s="23"/>
      <c r="P571" s="23"/>
      <c r="Q571" s="23"/>
      <c r="R571" s="23"/>
      <c r="S571" s="23"/>
    </row>
    <row r="572" spans="1:19" ht="15.75" customHeight="1" x14ac:dyDescent="0.25">
      <c r="A572" s="92"/>
      <c r="B572" s="22"/>
      <c r="C572" s="23"/>
      <c r="D572" s="23"/>
      <c r="E572" s="23"/>
      <c r="F572" s="23"/>
      <c r="G572" s="23"/>
      <c r="H572" s="23"/>
      <c r="I572" s="23"/>
      <c r="J572" s="23"/>
      <c r="K572" s="23"/>
      <c r="L572" s="23"/>
      <c r="M572" s="23"/>
      <c r="N572" s="23"/>
      <c r="O572" s="23"/>
      <c r="P572" s="23"/>
      <c r="Q572" s="23"/>
      <c r="R572" s="23"/>
      <c r="S572" s="23"/>
    </row>
    <row r="573" spans="1:19" ht="15.75" customHeight="1" x14ac:dyDescent="0.25">
      <c r="A573" s="92"/>
      <c r="B573" s="22"/>
      <c r="C573" s="23"/>
      <c r="D573" s="23"/>
      <c r="E573" s="23"/>
      <c r="F573" s="23"/>
      <c r="G573" s="23"/>
      <c r="H573" s="23"/>
      <c r="I573" s="23"/>
      <c r="J573" s="23"/>
      <c r="K573" s="23"/>
      <c r="L573" s="23"/>
      <c r="M573" s="23"/>
      <c r="N573" s="23"/>
      <c r="O573" s="23"/>
      <c r="P573" s="23"/>
      <c r="Q573" s="23"/>
      <c r="R573" s="23"/>
      <c r="S573" s="23"/>
    </row>
    <row r="574" spans="1:19" ht="15.75" customHeight="1" x14ac:dyDescent="0.25">
      <c r="A574" s="92"/>
      <c r="B574" s="22"/>
      <c r="C574" s="23"/>
      <c r="D574" s="23"/>
      <c r="E574" s="23"/>
      <c r="F574" s="23"/>
      <c r="G574" s="23"/>
      <c r="H574" s="23"/>
      <c r="I574" s="23"/>
      <c r="J574" s="23"/>
      <c r="K574" s="23"/>
      <c r="L574" s="23"/>
      <c r="M574" s="23"/>
      <c r="N574" s="23"/>
      <c r="O574" s="23"/>
      <c r="P574" s="23"/>
      <c r="Q574" s="23"/>
      <c r="R574" s="23"/>
      <c r="S574" s="23"/>
    </row>
    <row r="575" spans="1:19" ht="15.75" customHeight="1" x14ac:dyDescent="0.25">
      <c r="A575" s="92"/>
      <c r="B575" s="22"/>
      <c r="C575" s="23"/>
      <c r="D575" s="23"/>
      <c r="E575" s="23"/>
      <c r="F575" s="23"/>
      <c r="G575" s="23"/>
      <c r="H575" s="23"/>
      <c r="I575" s="23"/>
      <c r="J575" s="23"/>
      <c r="K575" s="23"/>
      <c r="L575" s="23"/>
      <c r="M575" s="23"/>
      <c r="N575" s="23"/>
      <c r="O575" s="23"/>
      <c r="P575" s="23"/>
      <c r="Q575" s="23"/>
      <c r="R575" s="23"/>
      <c r="S575" s="23"/>
    </row>
    <row r="576" spans="1:19" ht="15.75" customHeight="1" x14ac:dyDescent="0.25">
      <c r="A576" s="92"/>
      <c r="B576" s="22"/>
      <c r="C576" s="23"/>
      <c r="D576" s="23"/>
      <c r="E576" s="23"/>
      <c r="F576" s="23"/>
      <c r="G576" s="23"/>
      <c r="H576" s="23"/>
      <c r="I576" s="23"/>
      <c r="J576" s="23"/>
      <c r="K576" s="23"/>
      <c r="L576" s="23"/>
      <c r="M576" s="23"/>
      <c r="N576" s="23"/>
      <c r="O576" s="23"/>
      <c r="P576" s="23"/>
      <c r="Q576" s="23"/>
      <c r="R576" s="23"/>
      <c r="S576" s="23"/>
    </row>
    <row r="577" spans="1:19" ht="15.75" customHeight="1" x14ac:dyDescent="0.25">
      <c r="A577" s="92"/>
      <c r="B577" s="22"/>
      <c r="C577" s="23"/>
      <c r="D577" s="23"/>
      <c r="E577" s="23"/>
      <c r="F577" s="23"/>
      <c r="G577" s="23"/>
      <c r="H577" s="23"/>
      <c r="I577" s="23"/>
      <c r="J577" s="23"/>
      <c r="K577" s="23"/>
      <c r="L577" s="23"/>
      <c r="M577" s="23"/>
      <c r="N577" s="23"/>
      <c r="O577" s="23"/>
      <c r="P577" s="23"/>
      <c r="Q577" s="23"/>
      <c r="R577" s="23"/>
      <c r="S577" s="23"/>
    </row>
    <row r="578" spans="1:19" ht="15.75" customHeight="1" x14ac:dyDescent="0.25">
      <c r="A578" s="92"/>
      <c r="B578" s="22"/>
      <c r="C578" s="23"/>
      <c r="D578" s="23"/>
      <c r="E578" s="23"/>
      <c r="F578" s="23"/>
      <c r="G578" s="23"/>
      <c r="H578" s="23"/>
      <c r="I578" s="23"/>
      <c r="J578" s="23"/>
      <c r="K578" s="23"/>
      <c r="L578" s="23"/>
      <c r="M578" s="23"/>
      <c r="N578" s="23"/>
      <c r="O578" s="23"/>
      <c r="P578" s="23"/>
      <c r="Q578" s="23"/>
      <c r="R578" s="23"/>
      <c r="S578" s="23"/>
    </row>
    <row r="579" spans="1:19" ht="15.75" customHeight="1" x14ac:dyDescent="0.25">
      <c r="A579" s="92"/>
      <c r="B579" s="22"/>
      <c r="C579" s="23"/>
      <c r="D579" s="23"/>
      <c r="E579" s="23"/>
      <c r="F579" s="23"/>
      <c r="G579" s="23"/>
      <c r="H579" s="23"/>
      <c r="I579" s="23"/>
      <c r="J579" s="23"/>
      <c r="K579" s="23"/>
      <c r="L579" s="23"/>
      <c r="M579" s="23"/>
      <c r="N579" s="23"/>
      <c r="O579" s="23"/>
      <c r="P579" s="23"/>
      <c r="Q579" s="23"/>
      <c r="R579" s="23"/>
      <c r="S579" s="23"/>
    </row>
    <row r="580" spans="1:19" ht="15.75" customHeight="1" x14ac:dyDescent="0.25">
      <c r="A580" s="92"/>
      <c r="B580" s="22"/>
      <c r="C580" s="23"/>
      <c r="D580" s="23"/>
      <c r="E580" s="23"/>
      <c r="F580" s="23"/>
      <c r="G580" s="23"/>
      <c r="H580" s="23"/>
      <c r="I580" s="23"/>
      <c r="J580" s="23"/>
      <c r="K580" s="23"/>
      <c r="L580" s="23"/>
      <c r="M580" s="23"/>
      <c r="N580" s="23"/>
      <c r="O580" s="23"/>
      <c r="P580" s="23"/>
      <c r="Q580" s="23"/>
      <c r="R580" s="23"/>
      <c r="S580" s="23"/>
    </row>
    <row r="581" spans="1:19" ht="15.75" customHeight="1" x14ac:dyDescent="0.25">
      <c r="A581" s="92"/>
      <c r="B581" s="22"/>
      <c r="C581" s="23"/>
      <c r="D581" s="23"/>
      <c r="E581" s="23"/>
      <c r="F581" s="23"/>
      <c r="G581" s="23"/>
      <c r="H581" s="23"/>
      <c r="I581" s="23"/>
      <c r="J581" s="23"/>
      <c r="K581" s="23"/>
      <c r="L581" s="23"/>
      <c r="M581" s="23"/>
      <c r="N581" s="23"/>
      <c r="O581" s="23"/>
      <c r="P581" s="23"/>
      <c r="Q581" s="23"/>
      <c r="R581" s="23"/>
      <c r="S581" s="23"/>
    </row>
    <row r="582" spans="1:19" ht="15.75" customHeight="1" x14ac:dyDescent="0.25">
      <c r="A582" s="92"/>
      <c r="B582" s="22"/>
      <c r="C582" s="23"/>
      <c r="D582" s="23"/>
      <c r="E582" s="23"/>
      <c r="F582" s="23"/>
      <c r="G582" s="23"/>
      <c r="H582" s="23"/>
      <c r="I582" s="23"/>
      <c r="J582" s="23"/>
      <c r="K582" s="23"/>
      <c r="L582" s="23"/>
      <c r="M582" s="23"/>
      <c r="N582" s="23"/>
      <c r="O582" s="23"/>
      <c r="P582" s="23"/>
      <c r="Q582" s="23"/>
      <c r="R582" s="23"/>
      <c r="S582" s="23"/>
    </row>
    <row r="583" spans="1:19" ht="15.75" customHeight="1" x14ac:dyDescent="0.25">
      <c r="A583" s="92"/>
      <c r="B583" s="22"/>
      <c r="C583" s="23"/>
      <c r="D583" s="23"/>
      <c r="E583" s="23"/>
      <c r="F583" s="23"/>
      <c r="G583" s="23"/>
      <c r="H583" s="23"/>
      <c r="I583" s="23"/>
      <c r="J583" s="23"/>
      <c r="K583" s="23"/>
      <c r="L583" s="23"/>
      <c r="M583" s="23"/>
      <c r="N583" s="23"/>
      <c r="O583" s="23"/>
      <c r="P583" s="23"/>
      <c r="Q583" s="23"/>
      <c r="R583" s="23"/>
      <c r="S583" s="23"/>
    </row>
    <row r="584" spans="1:19" ht="15.75" customHeight="1" x14ac:dyDescent="0.25">
      <c r="A584" s="92"/>
      <c r="B584" s="22"/>
      <c r="C584" s="23"/>
      <c r="D584" s="23"/>
      <c r="E584" s="23"/>
      <c r="F584" s="23"/>
      <c r="G584" s="23"/>
      <c r="H584" s="23"/>
      <c r="I584" s="23"/>
      <c r="J584" s="23"/>
      <c r="K584" s="23"/>
      <c r="L584" s="23"/>
      <c r="M584" s="23"/>
      <c r="N584" s="23"/>
      <c r="O584" s="23"/>
      <c r="P584" s="23"/>
      <c r="Q584" s="23"/>
      <c r="R584" s="23"/>
      <c r="S584" s="23"/>
    </row>
    <row r="585" spans="1:19" ht="15.75" customHeight="1" x14ac:dyDescent="0.25">
      <c r="A585" s="92"/>
      <c r="B585" s="22"/>
      <c r="C585" s="23"/>
      <c r="D585" s="23"/>
      <c r="E585" s="23"/>
      <c r="F585" s="23"/>
      <c r="G585" s="23"/>
      <c r="H585" s="23"/>
      <c r="I585" s="23"/>
      <c r="J585" s="23"/>
      <c r="K585" s="23"/>
      <c r="L585" s="23"/>
      <c r="M585" s="23"/>
      <c r="N585" s="23"/>
      <c r="O585" s="23"/>
      <c r="P585" s="23"/>
      <c r="Q585" s="23"/>
      <c r="R585" s="23"/>
      <c r="S585" s="23"/>
    </row>
    <row r="586" spans="1:19" ht="15.75" customHeight="1" x14ac:dyDescent="0.25">
      <c r="A586" s="92"/>
      <c r="B586" s="22"/>
      <c r="C586" s="23"/>
      <c r="D586" s="23"/>
      <c r="E586" s="23"/>
      <c r="F586" s="23"/>
      <c r="G586" s="23"/>
      <c r="H586" s="23"/>
      <c r="I586" s="23"/>
      <c r="J586" s="23"/>
      <c r="K586" s="23"/>
      <c r="L586" s="23"/>
      <c r="M586" s="23"/>
      <c r="N586" s="23"/>
      <c r="O586" s="23"/>
      <c r="P586" s="23"/>
      <c r="Q586" s="23"/>
      <c r="R586" s="23"/>
      <c r="S586" s="23"/>
    </row>
    <row r="587" spans="1:19" ht="15.75" customHeight="1" x14ac:dyDescent="0.25">
      <c r="A587" s="92"/>
      <c r="B587" s="22"/>
      <c r="C587" s="23"/>
      <c r="D587" s="23"/>
      <c r="E587" s="23"/>
      <c r="F587" s="23"/>
      <c r="G587" s="23"/>
      <c r="H587" s="23"/>
      <c r="I587" s="23"/>
      <c r="J587" s="23"/>
      <c r="K587" s="23"/>
      <c r="L587" s="23"/>
      <c r="M587" s="23"/>
      <c r="N587" s="23"/>
      <c r="O587" s="23"/>
      <c r="P587" s="23"/>
      <c r="Q587" s="23"/>
      <c r="R587" s="23"/>
      <c r="S587" s="23"/>
    </row>
    <row r="588" spans="1:19" ht="15.75" customHeight="1" x14ac:dyDescent="0.25">
      <c r="A588" s="92"/>
      <c r="B588" s="22"/>
      <c r="C588" s="23"/>
      <c r="D588" s="23"/>
      <c r="E588" s="23"/>
      <c r="F588" s="23"/>
      <c r="G588" s="23"/>
      <c r="H588" s="23"/>
      <c r="I588" s="23"/>
      <c r="J588" s="23"/>
      <c r="K588" s="23"/>
      <c r="L588" s="23"/>
      <c r="M588" s="23"/>
      <c r="N588" s="23"/>
      <c r="O588" s="23"/>
      <c r="P588" s="23"/>
      <c r="Q588" s="23"/>
      <c r="R588" s="23"/>
      <c r="S588" s="23"/>
    </row>
    <row r="589" spans="1:19" ht="15.75" customHeight="1" x14ac:dyDescent="0.25">
      <c r="A589" s="92"/>
      <c r="B589" s="22"/>
      <c r="C589" s="23"/>
      <c r="D589" s="23"/>
      <c r="E589" s="23"/>
      <c r="F589" s="23"/>
      <c r="G589" s="23"/>
      <c r="H589" s="23"/>
      <c r="I589" s="23"/>
      <c r="J589" s="23"/>
      <c r="K589" s="23"/>
      <c r="L589" s="23"/>
      <c r="M589" s="23"/>
      <c r="N589" s="23"/>
      <c r="O589" s="23"/>
      <c r="P589" s="23"/>
      <c r="Q589" s="23"/>
      <c r="R589" s="23"/>
      <c r="S589" s="23"/>
    </row>
    <row r="590" spans="1:19" ht="15.75" customHeight="1" x14ac:dyDescent="0.25">
      <c r="A590" s="92"/>
      <c r="B590" s="22"/>
      <c r="C590" s="23"/>
      <c r="D590" s="23"/>
      <c r="E590" s="23"/>
      <c r="F590" s="23"/>
      <c r="G590" s="23"/>
      <c r="H590" s="23"/>
      <c r="I590" s="23"/>
      <c r="J590" s="23"/>
      <c r="K590" s="23"/>
      <c r="L590" s="23"/>
      <c r="M590" s="23"/>
      <c r="N590" s="23"/>
      <c r="O590" s="23"/>
      <c r="P590" s="23"/>
      <c r="Q590" s="23"/>
      <c r="R590" s="23"/>
      <c r="S590" s="23"/>
    </row>
    <row r="591" spans="1:19" ht="15.75" customHeight="1" x14ac:dyDescent="0.25">
      <c r="A591" s="92"/>
      <c r="B591" s="22"/>
      <c r="C591" s="23"/>
      <c r="D591" s="23"/>
      <c r="E591" s="23"/>
      <c r="F591" s="23"/>
      <c r="G591" s="23"/>
      <c r="H591" s="23"/>
      <c r="I591" s="23"/>
      <c r="J591" s="23"/>
      <c r="K591" s="23"/>
      <c r="L591" s="23"/>
      <c r="M591" s="23"/>
      <c r="N591" s="23"/>
      <c r="O591" s="23"/>
      <c r="P591" s="23"/>
      <c r="Q591" s="23"/>
      <c r="R591" s="23"/>
      <c r="S591" s="23"/>
    </row>
    <row r="592" spans="1:19" ht="15.75" customHeight="1" x14ac:dyDescent="0.25">
      <c r="A592" s="92"/>
      <c r="B592" s="22"/>
      <c r="C592" s="23"/>
      <c r="D592" s="23"/>
      <c r="E592" s="23"/>
      <c r="F592" s="23"/>
      <c r="G592" s="23"/>
      <c r="H592" s="23"/>
      <c r="I592" s="23"/>
      <c r="J592" s="23"/>
      <c r="K592" s="23"/>
      <c r="L592" s="23"/>
      <c r="M592" s="23"/>
      <c r="N592" s="23"/>
      <c r="O592" s="23"/>
      <c r="P592" s="23"/>
      <c r="Q592" s="23"/>
      <c r="R592" s="23"/>
      <c r="S592" s="23"/>
    </row>
    <row r="593" spans="1:19" ht="15.75" customHeight="1" x14ac:dyDescent="0.25">
      <c r="A593" s="92"/>
      <c r="B593" s="22"/>
      <c r="C593" s="23"/>
      <c r="D593" s="23"/>
      <c r="E593" s="23"/>
      <c r="F593" s="23"/>
      <c r="G593" s="23"/>
      <c r="H593" s="23"/>
      <c r="I593" s="23"/>
      <c r="J593" s="23"/>
      <c r="K593" s="23"/>
      <c r="L593" s="23"/>
      <c r="M593" s="23"/>
      <c r="N593" s="23"/>
      <c r="O593" s="23"/>
      <c r="P593" s="23"/>
      <c r="Q593" s="23"/>
      <c r="R593" s="23"/>
      <c r="S593" s="23"/>
    </row>
    <row r="594" spans="1:19" ht="15.75" customHeight="1" x14ac:dyDescent="0.25">
      <c r="A594" s="92"/>
      <c r="B594" s="22"/>
      <c r="C594" s="23"/>
      <c r="D594" s="23"/>
      <c r="E594" s="23"/>
      <c r="F594" s="23"/>
      <c r="G594" s="23"/>
      <c r="H594" s="23"/>
      <c r="I594" s="23"/>
      <c r="J594" s="23"/>
      <c r="K594" s="23"/>
      <c r="L594" s="23"/>
      <c r="M594" s="23"/>
      <c r="N594" s="23"/>
      <c r="O594" s="23"/>
      <c r="P594" s="23"/>
      <c r="Q594" s="23"/>
      <c r="R594" s="23"/>
      <c r="S594" s="23"/>
    </row>
    <row r="595" spans="1:19" ht="15.75" customHeight="1" x14ac:dyDescent="0.25">
      <c r="A595" s="92"/>
      <c r="B595" s="22"/>
      <c r="C595" s="23"/>
      <c r="D595" s="23"/>
      <c r="E595" s="23"/>
      <c r="F595" s="23"/>
      <c r="G595" s="23"/>
      <c r="H595" s="23"/>
      <c r="I595" s="23"/>
      <c r="J595" s="23"/>
      <c r="K595" s="23"/>
      <c r="L595" s="23"/>
      <c r="M595" s="23"/>
      <c r="N595" s="23"/>
      <c r="O595" s="23"/>
      <c r="P595" s="23"/>
      <c r="Q595" s="23"/>
      <c r="R595" s="23"/>
      <c r="S595" s="23"/>
    </row>
    <row r="596" spans="1:19" ht="15.75" customHeight="1" x14ac:dyDescent="0.25">
      <c r="A596" s="92"/>
      <c r="B596" s="22"/>
      <c r="C596" s="23"/>
      <c r="D596" s="23"/>
      <c r="E596" s="23"/>
      <c r="F596" s="23"/>
      <c r="G596" s="23"/>
      <c r="H596" s="23"/>
      <c r="I596" s="23"/>
      <c r="J596" s="23"/>
      <c r="K596" s="23"/>
      <c r="L596" s="23"/>
      <c r="M596" s="23"/>
      <c r="N596" s="23"/>
      <c r="O596" s="23"/>
      <c r="P596" s="23"/>
      <c r="Q596" s="23"/>
      <c r="R596" s="23"/>
      <c r="S596" s="23"/>
    </row>
    <row r="597" spans="1:19" ht="15.75" customHeight="1" x14ac:dyDescent="0.25">
      <c r="A597" s="92"/>
      <c r="B597" s="22"/>
      <c r="C597" s="23"/>
      <c r="D597" s="23"/>
      <c r="E597" s="23"/>
      <c r="F597" s="23"/>
      <c r="G597" s="23"/>
      <c r="H597" s="23"/>
      <c r="I597" s="23"/>
      <c r="J597" s="23"/>
      <c r="K597" s="23"/>
      <c r="L597" s="23"/>
      <c r="M597" s="23"/>
      <c r="N597" s="23"/>
      <c r="O597" s="23"/>
      <c r="P597" s="23"/>
      <c r="Q597" s="23"/>
      <c r="R597" s="23"/>
      <c r="S597" s="23"/>
    </row>
    <row r="598" spans="1:19" ht="15.75" customHeight="1" x14ac:dyDescent="0.25">
      <c r="A598" s="92"/>
      <c r="B598" s="22"/>
      <c r="C598" s="23"/>
      <c r="D598" s="23"/>
      <c r="E598" s="23"/>
      <c r="F598" s="23"/>
      <c r="G598" s="23"/>
      <c r="H598" s="23"/>
      <c r="I598" s="23"/>
      <c r="J598" s="23"/>
      <c r="K598" s="23"/>
      <c r="L598" s="23"/>
      <c r="M598" s="23"/>
      <c r="N598" s="23"/>
      <c r="O598" s="23"/>
      <c r="P598" s="23"/>
      <c r="Q598" s="23"/>
      <c r="R598" s="23"/>
      <c r="S598" s="23"/>
    </row>
    <row r="599" spans="1:19" ht="15.75" customHeight="1" x14ac:dyDescent="0.25">
      <c r="A599" s="92"/>
      <c r="B599" s="22"/>
      <c r="C599" s="23"/>
      <c r="D599" s="23"/>
      <c r="E599" s="23"/>
      <c r="F599" s="23"/>
      <c r="G599" s="23"/>
      <c r="H599" s="23"/>
      <c r="I599" s="23"/>
      <c r="J599" s="23"/>
      <c r="K599" s="23"/>
      <c r="L599" s="23"/>
      <c r="M599" s="23"/>
      <c r="N599" s="23"/>
      <c r="O599" s="23"/>
      <c r="P599" s="23"/>
      <c r="Q599" s="23"/>
      <c r="R599" s="23"/>
      <c r="S599" s="23"/>
    </row>
    <row r="600" spans="1:19" ht="15.75" customHeight="1" x14ac:dyDescent="0.25">
      <c r="A600" s="92"/>
      <c r="B600" s="22"/>
      <c r="C600" s="23"/>
      <c r="D600" s="23"/>
      <c r="E600" s="23"/>
      <c r="F600" s="23"/>
      <c r="G600" s="23"/>
      <c r="H600" s="23"/>
      <c r="I600" s="23"/>
      <c r="J600" s="23"/>
      <c r="K600" s="23"/>
      <c r="L600" s="23"/>
      <c r="M600" s="23"/>
      <c r="N600" s="23"/>
      <c r="O600" s="23"/>
      <c r="P600" s="23"/>
      <c r="Q600" s="23"/>
      <c r="R600" s="23"/>
      <c r="S600" s="23"/>
    </row>
    <row r="601" spans="1:19" ht="15.75" customHeight="1" x14ac:dyDescent="0.25">
      <c r="A601" s="92"/>
      <c r="B601" s="22"/>
      <c r="C601" s="23"/>
      <c r="D601" s="23"/>
      <c r="E601" s="23"/>
      <c r="F601" s="23"/>
      <c r="G601" s="23"/>
      <c r="H601" s="23"/>
      <c r="I601" s="23"/>
      <c r="J601" s="23"/>
      <c r="K601" s="23"/>
      <c r="L601" s="23"/>
      <c r="M601" s="23"/>
      <c r="N601" s="23"/>
      <c r="O601" s="23"/>
      <c r="P601" s="23"/>
      <c r="Q601" s="23"/>
      <c r="R601" s="23"/>
      <c r="S601" s="23"/>
    </row>
    <row r="602" spans="1:19" ht="15.75" customHeight="1" x14ac:dyDescent="0.25">
      <c r="A602" s="92"/>
      <c r="B602" s="22"/>
      <c r="C602" s="23"/>
      <c r="D602" s="23"/>
      <c r="E602" s="23"/>
      <c r="F602" s="23"/>
      <c r="G602" s="23"/>
      <c r="H602" s="23"/>
      <c r="I602" s="23"/>
      <c r="J602" s="23"/>
      <c r="K602" s="23"/>
      <c r="L602" s="23"/>
      <c r="M602" s="23"/>
      <c r="N602" s="23"/>
      <c r="O602" s="23"/>
      <c r="P602" s="23"/>
      <c r="Q602" s="23"/>
      <c r="R602" s="23"/>
      <c r="S602" s="23"/>
    </row>
    <row r="603" spans="1:19" ht="15.75" customHeight="1" x14ac:dyDescent="0.25">
      <c r="A603" s="92"/>
      <c r="B603" s="22"/>
      <c r="C603" s="23"/>
      <c r="D603" s="23"/>
      <c r="E603" s="23"/>
      <c r="F603" s="23"/>
      <c r="G603" s="23"/>
      <c r="H603" s="23"/>
      <c r="I603" s="23"/>
      <c r="J603" s="23"/>
      <c r="K603" s="23"/>
      <c r="L603" s="23"/>
      <c r="M603" s="23"/>
      <c r="N603" s="23"/>
      <c r="O603" s="23"/>
      <c r="P603" s="23"/>
      <c r="Q603" s="23"/>
      <c r="R603" s="23"/>
      <c r="S603" s="23"/>
    </row>
    <row r="604" spans="1:19" ht="15.75" customHeight="1" x14ac:dyDescent="0.25">
      <c r="A604" s="92"/>
      <c r="B604" s="22"/>
      <c r="C604" s="23"/>
      <c r="D604" s="23"/>
      <c r="E604" s="23"/>
      <c r="F604" s="23"/>
      <c r="G604" s="23"/>
      <c r="H604" s="23"/>
      <c r="I604" s="23"/>
      <c r="J604" s="23"/>
      <c r="K604" s="23"/>
      <c r="L604" s="23"/>
      <c r="M604" s="23"/>
      <c r="N604" s="23"/>
      <c r="O604" s="23"/>
      <c r="P604" s="23"/>
      <c r="Q604" s="23"/>
      <c r="R604" s="23"/>
      <c r="S604" s="23"/>
    </row>
    <row r="605" spans="1:19" ht="15.75" customHeight="1" x14ac:dyDescent="0.25">
      <c r="A605" s="92"/>
      <c r="B605" s="22"/>
      <c r="C605" s="23"/>
      <c r="D605" s="23"/>
      <c r="E605" s="23"/>
      <c r="F605" s="23"/>
      <c r="G605" s="23"/>
      <c r="H605" s="23"/>
      <c r="I605" s="23"/>
      <c r="J605" s="23"/>
      <c r="K605" s="23"/>
      <c r="L605" s="23"/>
      <c r="M605" s="23"/>
      <c r="N605" s="23"/>
      <c r="O605" s="23"/>
      <c r="P605" s="23"/>
      <c r="Q605" s="23"/>
      <c r="R605" s="23"/>
      <c r="S605" s="23"/>
    </row>
    <row r="606" spans="1:19" ht="15.75" customHeight="1" x14ac:dyDescent="0.25">
      <c r="A606" s="92"/>
      <c r="B606" s="22"/>
      <c r="C606" s="23"/>
      <c r="D606" s="23"/>
      <c r="E606" s="23"/>
      <c r="F606" s="23"/>
      <c r="G606" s="23"/>
      <c r="H606" s="23"/>
      <c r="I606" s="23"/>
      <c r="J606" s="23"/>
      <c r="K606" s="23"/>
      <c r="L606" s="23"/>
      <c r="M606" s="23"/>
      <c r="N606" s="23"/>
      <c r="O606" s="23"/>
      <c r="P606" s="23"/>
      <c r="Q606" s="23"/>
      <c r="R606" s="23"/>
      <c r="S606" s="23"/>
    </row>
    <row r="607" spans="1:19" ht="15.75" customHeight="1" x14ac:dyDescent="0.25">
      <c r="A607" s="92"/>
      <c r="B607" s="22"/>
      <c r="C607" s="23"/>
      <c r="D607" s="23"/>
      <c r="E607" s="23"/>
      <c r="F607" s="23"/>
      <c r="G607" s="23"/>
      <c r="H607" s="23"/>
      <c r="I607" s="23"/>
      <c r="J607" s="23"/>
      <c r="K607" s="23"/>
      <c r="L607" s="23"/>
      <c r="M607" s="23"/>
      <c r="N607" s="23"/>
      <c r="O607" s="23"/>
      <c r="P607" s="23"/>
      <c r="Q607" s="23"/>
      <c r="R607" s="23"/>
      <c r="S607" s="23"/>
    </row>
    <row r="608" spans="1:19" ht="15.75" customHeight="1" x14ac:dyDescent="0.25">
      <c r="A608" s="92"/>
      <c r="B608" s="22"/>
      <c r="C608" s="23"/>
      <c r="D608" s="23"/>
      <c r="E608" s="23"/>
      <c r="F608" s="23"/>
      <c r="G608" s="23"/>
      <c r="H608" s="23"/>
      <c r="I608" s="23"/>
      <c r="J608" s="23"/>
      <c r="K608" s="23"/>
      <c r="L608" s="23"/>
      <c r="M608" s="23"/>
      <c r="N608" s="23"/>
      <c r="O608" s="23"/>
      <c r="P608" s="23"/>
      <c r="Q608" s="23"/>
      <c r="R608" s="23"/>
      <c r="S608" s="23"/>
    </row>
    <row r="609" spans="1:19" ht="15.75" customHeight="1" x14ac:dyDescent="0.25">
      <c r="A609" s="92"/>
      <c r="B609" s="22"/>
      <c r="C609" s="23"/>
      <c r="D609" s="23"/>
      <c r="E609" s="23"/>
      <c r="F609" s="23"/>
      <c r="G609" s="23"/>
      <c r="H609" s="23"/>
      <c r="I609" s="23"/>
      <c r="J609" s="23"/>
      <c r="K609" s="23"/>
      <c r="L609" s="23"/>
      <c r="M609" s="23"/>
      <c r="N609" s="23"/>
      <c r="O609" s="23"/>
      <c r="P609" s="23"/>
      <c r="Q609" s="23"/>
      <c r="R609" s="23"/>
      <c r="S609" s="23"/>
    </row>
    <row r="610" spans="1:19" ht="15.75" customHeight="1" x14ac:dyDescent="0.25">
      <c r="A610" s="92"/>
      <c r="B610" s="22"/>
      <c r="C610" s="23"/>
      <c r="D610" s="23"/>
      <c r="E610" s="23"/>
      <c r="F610" s="23"/>
      <c r="G610" s="23"/>
      <c r="H610" s="23"/>
      <c r="I610" s="23"/>
      <c r="J610" s="23"/>
      <c r="K610" s="23"/>
      <c r="L610" s="23"/>
      <c r="M610" s="23"/>
      <c r="N610" s="23"/>
      <c r="O610" s="23"/>
      <c r="P610" s="23"/>
      <c r="Q610" s="23"/>
      <c r="R610" s="23"/>
      <c r="S610" s="23"/>
    </row>
    <row r="611" spans="1:19" ht="15.75" customHeight="1" x14ac:dyDescent="0.25">
      <c r="A611" s="92"/>
      <c r="B611" s="22"/>
      <c r="C611" s="23"/>
      <c r="D611" s="23"/>
      <c r="E611" s="23"/>
      <c r="F611" s="23"/>
      <c r="G611" s="23"/>
      <c r="H611" s="23"/>
      <c r="I611" s="23"/>
      <c r="J611" s="23"/>
      <c r="K611" s="23"/>
      <c r="L611" s="23"/>
      <c r="M611" s="23"/>
      <c r="N611" s="23"/>
      <c r="O611" s="23"/>
      <c r="P611" s="23"/>
      <c r="Q611" s="23"/>
      <c r="R611" s="23"/>
      <c r="S611" s="23"/>
    </row>
    <row r="612" spans="1:19" ht="15.75" customHeight="1" x14ac:dyDescent="0.25">
      <c r="A612" s="92"/>
      <c r="B612" s="22"/>
      <c r="C612" s="23"/>
      <c r="D612" s="23"/>
      <c r="E612" s="23"/>
      <c r="F612" s="23"/>
      <c r="G612" s="23"/>
      <c r="H612" s="23"/>
      <c r="I612" s="23"/>
      <c r="J612" s="23"/>
      <c r="K612" s="23"/>
      <c r="L612" s="23"/>
      <c r="M612" s="23"/>
      <c r="N612" s="23"/>
      <c r="O612" s="23"/>
      <c r="P612" s="23"/>
      <c r="Q612" s="23"/>
      <c r="R612" s="23"/>
      <c r="S612" s="23"/>
    </row>
    <row r="613" spans="1:19" ht="15.75" customHeight="1" x14ac:dyDescent="0.25">
      <c r="A613" s="92"/>
      <c r="B613" s="22"/>
      <c r="C613" s="23"/>
      <c r="D613" s="23"/>
      <c r="E613" s="23"/>
      <c r="F613" s="23"/>
      <c r="G613" s="23"/>
      <c r="H613" s="23"/>
      <c r="I613" s="23"/>
      <c r="J613" s="23"/>
      <c r="K613" s="23"/>
      <c r="L613" s="23"/>
      <c r="M613" s="23"/>
      <c r="N613" s="23"/>
      <c r="O613" s="23"/>
      <c r="P613" s="23"/>
      <c r="Q613" s="23"/>
      <c r="R613" s="23"/>
      <c r="S613" s="23"/>
    </row>
    <row r="614" spans="1:19" ht="15.75" customHeight="1" x14ac:dyDescent="0.25">
      <c r="A614" s="92"/>
      <c r="B614" s="22"/>
      <c r="C614" s="23"/>
      <c r="D614" s="23"/>
      <c r="E614" s="23"/>
      <c r="F614" s="23"/>
      <c r="G614" s="23"/>
      <c r="H614" s="23"/>
      <c r="I614" s="23"/>
      <c r="J614" s="23"/>
      <c r="K614" s="23"/>
      <c r="L614" s="23"/>
      <c r="M614" s="23"/>
      <c r="N614" s="23"/>
      <c r="O614" s="23"/>
      <c r="P614" s="23"/>
      <c r="Q614" s="23"/>
      <c r="R614" s="23"/>
      <c r="S614" s="23"/>
    </row>
    <row r="615" spans="1:19" ht="15.75" customHeight="1" x14ac:dyDescent="0.25">
      <c r="A615" s="92"/>
      <c r="B615" s="22"/>
      <c r="C615" s="23"/>
      <c r="D615" s="23"/>
      <c r="E615" s="23"/>
      <c r="F615" s="23"/>
      <c r="G615" s="23"/>
      <c r="H615" s="23"/>
      <c r="I615" s="23"/>
      <c r="J615" s="23"/>
      <c r="K615" s="23"/>
      <c r="L615" s="23"/>
      <c r="M615" s="23"/>
      <c r="N615" s="23"/>
      <c r="O615" s="23"/>
      <c r="P615" s="23"/>
      <c r="Q615" s="23"/>
      <c r="R615" s="23"/>
      <c r="S615" s="23"/>
    </row>
    <row r="616" spans="1:19" ht="15.75" customHeight="1" x14ac:dyDescent="0.25">
      <c r="A616" s="92"/>
      <c r="B616" s="22"/>
      <c r="C616" s="23"/>
      <c r="D616" s="23"/>
      <c r="E616" s="23"/>
      <c r="F616" s="23"/>
      <c r="G616" s="23"/>
      <c r="H616" s="23"/>
      <c r="I616" s="23"/>
      <c r="J616" s="23"/>
      <c r="K616" s="23"/>
      <c r="L616" s="23"/>
      <c r="M616" s="23"/>
      <c r="N616" s="23"/>
      <c r="O616" s="23"/>
      <c r="P616" s="23"/>
      <c r="Q616" s="23"/>
      <c r="R616" s="23"/>
      <c r="S616" s="23"/>
    </row>
    <row r="617" spans="1:19" ht="15.75" customHeight="1" x14ac:dyDescent="0.25">
      <c r="A617" s="92"/>
      <c r="B617" s="22"/>
      <c r="C617" s="23"/>
      <c r="D617" s="23"/>
      <c r="E617" s="23"/>
      <c r="F617" s="23"/>
      <c r="G617" s="23"/>
      <c r="H617" s="23"/>
      <c r="I617" s="23"/>
      <c r="J617" s="23"/>
      <c r="K617" s="23"/>
      <c r="L617" s="23"/>
      <c r="M617" s="23"/>
      <c r="N617" s="23"/>
      <c r="O617" s="23"/>
      <c r="P617" s="23"/>
      <c r="Q617" s="23"/>
      <c r="R617" s="23"/>
      <c r="S617" s="23"/>
    </row>
    <row r="618" spans="1:19" ht="15.75" customHeight="1" x14ac:dyDescent="0.25">
      <c r="A618" s="92"/>
      <c r="B618" s="22"/>
      <c r="C618" s="23"/>
      <c r="D618" s="23"/>
      <c r="E618" s="23"/>
      <c r="F618" s="23"/>
      <c r="G618" s="23"/>
      <c r="H618" s="23"/>
      <c r="I618" s="23"/>
      <c r="J618" s="23"/>
      <c r="K618" s="23"/>
      <c r="L618" s="23"/>
      <c r="M618" s="23"/>
      <c r="N618" s="23"/>
      <c r="O618" s="23"/>
      <c r="P618" s="23"/>
      <c r="Q618" s="23"/>
      <c r="R618" s="23"/>
      <c r="S618" s="23"/>
    </row>
    <row r="619" spans="1:19" ht="15.75" customHeight="1" x14ac:dyDescent="0.25">
      <c r="A619" s="92"/>
      <c r="B619" s="22"/>
      <c r="C619" s="23"/>
      <c r="D619" s="23"/>
      <c r="E619" s="23"/>
      <c r="F619" s="23"/>
      <c r="G619" s="23"/>
      <c r="H619" s="23"/>
      <c r="I619" s="23"/>
      <c r="J619" s="23"/>
      <c r="K619" s="23"/>
      <c r="L619" s="23"/>
      <c r="M619" s="23"/>
      <c r="N619" s="23"/>
      <c r="O619" s="23"/>
      <c r="P619" s="23"/>
      <c r="Q619" s="23"/>
      <c r="R619" s="23"/>
      <c r="S619" s="23"/>
    </row>
    <row r="620" spans="1:19" ht="15.75" customHeight="1" x14ac:dyDescent="0.25">
      <c r="A620" s="92"/>
      <c r="B620" s="22"/>
      <c r="C620" s="23"/>
      <c r="D620" s="23"/>
      <c r="E620" s="23"/>
      <c r="F620" s="23"/>
      <c r="G620" s="23"/>
      <c r="H620" s="23"/>
      <c r="I620" s="23"/>
      <c r="J620" s="23"/>
      <c r="K620" s="23"/>
      <c r="L620" s="23"/>
      <c r="M620" s="23"/>
      <c r="N620" s="23"/>
      <c r="O620" s="23"/>
      <c r="P620" s="23"/>
      <c r="Q620" s="23"/>
      <c r="R620" s="23"/>
      <c r="S620" s="23"/>
    </row>
    <row r="621" spans="1:19" ht="15.75" customHeight="1" x14ac:dyDescent="0.25">
      <c r="A621" s="92"/>
      <c r="B621" s="22"/>
      <c r="C621" s="23"/>
      <c r="D621" s="23"/>
      <c r="E621" s="23"/>
      <c r="F621" s="23"/>
      <c r="G621" s="23"/>
      <c r="H621" s="23"/>
      <c r="I621" s="23"/>
      <c r="J621" s="23"/>
      <c r="K621" s="23"/>
      <c r="L621" s="23"/>
      <c r="M621" s="23"/>
      <c r="N621" s="23"/>
      <c r="O621" s="23"/>
      <c r="P621" s="23"/>
      <c r="Q621" s="23"/>
      <c r="R621" s="23"/>
      <c r="S621" s="23"/>
    </row>
    <row r="622" spans="1:19" ht="15.75" customHeight="1" x14ac:dyDescent="0.25">
      <c r="A622" s="92"/>
      <c r="B622" s="22"/>
      <c r="C622" s="23"/>
      <c r="D622" s="23"/>
      <c r="E622" s="23"/>
      <c r="F622" s="23"/>
      <c r="G622" s="23"/>
      <c r="H622" s="23"/>
      <c r="I622" s="23"/>
      <c r="J622" s="23"/>
      <c r="K622" s="23"/>
      <c r="L622" s="23"/>
      <c r="M622" s="23"/>
      <c r="N622" s="23"/>
      <c r="O622" s="23"/>
      <c r="P622" s="23"/>
      <c r="Q622" s="23"/>
      <c r="R622" s="23"/>
      <c r="S622" s="23"/>
    </row>
    <row r="623" spans="1:19" ht="15.75" customHeight="1" x14ac:dyDescent="0.25">
      <c r="A623" s="92"/>
      <c r="B623" s="22"/>
      <c r="C623" s="23"/>
      <c r="D623" s="23"/>
      <c r="E623" s="23"/>
      <c r="F623" s="23"/>
      <c r="G623" s="23"/>
      <c r="H623" s="23"/>
      <c r="I623" s="23"/>
      <c r="J623" s="23"/>
      <c r="K623" s="23"/>
      <c r="L623" s="23"/>
      <c r="M623" s="23"/>
      <c r="N623" s="23"/>
      <c r="O623" s="23"/>
      <c r="P623" s="23"/>
      <c r="Q623" s="23"/>
      <c r="R623" s="23"/>
      <c r="S623" s="23"/>
    </row>
    <row r="624" spans="1:19" ht="15.75" customHeight="1" x14ac:dyDescent="0.25">
      <c r="A624" s="92"/>
      <c r="B624" s="22"/>
      <c r="C624" s="23"/>
      <c r="D624" s="23"/>
      <c r="E624" s="23"/>
      <c r="F624" s="23"/>
      <c r="G624" s="23"/>
      <c r="H624" s="23"/>
      <c r="I624" s="23"/>
      <c r="J624" s="23"/>
      <c r="K624" s="23"/>
      <c r="L624" s="23"/>
      <c r="M624" s="23"/>
      <c r="N624" s="23"/>
      <c r="O624" s="23"/>
      <c r="P624" s="23"/>
      <c r="Q624" s="23"/>
      <c r="R624" s="23"/>
      <c r="S624" s="23"/>
    </row>
    <row r="625" spans="1:19" ht="15.75" customHeight="1" x14ac:dyDescent="0.25">
      <c r="A625" s="92"/>
      <c r="B625" s="22"/>
      <c r="C625" s="23"/>
      <c r="D625" s="23"/>
      <c r="E625" s="23"/>
      <c r="F625" s="23"/>
      <c r="G625" s="23"/>
      <c r="H625" s="23"/>
      <c r="I625" s="23"/>
      <c r="J625" s="23"/>
      <c r="K625" s="23"/>
      <c r="L625" s="23"/>
      <c r="M625" s="23"/>
      <c r="N625" s="23"/>
      <c r="O625" s="23"/>
      <c r="P625" s="23"/>
      <c r="Q625" s="23"/>
      <c r="R625" s="23"/>
      <c r="S625" s="23"/>
    </row>
    <row r="626" spans="1:19" ht="15.75" customHeight="1" x14ac:dyDescent="0.25">
      <c r="A626" s="92"/>
      <c r="B626" s="22"/>
      <c r="C626" s="23"/>
      <c r="D626" s="23"/>
      <c r="E626" s="23"/>
      <c r="F626" s="23"/>
      <c r="G626" s="23"/>
      <c r="H626" s="23"/>
      <c r="I626" s="23"/>
      <c r="J626" s="23"/>
      <c r="K626" s="23"/>
      <c r="L626" s="23"/>
      <c r="M626" s="23"/>
      <c r="N626" s="23"/>
      <c r="O626" s="23"/>
      <c r="P626" s="23"/>
      <c r="Q626" s="23"/>
      <c r="R626" s="23"/>
      <c r="S626" s="23"/>
    </row>
    <row r="627" spans="1:19" ht="15.75" customHeight="1" x14ac:dyDescent="0.25">
      <c r="A627" s="92"/>
      <c r="B627" s="22"/>
      <c r="C627" s="23"/>
      <c r="D627" s="23"/>
      <c r="E627" s="23"/>
      <c r="F627" s="23"/>
      <c r="G627" s="23"/>
      <c r="H627" s="23"/>
      <c r="I627" s="23"/>
      <c r="J627" s="23"/>
      <c r="K627" s="23"/>
      <c r="L627" s="23"/>
      <c r="M627" s="23"/>
      <c r="N627" s="23"/>
      <c r="O627" s="23"/>
      <c r="P627" s="23"/>
      <c r="Q627" s="23"/>
      <c r="R627" s="23"/>
      <c r="S627" s="23"/>
    </row>
    <row r="628" spans="1:19" ht="15.75" customHeight="1" x14ac:dyDescent="0.25">
      <c r="A628" s="92"/>
      <c r="B628" s="22"/>
      <c r="C628" s="23"/>
      <c r="D628" s="23"/>
      <c r="E628" s="23"/>
      <c r="F628" s="23"/>
      <c r="G628" s="23"/>
      <c r="H628" s="23"/>
      <c r="I628" s="23"/>
      <c r="J628" s="23"/>
      <c r="K628" s="23"/>
      <c r="L628" s="23"/>
      <c r="M628" s="23"/>
      <c r="N628" s="23"/>
      <c r="O628" s="23"/>
      <c r="P628" s="23"/>
      <c r="Q628" s="23"/>
      <c r="R628" s="23"/>
      <c r="S628" s="23"/>
    </row>
    <row r="629" spans="1:19" ht="15.75" customHeight="1" x14ac:dyDescent="0.25">
      <c r="A629" s="92"/>
      <c r="B629" s="22"/>
      <c r="C629" s="23"/>
      <c r="D629" s="23"/>
      <c r="E629" s="23"/>
      <c r="F629" s="23"/>
      <c r="G629" s="23"/>
      <c r="H629" s="23"/>
      <c r="I629" s="23"/>
      <c r="J629" s="23"/>
      <c r="K629" s="23"/>
      <c r="L629" s="23"/>
      <c r="M629" s="23"/>
      <c r="N629" s="23"/>
      <c r="O629" s="23"/>
      <c r="P629" s="23"/>
      <c r="Q629" s="23"/>
      <c r="R629" s="23"/>
      <c r="S629" s="23"/>
    </row>
    <row r="630" spans="1:19" ht="15.75" customHeight="1" x14ac:dyDescent="0.25">
      <c r="A630" s="92"/>
      <c r="B630" s="22"/>
      <c r="C630" s="23"/>
      <c r="D630" s="23"/>
      <c r="E630" s="23"/>
      <c r="F630" s="23"/>
      <c r="G630" s="23"/>
      <c r="H630" s="23"/>
      <c r="I630" s="23"/>
      <c r="J630" s="23"/>
      <c r="K630" s="23"/>
      <c r="L630" s="23"/>
      <c r="M630" s="23"/>
      <c r="N630" s="23"/>
      <c r="O630" s="23"/>
      <c r="P630" s="23"/>
      <c r="Q630" s="23"/>
      <c r="R630" s="23"/>
      <c r="S630" s="23"/>
    </row>
    <row r="631" spans="1:19" ht="15.75" customHeight="1" x14ac:dyDescent="0.25">
      <c r="A631" s="92"/>
      <c r="B631" s="22"/>
      <c r="C631" s="23"/>
      <c r="D631" s="23"/>
      <c r="E631" s="23"/>
      <c r="F631" s="23"/>
      <c r="G631" s="23"/>
      <c r="H631" s="23"/>
      <c r="I631" s="23"/>
      <c r="J631" s="23"/>
      <c r="K631" s="23"/>
      <c r="L631" s="23"/>
      <c r="M631" s="23"/>
      <c r="N631" s="23"/>
      <c r="O631" s="23"/>
      <c r="P631" s="23"/>
      <c r="Q631" s="23"/>
      <c r="R631" s="23"/>
      <c r="S631" s="23"/>
    </row>
    <row r="632" spans="1:19" ht="15.75" customHeight="1" x14ac:dyDescent="0.25">
      <c r="A632" s="92"/>
      <c r="B632" s="22"/>
      <c r="C632" s="23"/>
      <c r="D632" s="23"/>
      <c r="E632" s="23"/>
      <c r="F632" s="23"/>
      <c r="G632" s="23"/>
      <c r="H632" s="23"/>
      <c r="I632" s="23"/>
      <c r="J632" s="23"/>
      <c r="K632" s="23"/>
      <c r="L632" s="23"/>
      <c r="M632" s="23"/>
      <c r="N632" s="23"/>
      <c r="O632" s="23"/>
      <c r="P632" s="23"/>
      <c r="Q632" s="23"/>
      <c r="R632" s="23"/>
      <c r="S632" s="23"/>
    </row>
    <row r="633" spans="1:19" ht="15.75" customHeight="1" x14ac:dyDescent="0.25">
      <c r="A633" s="92"/>
      <c r="B633" s="22"/>
      <c r="C633" s="23"/>
      <c r="D633" s="23"/>
      <c r="E633" s="23"/>
      <c r="F633" s="23"/>
      <c r="G633" s="23"/>
      <c r="H633" s="23"/>
      <c r="I633" s="23"/>
      <c r="J633" s="23"/>
      <c r="K633" s="23"/>
      <c r="L633" s="23"/>
      <c r="M633" s="23"/>
      <c r="N633" s="23"/>
      <c r="O633" s="23"/>
      <c r="P633" s="23"/>
      <c r="Q633" s="23"/>
      <c r="R633" s="23"/>
      <c r="S633" s="23"/>
    </row>
    <row r="634" spans="1:19" ht="15.75" customHeight="1" x14ac:dyDescent="0.25">
      <c r="A634" s="92"/>
      <c r="B634" s="22"/>
      <c r="C634" s="23"/>
      <c r="D634" s="23"/>
      <c r="E634" s="23"/>
      <c r="F634" s="23"/>
      <c r="G634" s="23"/>
      <c r="H634" s="23"/>
      <c r="I634" s="23"/>
      <c r="J634" s="23"/>
      <c r="K634" s="23"/>
      <c r="L634" s="23"/>
      <c r="M634" s="23"/>
      <c r="N634" s="23"/>
      <c r="O634" s="23"/>
      <c r="P634" s="23"/>
      <c r="Q634" s="23"/>
      <c r="R634" s="23"/>
      <c r="S634" s="23"/>
    </row>
    <row r="635" spans="1:19" ht="15.75" customHeight="1" x14ac:dyDescent="0.25">
      <c r="A635" s="92"/>
      <c r="B635" s="22"/>
      <c r="C635" s="23"/>
      <c r="D635" s="23"/>
      <c r="E635" s="23"/>
      <c r="F635" s="23"/>
      <c r="G635" s="23"/>
      <c r="H635" s="23"/>
      <c r="I635" s="23"/>
      <c r="J635" s="23"/>
      <c r="K635" s="23"/>
      <c r="L635" s="23"/>
      <c r="M635" s="23"/>
      <c r="N635" s="23"/>
      <c r="O635" s="23"/>
      <c r="P635" s="23"/>
      <c r="Q635" s="23"/>
      <c r="R635" s="23"/>
      <c r="S635" s="23"/>
    </row>
    <row r="636" spans="1:19" ht="15.75" customHeight="1" x14ac:dyDescent="0.25">
      <c r="A636" s="92"/>
      <c r="B636" s="22"/>
      <c r="C636" s="23"/>
      <c r="D636" s="23"/>
      <c r="E636" s="23"/>
      <c r="F636" s="23"/>
      <c r="G636" s="23"/>
      <c r="H636" s="23"/>
      <c r="I636" s="23"/>
      <c r="J636" s="23"/>
      <c r="K636" s="23"/>
      <c r="L636" s="23"/>
      <c r="M636" s="23"/>
      <c r="N636" s="23"/>
      <c r="O636" s="23"/>
      <c r="P636" s="23"/>
      <c r="Q636" s="23"/>
      <c r="R636" s="23"/>
      <c r="S636" s="23"/>
    </row>
    <row r="637" spans="1:19" ht="15.75" customHeight="1" x14ac:dyDescent="0.25">
      <c r="A637" s="92"/>
      <c r="B637" s="22"/>
      <c r="C637" s="23"/>
      <c r="D637" s="23"/>
      <c r="E637" s="23"/>
      <c r="F637" s="23"/>
      <c r="G637" s="23"/>
      <c r="H637" s="23"/>
      <c r="I637" s="23"/>
      <c r="J637" s="23"/>
      <c r="K637" s="23"/>
      <c r="L637" s="23"/>
      <c r="M637" s="23"/>
      <c r="N637" s="23"/>
      <c r="O637" s="23"/>
      <c r="P637" s="23"/>
      <c r="Q637" s="23"/>
      <c r="R637" s="23"/>
      <c r="S637" s="23"/>
    </row>
    <row r="638" spans="1:19" ht="15.75" customHeight="1" x14ac:dyDescent="0.25">
      <c r="A638" s="92"/>
      <c r="B638" s="22"/>
      <c r="C638" s="23"/>
      <c r="D638" s="23"/>
      <c r="E638" s="23"/>
      <c r="F638" s="23"/>
      <c r="G638" s="23"/>
      <c r="H638" s="23"/>
      <c r="I638" s="23"/>
      <c r="J638" s="23"/>
      <c r="K638" s="23"/>
      <c r="L638" s="23"/>
      <c r="M638" s="23"/>
      <c r="N638" s="23"/>
      <c r="O638" s="23"/>
      <c r="P638" s="23"/>
      <c r="Q638" s="23"/>
      <c r="R638" s="23"/>
      <c r="S638" s="23"/>
    </row>
    <row r="639" spans="1:19" ht="15.75" customHeight="1" x14ac:dyDescent="0.25">
      <c r="A639" s="92"/>
      <c r="B639" s="22"/>
      <c r="C639" s="23"/>
      <c r="D639" s="23"/>
      <c r="E639" s="23"/>
      <c r="F639" s="23"/>
      <c r="G639" s="23"/>
      <c r="H639" s="23"/>
      <c r="I639" s="23"/>
      <c r="J639" s="23"/>
      <c r="K639" s="23"/>
      <c r="L639" s="23"/>
      <c r="M639" s="23"/>
      <c r="N639" s="23"/>
      <c r="O639" s="23"/>
      <c r="P639" s="23"/>
      <c r="Q639" s="23"/>
      <c r="R639" s="23"/>
      <c r="S639" s="23"/>
    </row>
    <row r="640" spans="1:19" ht="15.75" customHeight="1" x14ac:dyDescent="0.25">
      <c r="A640" s="92"/>
      <c r="B640" s="22"/>
      <c r="C640" s="23"/>
      <c r="D640" s="23"/>
      <c r="E640" s="23"/>
      <c r="F640" s="23"/>
      <c r="G640" s="23"/>
      <c r="H640" s="23"/>
      <c r="I640" s="23"/>
      <c r="J640" s="23"/>
      <c r="K640" s="23"/>
      <c r="L640" s="23"/>
      <c r="M640" s="23"/>
      <c r="N640" s="23"/>
      <c r="O640" s="23"/>
      <c r="P640" s="23"/>
      <c r="Q640" s="23"/>
      <c r="R640" s="23"/>
      <c r="S640" s="23"/>
    </row>
    <row r="641" spans="1:19" ht="15.75" customHeight="1" x14ac:dyDescent="0.25">
      <c r="A641" s="92"/>
      <c r="B641" s="22"/>
      <c r="C641" s="23"/>
      <c r="D641" s="23"/>
      <c r="E641" s="23"/>
      <c r="F641" s="23"/>
      <c r="G641" s="23"/>
      <c r="H641" s="23"/>
      <c r="I641" s="23"/>
      <c r="J641" s="23"/>
      <c r="K641" s="23"/>
      <c r="L641" s="23"/>
      <c r="M641" s="23"/>
      <c r="N641" s="23"/>
      <c r="O641" s="23"/>
      <c r="P641" s="23"/>
      <c r="Q641" s="23"/>
      <c r="R641" s="23"/>
      <c r="S641" s="23"/>
    </row>
    <row r="642" spans="1:19" ht="15.75" customHeight="1" x14ac:dyDescent="0.25">
      <c r="A642" s="92"/>
      <c r="B642" s="22"/>
      <c r="C642" s="23"/>
      <c r="D642" s="23"/>
      <c r="E642" s="23"/>
      <c r="F642" s="23"/>
      <c r="G642" s="23"/>
      <c r="H642" s="23"/>
      <c r="I642" s="23"/>
      <c r="J642" s="23"/>
      <c r="K642" s="23"/>
      <c r="L642" s="23"/>
      <c r="M642" s="23"/>
      <c r="N642" s="23"/>
      <c r="O642" s="23"/>
      <c r="P642" s="23"/>
      <c r="Q642" s="23"/>
      <c r="R642" s="23"/>
      <c r="S642" s="23"/>
    </row>
    <row r="643" spans="1:19" ht="15.75" customHeight="1" x14ac:dyDescent="0.25">
      <c r="A643" s="92"/>
      <c r="B643" s="22"/>
      <c r="C643" s="23"/>
      <c r="D643" s="23"/>
      <c r="E643" s="23"/>
      <c r="F643" s="23"/>
      <c r="G643" s="23"/>
      <c r="H643" s="23"/>
      <c r="I643" s="23"/>
      <c r="J643" s="23"/>
      <c r="K643" s="23"/>
      <c r="L643" s="23"/>
      <c r="M643" s="23"/>
      <c r="N643" s="23"/>
      <c r="O643" s="23"/>
      <c r="P643" s="23"/>
      <c r="Q643" s="23"/>
      <c r="R643" s="23"/>
      <c r="S643" s="23"/>
    </row>
    <row r="644" spans="1:19" ht="15.75" customHeight="1" x14ac:dyDescent="0.25">
      <c r="A644" s="92"/>
      <c r="B644" s="22"/>
      <c r="C644" s="23"/>
      <c r="D644" s="23"/>
      <c r="E644" s="23"/>
      <c r="F644" s="23"/>
      <c r="G644" s="23"/>
      <c r="H644" s="23"/>
      <c r="I644" s="23"/>
      <c r="J644" s="23"/>
      <c r="K644" s="23"/>
      <c r="L644" s="23"/>
      <c r="M644" s="23"/>
      <c r="N644" s="23"/>
      <c r="O644" s="23"/>
      <c r="P644" s="23"/>
      <c r="Q644" s="23"/>
      <c r="R644" s="23"/>
      <c r="S644" s="23"/>
    </row>
    <row r="645" spans="1:19" ht="15.75" customHeight="1" x14ac:dyDescent="0.25">
      <c r="A645" s="92"/>
      <c r="B645" s="22"/>
      <c r="C645" s="23"/>
      <c r="D645" s="23"/>
      <c r="E645" s="23"/>
      <c r="F645" s="23"/>
      <c r="G645" s="23"/>
      <c r="H645" s="23"/>
      <c r="I645" s="23"/>
      <c r="J645" s="23"/>
      <c r="K645" s="23"/>
      <c r="L645" s="23"/>
      <c r="M645" s="23"/>
      <c r="N645" s="23"/>
      <c r="O645" s="23"/>
      <c r="P645" s="23"/>
      <c r="Q645" s="23"/>
      <c r="R645" s="23"/>
      <c r="S645" s="23"/>
    </row>
    <row r="646" spans="1:19" ht="15.75" customHeight="1" x14ac:dyDescent="0.25">
      <c r="A646" s="92"/>
      <c r="B646" s="22"/>
      <c r="C646" s="23"/>
      <c r="D646" s="23"/>
      <c r="E646" s="23"/>
      <c r="F646" s="23"/>
      <c r="G646" s="23"/>
      <c r="H646" s="23"/>
      <c r="I646" s="23"/>
      <c r="J646" s="23"/>
      <c r="K646" s="23"/>
      <c r="L646" s="23"/>
      <c r="M646" s="23"/>
      <c r="N646" s="23"/>
      <c r="O646" s="23"/>
      <c r="P646" s="23"/>
      <c r="Q646" s="23"/>
      <c r="R646" s="23"/>
      <c r="S646" s="23"/>
    </row>
    <row r="647" spans="1:19" ht="15.75" customHeight="1" x14ac:dyDescent="0.25">
      <c r="A647" s="92"/>
      <c r="B647" s="22"/>
      <c r="C647" s="23"/>
      <c r="D647" s="23"/>
      <c r="E647" s="23"/>
      <c r="F647" s="23"/>
      <c r="G647" s="23"/>
      <c r="H647" s="23"/>
      <c r="I647" s="23"/>
      <c r="J647" s="23"/>
      <c r="K647" s="23"/>
      <c r="L647" s="23"/>
      <c r="M647" s="23"/>
      <c r="N647" s="23"/>
      <c r="O647" s="23"/>
      <c r="P647" s="23"/>
      <c r="Q647" s="23"/>
      <c r="R647" s="23"/>
      <c r="S647" s="23"/>
    </row>
    <row r="648" spans="1:19" ht="15.75" customHeight="1" x14ac:dyDescent="0.25">
      <c r="A648" s="92"/>
      <c r="B648" s="22"/>
      <c r="C648" s="23"/>
      <c r="D648" s="23"/>
      <c r="E648" s="23"/>
      <c r="F648" s="23"/>
      <c r="G648" s="23"/>
      <c r="H648" s="23"/>
      <c r="I648" s="23"/>
      <c r="J648" s="23"/>
      <c r="K648" s="23"/>
      <c r="L648" s="23"/>
      <c r="M648" s="23"/>
      <c r="N648" s="23"/>
      <c r="O648" s="23"/>
      <c r="P648" s="23"/>
      <c r="Q648" s="23"/>
      <c r="R648" s="23"/>
      <c r="S648" s="23"/>
    </row>
    <row r="649" spans="1:19" ht="15.75" customHeight="1" x14ac:dyDescent="0.25">
      <c r="A649" s="92"/>
      <c r="B649" s="22"/>
      <c r="C649" s="23"/>
      <c r="D649" s="23"/>
      <c r="E649" s="23"/>
      <c r="F649" s="23"/>
      <c r="G649" s="23"/>
      <c r="H649" s="23"/>
      <c r="I649" s="23"/>
      <c r="J649" s="23"/>
      <c r="K649" s="23"/>
      <c r="L649" s="23"/>
      <c r="M649" s="23"/>
      <c r="N649" s="23"/>
      <c r="O649" s="23"/>
      <c r="P649" s="23"/>
      <c r="Q649" s="23"/>
      <c r="R649" s="23"/>
      <c r="S649" s="23"/>
    </row>
    <row r="650" spans="1:19" ht="15.75" customHeight="1" x14ac:dyDescent="0.25">
      <c r="A650" s="92"/>
      <c r="B650" s="22"/>
      <c r="C650" s="23"/>
      <c r="D650" s="23"/>
      <c r="E650" s="23"/>
      <c r="F650" s="23"/>
      <c r="G650" s="23"/>
      <c r="H650" s="23"/>
      <c r="I650" s="23"/>
      <c r="J650" s="23"/>
      <c r="K650" s="23"/>
      <c r="L650" s="23"/>
      <c r="M650" s="23"/>
      <c r="N650" s="23"/>
      <c r="O650" s="23"/>
      <c r="P650" s="23"/>
      <c r="Q650" s="23"/>
      <c r="R650" s="23"/>
      <c r="S650" s="23"/>
    </row>
    <row r="651" spans="1:19" ht="15.75" customHeight="1" x14ac:dyDescent="0.25">
      <c r="A651" s="92"/>
      <c r="B651" s="22"/>
      <c r="C651" s="23"/>
      <c r="D651" s="23"/>
      <c r="E651" s="23"/>
      <c r="F651" s="23"/>
      <c r="G651" s="23"/>
      <c r="H651" s="23"/>
      <c r="I651" s="23"/>
      <c r="J651" s="23"/>
      <c r="K651" s="23"/>
      <c r="L651" s="23"/>
      <c r="M651" s="23"/>
      <c r="N651" s="23"/>
      <c r="O651" s="23"/>
      <c r="P651" s="23"/>
      <c r="Q651" s="23"/>
      <c r="R651" s="23"/>
      <c r="S651" s="23"/>
    </row>
    <row r="652" spans="1:19" ht="15.75" customHeight="1" x14ac:dyDescent="0.25">
      <c r="A652" s="92"/>
      <c r="B652" s="22"/>
      <c r="C652" s="23"/>
      <c r="D652" s="23"/>
      <c r="E652" s="23"/>
      <c r="F652" s="23"/>
      <c r="G652" s="23"/>
      <c r="H652" s="23"/>
      <c r="I652" s="23"/>
      <c r="J652" s="23"/>
      <c r="K652" s="23"/>
      <c r="L652" s="23"/>
      <c r="M652" s="23"/>
      <c r="N652" s="23"/>
      <c r="O652" s="23"/>
      <c r="P652" s="23"/>
      <c r="Q652" s="23"/>
      <c r="R652" s="23"/>
      <c r="S652" s="23"/>
    </row>
    <row r="653" spans="1:19" ht="15.75" customHeight="1" x14ac:dyDescent="0.25">
      <c r="A653" s="92"/>
      <c r="B653" s="22"/>
      <c r="C653" s="23"/>
      <c r="D653" s="23"/>
      <c r="E653" s="23"/>
      <c r="F653" s="23"/>
      <c r="G653" s="23"/>
      <c r="H653" s="23"/>
      <c r="I653" s="23"/>
      <c r="J653" s="23"/>
      <c r="K653" s="23"/>
      <c r="L653" s="23"/>
      <c r="M653" s="23"/>
      <c r="N653" s="23"/>
      <c r="O653" s="23"/>
      <c r="P653" s="23"/>
      <c r="Q653" s="23"/>
      <c r="R653" s="23"/>
      <c r="S653" s="23"/>
    </row>
    <row r="654" spans="1:19" ht="15.75" customHeight="1" x14ac:dyDescent="0.25">
      <c r="A654" s="92"/>
      <c r="B654" s="22"/>
      <c r="C654" s="23"/>
      <c r="D654" s="23"/>
      <c r="E654" s="23"/>
      <c r="F654" s="23"/>
      <c r="G654" s="23"/>
      <c r="H654" s="23"/>
      <c r="I654" s="23"/>
      <c r="J654" s="23"/>
      <c r="K654" s="23"/>
      <c r="L654" s="23"/>
      <c r="M654" s="23"/>
      <c r="N654" s="23"/>
      <c r="O654" s="23"/>
      <c r="P654" s="23"/>
      <c r="Q654" s="23"/>
      <c r="R654" s="23"/>
      <c r="S654" s="23"/>
    </row>
    <row r="655" spans="1:19" ht="15.75" customHeight="1" x14ac:dyDescent="0.25">
      <c r="A655" s="92"/>
      <c r="B655" s="22"/>
      <c r="C655" s="23"/>
      <c r="D655" s="23"/>
      <c r="E655" s="23"/>
      <c r="F655" s="23"/>
      <c r="G655" s="23"/>
      <c r="H655" s="23"/>
      <c r="I655" s="23"/>
      <c r="J655" s="23"/>
      <c r="K655" s="23"/>
      <c r="L655" s="23"/>
      <c r="M655" s="23"/>
      <c r="N655" s="23"/>
      <c r="O655" s="23"/>
      <c r="P655" s="23"/>
      <c r="Q655" s="23"/>
      <c r="R655" s="23"/>
      <c r="S655" s="23"/>
    </row>
    <row r="656" spans="1:19" ht="15.75" customHeight="1" x14ac:dyDescent="0.25">
      <c r="A656" s="92"/>
      <c r="B656" s="22"/>
      <c r="C656" s="23"/>
      <c r="D656" s="23"/>
      <c r="E656" s="23"/>
      <c r="F656" s="23"/>
      <c r="G656" s="23"/>
      <c r="H656" s="23"/>
      <c r="I656" s="23"/>
      <c r="J656" s="23"/>
      <c r="K656" s="23"/>
      <c r="L656" s="23"/>
      <c r="M656" s="23"/>
      <c r="N656" s="23"/>
      <c r="O656" s="23"/>
      <c r="P656" s="23"/>
      <c r="Q656" s="23"/>
      <c r="R656" s="23"/>
      <c r="S656" s="23"/>
    </row>
    <row r="657" spans="1:19" ht="15.75" customHeight="1" x14ac:dyDescent="0.25">
      <c r="A657" s="92"/>
      <c r="B657" s="22"/>
      <c r="C657" s="23"/>
      <c r="D657" s="23"/>
      <c r="E657" s="23"/>
      <c r="F657" s="23"/>
      <c r="G657" s="23"/>
      <c r="H657" s="23"/>
      <c r="I657" s="23"/>
      <c r="J657" s="23"/>
      <c r="K657" s="23"/>
      <c r="L657" s="23"/>
      <c r="M657" s="23"/>
      <c r="N657" s="23"/>
      <c r="O657" s="23"/>
      <c r="P657" s="23"/>
      <c r="Q657" s="23"/>
      <c r="R657" s="23"/>
      <c r="S657" s="23"/>
    </row>
    <row r="658" spans="1:19" ht="15.75" customHeight="1" x14ac:dyDescent="0.25">
      <c r="A658" s="92"/>
      <c r="B658" s="22"/>
      <c r="C658" s="23"/>
      <c r="D658" s="23"/>
      <c r="E658" s="23"/>
      <c r="F658" s="23"/>
      <c r="G658" s="23"/>
      <c r="H658" s="23"/>
      <c r="I658" s="23"/>
      <c r="J658" s="23"/>
      <c r="K658" s="23"/>
      <c r="L658" s="23"/>
      <c r="M658" s="23"/>
      <c r="N658" s="23"/>
      <c r="O658" s="23"/>
      <c r="P658" s="23"/>
      <c r="Q658" s="23"/>
      <c r="R658" s="23"/>
      <c r="S658" s="23"/>
    </row>
    <row r="659" spans="1:19" ht="15.75" customHeight="1" x14ac:dyDescent="0.25">
      <c r="A659" s="92"/>
      <c r="B659" s="22"/>
      <c r="C659" s="23"/>
      <c r="D659" s="23"/>
      <c r="E659" s="23"/>
      <c r="F659" s="23"/>
      <c r="G659" s="23"/>
      <c r="H659" s="23"/>
      <c r="I659" s="23"/>
      <c r="J659" s="23"/>
      <c r="K659" s="23"/>
      <c r="L659" s="23"/>
      <c r="M659" s="23"/>
      <c r="N659" s="23"/>
      <c r="O659" s="23"/>
      <c r="P659" s="23"/>
      <c r="Q659" s="23"/>
      <c r="R659" s="23"/>
      <c r="S659" s="23"/>
    </row>
    <row r="660" spans="1:19" ht="15.75" customHeight="1" x14ac:dyDescent="0.25">
      <c r="A660" s="92"/>
      <c r="B660" s="22"/>
      <c r="C660" s="23"/>
      <c r="D660" s="23"/>
      <c r="E660" s="23"/>
      <c r="F660" s="23"/>
      <c r="G660" s="23"/>
      <c r="H660" s="23"/>
      <c r="I660" s="23"/>
      <c r="J660" s="23"/>
      <c r="K660" s="23"/>
      <c r="L660" s="23"/>
      <c r="M660" s="23"/>
      <c r="N660" s="23"/>
      <c r="O660" s="23"/>
      <c r="P660" s="23"/>
      <c r="Q660" s="23"/>
      <c r="R660" s="23"/>
      <c r="S660" s="23"/>
    </row>
    <row r="661" spans="1:19" ht="15.75" customHeight="1" x14ac:dyDescent="0.25">
      <c r="A661" s="92"/>
      <c r="B661" s="22"/>
      <c r="C661" s="23"/>
      <c r="D661" s="23"/>
      <c r="E661" s="23"/>
      <c r="F661" s="23"/>
      <c r="G661" s="23"/>
      <c r="H661" s="23"/>
      <c r="I661" s="23"/>
      <c r="J661" s="23"/>
      <c r="K661" s="23"/>
      <c r="L661" s="23"/>
      <c r="M661" s="23"/>
      <c r="N661" s="23"/>
      <c r="O661" s="23"/>
      <c r="P661" s="23"/>
      <c r="Q661" s="23"/>
      <c r="R661" s="23"/>
      <c r="S661" s="23"/>
    </row>
    <row r="662" spans="1:19" ht="15.75" customHeight="1" x14ac:dyDescent="0.25">
      <c r="A662" s="92"/>
      <c r="B662" s="22"/>
      <c r="C662" s="23"/>
      <c r="D662" s="23"/>
      <c r="E662" s="23"/>
      <c r="F662" s="23"/>
      <c r="G662" s="23"/>
      <c r="H662" s="23"/>
      <c r="I662" s="23"/>
      <c r="J662" s="23"/>
      <c r="K662" s="23"/>
      <c r="L662" s="23"/>
      <c r="M662" s="23"/>
      <c r="N662" s="23"/>
      <c r="O662" s="23"/>
      <c r="P662" s="23"/>
      <c r="Q662" s="23"/>
      <c r="R662" s="23"/>
      <c r="S662" s="23"/>
    </row>
    <row r="663" spans="1:19" ht="15.75" customHeight="1" x14ac:dyDescent="0.25">
      <c r="A663" s="92"/>
      <c r="B663" s="22"/>
      <c r="C663" s="23"/>
      <c r="D663" s="23"/>
      <c r="E663" s="23"/>
      <c r="F663" s="23"/>
      <c r="G663" s="23"/>
      <c r="H663" s="23"/>
      <c r="I663" s="23"/>
      <c r="J663" s="23"/>
      <c r="K663" s="23"/>
      <c r="L663" s="23"/>
      <c r="M663" s="23"/>
      <c r="N663" s="23"/>
      <c r="O663" s="23"/>
      <c r="P663" s="23"/>
      <c r="Q663" s="23"/>
      <c r="R663" s="23"/>
      <c r="S663" s="23"/>
    </row>
    <row r="664" spans="1:19" ht="15.75" customHeight="1" x14ac:dyDescent="0.25">
      <c r="A664" s="92"/>
      <c r="B664" s="22"/>
      <c r="C664" s="23"/>
      <c r="D664" s="23"/>
      <c r="E664" s="23"/>
      <c r="F664" s="23"/>
      <c r="G664" s="23"/>
      <c r="H664" s="23"/>
      <c r="I664" s="23"/>
      <c r="J664" s="23"/>
      <c r="K664" s="23"/>
      <c r="L664" s="23"/>
      <c r="M664" s="23"/>
      <c r="N664" s="23"/>
      <c r="O664" s="23"/>
      <c r="P664" s="23"/>
      <c r="Q664" s="23"/>
      <c r="R664" s="23"/>
      <c r="S664" s="23"/>
    </row>
    <row r="665" spans="1:19" ht="15.75" customHeight="1" x14ac:dyDescent="0.25">
      <c r="A665" s="92"/>
      <c r="B665" s="22"/>
      <c r="C665" s="23"/>
      <c r="D665" s="23"/>
      <c r="E665" s="23"/>
      <c r="F665" s="23"/>
      <c r="G665" s="23"/>
      <c r="H665" s="23"/>
      <c r="I665" s="23"/>
      <c r="J665" s="23"/>
      <c r="K665" s="23"/>
      <c r="L665" s="23"/>
      <c r="M665" s="23"/>
      <c r="N665" s="23"/>
      <c r="O665" s="23"/>
      <c r="P665" s="23"/>
      <c r="Q665" s="23"/>
      <c r="R665" s="23"/>
      <c r="S665" s="23"/>
    </row>
    <row r="666" spans="1:19" ht="15.75" customHeight="1" x14ac:dyDescent="0.25">
      <c r="A666" s="92"/>
      <c r="B666" s="22"/>
      <c r="C666" s="23"/>
      <c r="D666" s="23"/>
      <c r="E666" s="23"/>
      <c r="F666" s="23"/>
      <c r="G666" s="23"/>
      <c r="H666" s="23"/>
      <c r="I666" s="23"/>
      <c r="J666" s="23"/>
      <c r="K666" s="23"/>
      <c r="L666" s="23"/>
      <c r="M666" s="23"/>
      <c r="N666" s="23"/>
      <c r="O666" s="23"/>
      <c r="P666" s="23"/>
      <c r="Q666" s="23"/>
      <c r="R666" s="23"/>
      <c r="S666" s="23"/>
    </row>
    <row r="667" spans="1:19" ht="15.75" customHeight="1" x14ac:dyDescent="0.25">
      <c r="A667" s="92"/>
      <c r="B667" s="22"/>
      <c r="C667" s="23"/>
      <c r="D667" s="23"/>
      <c r="E667" s="23"/>
      <c r="F667" s="23"/>
      <c r="G667" s="23"/>
      <c r="H667" s="23"/>
      <c r="I667" s="23"/>
      <c r="J667" s="23"/>
      <c r="K667" s="23"/>
      <c r="L667" s="23"/>
      <c r="M667" s="23"/>
      <c r="N667" s="23"/>
      <c r="O667" s="23"/>
      <c r="P667" s="23"/>
      <c r="Q667" s="23"/>
      <c r="R667" s="23"/>
      <c r="S667" s="23"/>
    </row>
    <row r="668" spans="1:19" ht="15.75" customHeight="1" x14ac:dyDescent="0.25">
      <c r="A668" s="92"/>
      <c r="B668" s="22"/>
      <c r="C668" s="23"/>
      <c r="D668" s="23"/>
      <c r="E668" s="23"/>
      <c r="F668" s="23"/>
      <c r="G668" s="23"/>
      <c r="H668" s="23"/>
      <c r="I668" s="23"/>
      <c r="J668" s="23"/>
      <c r="K668" s="23"/>
      <c r="L668" s="23"/>
      <c r="M668" s="23"/>
      <c r="N668" s="23"/>
      <c r="O668" s="23"/>
      <c r="P668" s="23"/>
      <c r="Q668" s="23"/>
      <c r="R668" s="23"/>
      <c r="S668" s="23"/>
    </row>
    <row r="669" spans="1:19" ht="15.75" customHeight="1" x14ac:dyDescent="0.25">
      <c r="A669" s="92"/>
      <c r="B669" s="22"/>
      <c r="C669" s="23"/>
      <c r="D669" s="23"/>
      <c r="E669" s="23"/>
      <c r="F669" s="23"/>
      <c r="G669" s="23"/>
      <c r="H669" s="23"/>
      <c r="I669" s="23"/>
      <c r="J669" s="23"/>
      <c r="K669" s="23"/>
      <c r="L669" s="23"/>
      <c r="M669" s="23"/>
      <c r="N669" s="23"/>
      <c r="O669" s="23"/>
      <c r="P669" s="23"/>
      <c r="Q669" s="23"/>
      <c r="R669" s="23"/>
      <c r="S669" s="23"/>
    </row>
    <row r="670" spans="1:19" ht="15.75" customHeight="1" x14ac:dyDescent="0.25">
      <c r="A670" s="92"/>
      <c r="B670" s="22"/>
      <c r="C670" s="23"/>
      <c r="D670" s="23"/>
      <c r="E670" s="23"/>
      <c r="F670" s="23"/>
      <c r="G670" s="23"/>
      <c r="H670" s="23"/>
      <c r="I670" s="23"/>
      <c r="J670" s="23"/>
      <c r="K670" s="23"/>
      <c r="L670" s="23"/>
      <c r="M670" s="23"/>
      <c r="N670" s="23"/>
      <c r="O670" s="23"/>
      <c r="P670" s="23"/>
      <c r="Q670" s="23"/>
      <c r="R670" s="23"/>
      <c r="S670" s="23"/>
    </row>
    <row r="671" spans="1:19" ht="15.75" customHeight="1" x14ac:dyDescent="0.25">
      <c r="A671" s="92"/>
      <c r="B671" s="22"/>
      <c r="C671" s="23"/>
      <c r="D671" s="23"/>
      <c r="E671" s="23"/>
      <c r="F671" s="23"/>
      <c r="G671" s="23"/>
      <c r="H671" s="23"/>
      <c r="I671" s="23"/>
      <c r="J671" s="23"/>
      <c r="K671" s="23"/>
      <c r="L671" s="23"/>
      <c r="M671" s="23"/>
      <c r="N671" s="23"/>
      <c r="O671" s="23"/>
      <c r="P671" s="23"/>
      <c r="Q671" s="23"/>
      <c r="R671" s="23"/>
      <c r="S671" s="23"/>
    </row>
    <row r="672" spans="1:19" ht="15.75" customHeight="1" x14ac:dyDescent="0.25">
      <c r="A672" s="92"/>
      <c r="B672" s="22"/>
      <c r="C672" s="23"/>
      <c r="D672" s="23"/>
      <c r="E672" s="23"/>
      <c r="F672" s="23"/>
      <c r="G672" s="23"/>
      <c r="H672" s="23"/>
      <c r="I672" s="23"/>
      <c r="J672" s="23"/>
      <c r="K672" s="23"/>
      <c r="L672" s="23"/>
      <c r="M672" s="23"/>
      <c r="N672" s="23"/>
      <c r="O672" s="23"/>
      <c r="P672" s="23"/>
      <c r="Q672" s="23"/>
      <c r="R672" s="23"/>
      <c r="S672" s="23"/>
    </row>
    <row r="673" spans="1:19" ht="15.75" customHeight="1" x14ac:dyDescent="0.25">
      <c r="A673" s="92"/>
      <c r="B673" s="22"/>
      <c r="C673" s="23"/>
      <c r="D673" s="23"/>
      <c r="E673" s="23"/>
      <c r="F673" s="23"/>
      <c r="G673" s="23"/>
      <c r="H673" s="23"/>
      <c r="I673" s="23"/>
      <c r="J673" s="23"/>
      <c r="K673" s="23"/>
      <c r="L673" s="23"/>
      <c r="M673" s="23"/>
      <c r="N673" s="23"/>
      <c r="O673" s="23"/>
      <c r="P673" s="23"/>
      <c r="Q673" s="23"/>
      <c r="R673" s="23"/>
      <c r="S673" s="23"/>
    </row>
    <row r="674" spans="1:19" ht="15.75" customHeight="1" x14ac:dyDescent="0.25">
      <c r="A674" s="92"/>
      <c r="B674" s="22"/>
      <c r="C674" s="23"/>
      <c r="D674" s="23"/>
      <c r="E674" s="23"/>
      <c r="F674" s="23"/>
      <c r="G674" s="23"/>
      <c r="H674" s="23"/>
      <c r="I674" s="23"/>
      <c r="J674" s="23"/>
      <c r="K674" s="23"/>
      <c r="L674" s="23"/>
      <c r="M674" s="23"/>
      <c r="N674" s="23"/>
      <c r="O674" s="23"/>
      <c r="P674" s="23"/>
      <c r="Q674" s="23"/>
      <c r="R674" s="23"/>
      <c r="S674" s="23"/>
    </row>
    <row r="675" spans="1:19" ht="15.75" customHeight="1" x14ac:dyDescent="0.25">
      <c r="A675" s="92"/>
      <c r="B675" s="22"/>
      <c r="C675" s="23"/>
      <c r="D675" s="23"/>
      <c r="E675" s="23"/>
      <c r="F675" s="23"/>
      <c r="G675" s="23"/>
      <c r="H675" s="23"/>
      <c r="I675" s="23"/>
      <c r="J675" s="23"/>
      <c r="K675" s="23"/>
      <c r="L675" s="23"/>
      <c r="M675" s="23"/>
      <c r="N675" s="23"/>
      <c r="O675" s="23"/>
      <c r="P675" s="23"/>
      <c r="Q675" s="23"/>
      <c r="R675" s="23"/>
      <c r="S675" s="23"/>
    </row>
    <row r="676" spans="1:19" ht="15.75" customHeight="1" x14ac:dyDescent="0.25">
      <c r="A676" s="92"/>
      <c r="B676" s="22"/>
      <c r="C676" s="23"/>
      <c r="D676" s="23"/>
      <c r="E676" s="23"/>
      <c r="F676" s="23"/>
      <c r="G676" s="23"/>
      <c r="H676" s="23"/>
      <c r="I676" s="23"/>
      <c r="J676" s="23"/>
      <c r="K676" s="23"/>
      <c r="L676" s="23"/>
      <c r="M676" s="23"/>
      <c r="N676" s="23"/>
      <c r="O676" s="23"/>
      <c r="P676" s="23"/>
      <c r="Q676" s="23"/>
      <c r="R676" s="23"/>
      <c r="S676" s="23"/>
    </row>
    <row r="677" spans="1:19" ht="15.75" customHeight="1" x14ac:dyDescent="0.25">
      <c r="A677" s="92"/>
      <c r="B677" s="22"/>
      <c r="C677" s="23"/>
      <c r="D677" s="23"/>
      <c r="E677" s="23"/>
      <c r="F677" s="23"/>
      <c r="G677" s="23"/>
      <c r="H677" s="23"/>
      <c r="I677" s="23"/>
      <c r="J677" s="23"/>
      <c r="K677" s="23"/>
      <c r="L677" s="23"/>
      <c r="M677" s="23"/>
      <c r="N677" s="23"/>
      <c r="O677" s="23"/>
      <c r="P677" s="23"/>
      <c r="Q677" s="23"/>
      <c r="R677" s="23"/>
      <c r="S677" s="23"/>
    </row>
    <row r="678" spans="1:19" ht="15.75" customHeight="1" x14ac:dyDescent="0.25">
      <c r="A678" s="92"/>
      <c r="B678" s="22"/>
      <c r="C678" s="23"/>
      <c r="D678" s="23"/>
      <c r="E678" s="23"/>
      <c r="F678" s="23"/>
      <c r="G678" s="23"/>
      <c r="H678" s="23"/>
      <c r="I678" s="23"/>
      <c r="J678" s="23"/>
      <c r="K678" s="23"/>
      <c r="L678" s="23"/>
      <c r="M678" s="23"/>
      <c r="N678" s="23"/>
      <c r="O678" s="23"/>
      <c r="P678" s="23"/>
      <c r="Q678" s="23"/>
      <c r="R678" s="23"/>
      <c r="S678" s="23"/>
    </row>
    <row r="679" spans="1:19" ht="15.75" customHeight="1" x14ac:dyDescent="0.25">
      <c r="A679" s="92"/>
      <c r="B679" s="22"/>
      <c r="C679" s="23"/>
      <c r="D679" s="23"/>
      <c r="E679" s="23"/>
      <c r="F679" s="23"/>
      <c r="G679" s="23"/>
      <c r="H679" s="23"/>
      <c r="I679" s="23"/>
      <c r="J679" s="23"/>
      <c r="K679" s="23"/>
      <c r="L679" s="23"/>
      <c r="M679" s="23"/>
      <c r="N679" s="23"/>
      <c r="O679" s="23"/>
      <c r="P679" s="23"/>
      <c r="Q679" s="23"/>
      <c r="R679" s="23"/>
      <c r="S679" s="23"/>
    </row>
    <row r="680" spans="1:19" ht="15.75" customHeight="1" x14ac:dyDescent="0.25">
      <c r="A680" s="92"/>
      <c r="B680" s="22"/>
      <c r="C680" s="23"/>
      <c r="D680" s="23"/>
      <c r="E680" s="23"/>
      <c r="F680" s="23"/>
      <c r="G680" s="23"/>
      <c r="H680" s="23"/>
      <c r="I680" s="23"/>
      <c r="J680" s="23"/>
      <c r="K680" s="23"/>
      <c r="L680" s="23"/>
      <c r="M680" s="23"/>
      <c r="N680" s="23"/>
      <c r="O680" s="23"/>
      <c r="P680" s="23"/>
      <c r="Q680" s="23"/>
      <c r="R680" s="23"/>
      <c r="S680" s="23"/>
    </row>
    <row r="681" spans="1:19" ht="15.75" customHeight="1" x14ac:dyDescent="0.25">
      <c r="A681" s="92"/>
      <c r="B681" s="22"/>
      <c r="C681" s="23"/>
      <c r="D681" s="23"/>
      <c r="E681" s="23"/>
      <c r="F681" s="23"/>
      <c r="G681" s="23"/>
      <c r="H681" s="23"/>
      <c r="I681" s="23"/>
      <c r="J681" s="23"/>
      <c r="K681" s="23"/>
      <c r="L681" s="23"/>
      <c r="M681" s="23"/>
      <c r="N681" s="23"/>
      <c r="O681" s="23"/>
      <c r="P681" s="23"/>
      <c r="Q681" s="23"/>
      <c r="R681" s="23"/>
      <c r="S681" s="23"/>
    </row>
    <row r="682" spans="1:19" ht="15.75" customHeight="1" x14ac:dyDescent="0.25">
      <c r="A682" s="92"/>
      <c r="B682" s="22"/>
      <c r="C682" s="23"/>
      <c r="D682" s="23"/>
      <c r="E682" s="23"/>
      <c r="F682" s="23"/>
      <c r="G682" s="23"/>
      <c r="H682" s="23"/>
      <c r="I682" s="23"/>
      <c r="J682" s="23"/>
      <c r="K682" s="23"/>
      <c r="L682" s="23"/>
      <c r="M682" s="23"/>
      <c r="N682" s="23"/>
      <c r="O682" s="23"/>
      <c r="P682" s="23"/>
      <c r="Q682" s="23"/>
      <c r="R682" s="23"/>
      <c r="S682" s="23"/>
    </row>
    <row r="683" spans="1:19" ht="15.75" customHeight="1" x14ac:dyDescent="0.25">
      <c r="A683" s="92"/>
      <c r="B683" s="22"/>
      <c r="C683" s="23"/>
      <c r="D683" s="23"/>
      <c r="E683" s="23"/>
      <c r="F683" s="23"/>
      <c r="G683" s="23"/>
      <c r="H683" s="23"/>
      <c r="I683" s="23"/>
      <c r="J683" s="23"/>
      <c r="K683" s="23"/>
      <c r="L683" s="23"/>
      <c r="M683" s="23"/>
      <c r="N683" s="23"/>
      <c r="O683" s="23"/>
      <c r="P683" s="23"/>
      <c r="Q683" s="23"/>
      <c r="R683" s="23"/>
      <c r="S683" s="23"/>
    </row>
    <row r="684" spans="1:19" ht="15.75" customHeight="1" x14ac:dyDescent="0.25">
      <c r="A684" s="92"/>
      <c r="B684" s="22"/>
      <c r="C684" s="23"/>
      <c r="D684" s="23"/>
      <c r="E684" s="23"/>
      <c r="F684" s="23"/>
      <c r="G684" s="23"/>
      <c r="H684" s="23"/>
      <c r="I684" s="23"/>
      <c r="J684" s="23"/>
      <c r="K684" s="23"/>
      <c r="L684" s="23"/>
      <c r="M684" s="23"/>
      <c r="N684" s="23"/>
      <c r="O684" s="23"/>
      <c r="P684" s="23"/>
      <c r="Q684" s="23"/>
      <c r="R684" s="23"/>
      <c r="S684" s="23"/>
    </row>
    <row r="685" spans="1:19" ht="15.75" customHeight="1" x14ac:dyDescent="0.25">
      <c r="A685" s="92"/>
      <c r="B685" s="22"/>
      <c r="C685" s="23"/>
      <c r="D685" s="23"/>
      <c r="E685" s="23"/>
      <c r="F685" s="23"/>
      <c r="G685" s="23"/>
      <c r="H685" s="23"/>
      <c r="I685" s="23"/>
      <c r="J685" s="23"/>
      <c r="K685" s="23"/>
      <c r="L685" s="23"/>
      <c r="M685" s="23"/>
      <c r="N685" s="23"/>
      <c r="O685" s="23"/>
      <c r="P685" s="23"/>
      <c r="Q685" s="23"/>
      <c r="R685" s="23"/>
      <c r="S685" s="23"/>
    </row>
    <row r="686" spans="1:19" ht="15.75" customHeight="1" x14ac:dyDescent="0.25">
      <c r="A686" s="92"/>
      <c r="B686" s="22"/>
      <c r="C686" s="23"/>
      <c r="D686" s="23"/>
      <c r="E686" s="23"/>
      <c r="F686" s="23"/>
      <c r="G686" s="23"/>
      <c r="H686" s="23"/>
      <c r="I686" s="23"/>
      <c r="J686" s="23"/>
      <c r="K686" s="23"/>
      <c r="L686" s="23"/>
      <c r="M686" s="23"/>
      <c r="N686" s="23"/>
      <c r="O686" s="23"/>
      <c r="P686" s="23"/>
      <c r="Q686" s="23"/>
      <c r="R686" s="23"/>
      <c r="S686" s="23"/>
    </row>
    <row r="687" spans="1:19" ht="15.75" customHeight="1" x14ac:dyDescent="0.25">
      <c r="A687" s="92"/>
      <c r="B687" s="22"/>
      <c r="C687" s="23"/>
      <c r="D687" s="23"/>
      <c r="E687" s="23"/>
      <c r="F687" s="23"/>
      <c r="G687" s="23"/>
      <c r="H687" s="23"/>
      <c r="I687" s="23"/>
      <c r="J687" s="23"/>
      <c r="K687" s="23"/>
      <c r="L687" s="23"/>
      <c r="M687" s="23"/>
      <c r="N687" s="23"/>
      <c r="O687" s="23"/>
      <c r="P687" s="23"/>
      <c r="Q687" s="23"/>
      <c r="R687" s="23"/>
      <c r="S687" s="23"/>
    </row>
    <row r="688" spans="1:19" ht="15.75" customHeight="1" x14ac:dyDescent="0.25">
      <c r="A688" s="92"/>
      <c r="B688" s="22"/>
      <c r="C688" s="23"/>
      <c r="D688" s="23"/>
      <c r="E688" s="23"/>
      <c r="F688" s="23"/>
      <c r="G688" s="23"/>
      <c r="H688" s="23"/>
      <c r="I688" s="23"/>
      <c r="J688" s="23"/>
      <c r="K688" s="23"/>
      <c r="L688" s="23"/>
      <c r="M688" s="23"/>
      <c r="N688" s="23"/>
      <c r="O688" s="23"/>
      <c r="P688" s="23"/>
      <c r="Q688" s="23"/>
      <c r="R688" s="23"/>
      <c r="S688" s="23"/>
    </row>
    <row r="689" spans="1:19" ht="15.75" customHeight="1" x14ac:dyDescent="0.25">
      <c r="A689" s="92"/>
      <c r="B689" s="22"/>
      <c r="C689" s="23"/>
      <c r="D689" s="23"/>
      <c r="E689" s="23"/>
      <c r="F689" s="23"/>
      <c r="G689" s="23"/>
      <c r="H689" s="23"/>
      <c r="I689" s="23"/>
      <c r="J689" s="23"/>
      <c r="K689" s="23"/>
      <c r="L689" s="23"/>
      <c r="M689" s="23"/>
      <c r="N689" s="23"/>
      <c r="O689" s="23"/>
      <c r="P689" s="23"/>
      <c r="Q689" s="23"/>
      <c r="R689" s="23"/>
      <c r="S689" s="23"/>
    </row>
    <row r="690" spans="1:19" ht="15.75" customHeight="1" x14ac:dyDescent="0.25">
      <c r="A690" s="92"/>
      <c r="B690" s="22"/>
      <c r="C690" s="23"/>
      <c r="D690" s="23"/>
      <c r="E690" s="23"/>
      <c r="F690" s="23"/>
      <c r="G690" s="23"/>
      <c r="H690" s="23"/>
      <c r="I690" s="23"/>
      <c r="J690" s="23"/>
      <c r="K690" s="23"/>
      <c r="L690" s="23"/>
      <c r="M690" s="23"/>
      <c r="N690" s="23"/>
      <c r="O690" s="23"/>
      <c r="P690" s="23"/>
      <c r="Q690" s="23"/>
      <c r="R690" s="23"/>
      <c r="S690" s="23"/>
    </row>
    <row r="691" spans="1:19" ht="15.75" customHeight="1" x14ac:dyDescent="0.25">
      <c r="A691" s="92"/>
      <c r="B691" s="22"/>
      <c r="C691" s="23"/>
      <c r="D691" s="23"/>
      <c r="E691" s="23"/>
      <c r="F691" s="23"/>
      <c r="G691" s="23"/>
      <c r="H691" s="23"/>
      <c r="I691" s="23"/>
      <c r="J691" s="23"/>
      <c r="K691" s="23"/>
      <c r="L691" s="23"/>
      <c r="M691" s="23"/>
      <c r="N691" s="23"/>
      <c r="O691" s="23"/>
      <c r="P691" s="23"/>
      <c r="Q691" s="23"/>
      <c r="R691" s="23"/>
      <c r="S691" s="23"/>
    </row>
    <row r="692" spans="1:19" ht="15.75" customHeight="1" x14ac:dyDescent="0.25">
      <c r="A692" s="92"/>
      <c r="B692" s="22"/>
      <c r="C692" s="23"/>
      <c r="D692" s="23"/>
      <c r="E692" s="23"/>
      <c r="F692" s="23"/>
      <c r="G692" s="23"/>
      <c r="H692" s="23"/>
      <c r="I692" s="23"/>
      <c r="J692" s="23"/>
      <c r="K692" s="23"/>
      <c r="L692" s="23"/>
      <c r="M692" s="23"/>
      <c r="N692" s="23"/>
      <c r="O692" s="23"/>
      <c r="P692" s="23"/>
      <c r="Q692" s="23"/>
      <c r="R692" s="23"/>
      <c r="S692" s="23"/>
    </row>
    <row r="693" spans="1:19" ht="15.75" customHeight="1" x14ac:dyDescent="0.25">
      <c r="A693" s="92"/>
      <c r="B693" s="22"/>
      <c r="C693" s="23"/>
      <c r="D693" s="23"/>
      <c r="E693" s="23"/>
      <c r="F693" s="23"/>
      <c r="G693" s="23"/>
      <c r="H693" s="23"/>
      <c r="I693" s="23"/>
      <c r="J693" s="23"/>
      <c r="K693" s="23"/>
      <c r="L693" s="23"/>
      <c r="M693" s="23"/>
      <c r="N693" s="23"/>
      <c r="O693" s="23"/>
      <c r="P693" s="23"/>
      <c r="Q693" s="23"/>
      <c r="R693" s="23"/>
      <c r="S693" s="23"/>
    </row>
    <row r="694" spans="1:19" ht="15.75" customHeight="1" x14ac:dyDescent="0.25">
      <c r="A694" s="92"/>
      <c r="B694" s="22"/>
      <c r="C694" s="23"/>
      <c r="D694" s="23"/>
      <c r="E694" s="23"/>
      <c r="F694" s="23"/>
      <c r="G694" s="23"/>
      <c r="H694" s="23"/>
      <c r="I694" s="23"/>
      <c r="J694" s="23"/>
      <c r="K694" s="23"/>
      <c r="L694" s="23"/>
      <c r="M694" s="23"/>
      <c r="N694" s="23"/>
      <c r="O694" s="23"/>
      <c r="P694" s="23"/>
      <c r="Q694" s="23"/>
      <c r="R694" s="23"/>
      <c r="S694" s="23"/>
    </row>
    <row r="695" spans="1:19" ht="15.75" customHeight="1" x14ac:dyDescent="0.25">
      <c r="A695" s="92"/>
      <c r="B695" s="22"/>
      <c r="C695" s="23"/>
      <c r="D695" s="23"/>
      <c r="E695" s="23"/>
      <c r="F695" s="23"/>
      <c r="G695" s="23"/>
      <c r="H695" s="23"/>
      <c r="I695" s="23"/>
      <c r="J695" s="23"/>
      <c r="K695" s="23"/>
      <c r="L695" s="23"/>
      <c r="M695" s="23"/>
      <c r="N695" s="23"/>
      <c r="O695" s="23"/>
      <c r="P695" s="23"/>
      <c r="Q695" s="23"/>
      <c r="R695" s="23"/>
      <c r="S695" s="23"/>
    </row>
    <row r="696" spans="1:19" ht="15.75" customHeight="1" x14ac:dyDescent="0.25">
      <c r="A696" s="92"/>
      <c r="B696" s="22"/>
      <c r="C696" s="23"/>
      <c r="D696" s="23"/>
      <c r="E696" s="23"/>
      <c r="F696" s="23"/>
      <c r="G696" s="23"/>
      <c r="H696" s="23"/>
      <c r="I696" s="23"/>
      <c r="J696" s="23"/>
      <c r="K696" s="23"/>
      <c r="L696" s="23"/>
      <c r="M696" s="23"/>
      <c r="N696" s="23"/>
      <c r="O696" s="23"/>
      <c r="P696" s="23"/>
      <c r="Q696" s="23"/>
      <c r="R696" s="23"/>
      <c r="S696" s="23"/>
    </row>
    <row r="697" spans="1:19" ht="15.75" customHeight="1" x14ac:dyDescent="0.25">
      <c r="A697" s="92"/>
      <c r="B697" s="22"/>
      <c r="C697" s="23"/>
      <c r="D697" s="23"/>
      <c r="E697" s="23"/>
      <c r="F697" s="23"/>
      <c r="G697" s="23"/>
      <c r="H697" s="23"/>
      <c r="I697" s="23"/>
      <c r="J697" s="23"/>
      <c r="K697" s="23"/>
      <c r="L697" s="23"/>
      <c r="M697" s="23"/>
      <c r="N697" s="23"/>
      <c r="O697" s="23"/>
      <c r="P697" s="23"/>
      <c r="Q697" s="23"/>
      <c r="R697" s="23"/>
      <c r="S697" s="23"/>
    </row>
    <row r="698" spans="1:19" ht="15.75" customHeight="1" x14ac:dyDescent="0.25">
      <c r="A698" s="92"/>
      <c r="B698" s="22"/>
      <c r="C698" s="23"/>
      <c r="D698" s="23"/>
      <c r="E698" s="23"/>
      <c r="F698" s="23"/>
      <c r="G698" s="23"/>
      <c r="H698" s="23"/>
      <c r="I698" s="23"/>
      <c r="J698" s="23"/>
      <c r="K698" s="23"/>
      <c r="L698" s="23"/>
      <c r="M698" s="23"/>
      <c r="N698" s="23"/>
      <c r="O698" s="23"/>
      <c r="P698" s="23"/>
      <c r="Q698" s="23"/>
      <c r="R698" s="23"/>
      <c r="S698" s="23"/>
    </row>
    <row r="699" spans="1:19" ht="15.75" customHeight="1" x14ac:dyDescent="0.25">
      <c r="A699" s="92"/>
      <c r="B699" s="22"/>
      <c r="C699" s="23"/>
      <c r="D699" s="23"/>
      <c r="E699" s="23"/>
      <c r="F699" s="23"/>
      <c r="G699" s="23"/>
      <c r="H699" s="23"/>
      <c r="I699" s="23"/>
      <c r="J699" s="23"/>
      <c r="K699" s="23"/>
      <c r="L699" s="23"/>
      <c r="M699" s="23"/>
      <c r="N699" s="23"/>
      <c r="O699" s="23"/>
      <c r="P699" s="23"/>
      <c r="Q699" s="23"/>
      <c r="R699" s="23"/>
      <c r="S699" s="23"/>
    </row>
    <row r="700" spans="1:19" ht="15.75" customHeight="1" x14ac:dyDescent="0.25">
      <c r="A700" s="92"/>
      <c r="B700" s="22"/>
      <c r="C700" s="23"/>
      <c r="D700" s="23"/>
      <c r="E700" s="23"/>
      <c r="F700" s="23"/>
      <c r="G700" s="23"/>
      <c r="H700" s="23"/>
      <c r="I700" s="23"/>
      <c r="J700" s="23"/>
      <c r="K700" s="23"/>
      <c r="L700" s="23"/>
      <c r="M700" s="23"/>
      <c r="N700" s="23"/>
      <c r="O700" s="23"/>
      <c r="P700" s="23"/>
      <c r="Q700" s="23"/>
      <c r="R700" s="23"/>
      <c r="S700" s="23"/>
    </row>
    <row r="701" spans="1:19" ht="15.75" customHeight="1" x14ac:dyDescent="0.25">
      <c r="A701" s="92"/>
      <c r="B701" s="22"/>
      <c r="C701" s="23"/>
      <c r="D701" s="23"/>
      <c r="E701" s="23"/>
      <c r="F701" s="23"/>
      <c r="G701" s="23"/>
      <c r="H701" s="23"/>
      <c r="I701" s="23"/>
      <c r="J701" s="23"/>
      <c r="K701" s="23"/>
      <c r="L701" s="23"/>
      <c r="M701" s="23"/>
      <c r="N701" s="23"/>
      <c r="O701" s="23"/>
      <c r="P701" s="23"/>
      <c r="Q701" s="23"/>
      <c r="R701" s="23"/>
      <c r="S701" s="23"/>
    </row>
    <row r="702" spans="1:19" ht="15.75" customHeight="1" x14ac:dyDescent="0.25">
      <c r="A702" s="92"/>
      <c r="B702" s="22"/>
      <c r="C702" s="23"/>
      <c r="D702" s="23"/>
      <c r="E702" s="23"/>
      <c r="F702" s="23"/>
      <c r="G702" s="23"/>
      <c r="H702" s="23"/>
      <c r="I702" s="23"/>
      <c r="J702" s="23"/>
      <c r="K702" s="23"/>
      <c r="L702" s="23"/>
      <c r="M702" s="23"/>
      <c r="N702" s="23"/>
      <c r="O702" s="23"/>
      <c r="P702" s="23"/>
      <c r="Q702" s="23"/>
      <c r="R702" s="23"/>
      <c r="S702" s="23"/>
    </row>
    <row r="703" spans="1:19" ht="15.75" customHeight="1" x14ac:dyDescent="0.25">
      <c r="A703" s="92"/>
      <c r="B703" s="22"/>
      <c r="C703" s="23"/>
      <c r="D703" s="23"/>
      <c r="E703" s="23"/>
      <c r="F703" s="23"/>
      <c r="G703" s="23"/>
      <c r="H703" s="23"/>
      <c r="I703" s="23"/>
      <c r="J703" s="23"/>
      <c r="K703" s="23"/>
      <c r="L703" s="23"/>
      <c r="M703" s="23"/>
      <c r="N703" s="23"/>
      <c r="O703" s="23"/>
      <c r="P703" s="23"/>
      <c r="Q703" s="23"/>
      <c r="R703" s="23"/>
      <c r="S703" s="23"/>
    </row>
    <row r="704" spans="1:19" ht="15.75" customHeight="1" x14ac:dyDescent="0.25">
      <c r="A704" s="92"/>
      <c r="B704" s="22"/>
      <c r="C704" s="23"/>
      <c r="D704" s="23"/>
      <c r="E704" s="23"/>
      <c r="F704" s="23"/>
      <c r="G704" s="23"/>
      <c r="H704" s="23"/>
      <c r="I704" s="23"/>
      <c r="J704" s="23"/>
      <c r="K704" s="23"/>
      <c r="L704" s="23"/>
      <c r="M704" s="23"/>
      <c r="N704" s="23"/>
      <c r="O704" s="23"/>
      <c r="P704" s="23"/>
      <c r="Q704" s="23"/>
      <c r="R704" s="23"/>
      <c r="S704" s="23"/>
    </row>
    <row r="705" spans="1:19" ht="15.75" customHeight="1" x14ac:dyDescent="0.25">
      <c r="A705" s="92"/>
      <c r="B705" s="22"/>
      <c r="C705" s="23"/>
      <c r="D705" s="23"/>
      <c r="E705" s="23"/>
      <c r="F705" s="23"/>
      <c r="G705" s="23"/>
      <c r="H705" s="23"/>
      <c r="I705" s="23"/>
      <c r="J705" s="23"/>
      <c r="K705" s="23"/>
      <c r="L705" s="23"/>
      <c r="M705" s="23"/>
      <c r="N705" s="23"/>
      <c r="O705" s="23"/>
      <c r="P705" s="23"/>
      <c r="Q705" s="23"/>
      <c r="R705" s="23"/>
      <c r="S705" s="23"/>
    </row>
    <row r="706" spans="1:19" ht="15.75" customHeight="1" x14ac:dyDescent="0.25">
      <c r="A706" s="92"/>
      <c r="B706" s="22"/>
      <c r="C706" s="23"/>
      <c r="D706" s="23"/>
      <c r="E706" s="23"/>
      <c r="F706" s="23"/>
      <c r="G706" s="23"/>
      <c r="H706" s="23"/>
      <c r="I706" s="23"/>
      <c r="J706" s="23"/>
      <c r="K706" s="23"/>
      <c r="L706" s="23"/>
      <c r="M706" s="23"/>
      <c r="N706" s="23"/>
      <c r="O706" s="23"/>
      <c r="P706" s="23"/>
      <c r="Q706" s="23"/>
      <c r="R706" s="23"/>
      <c r="S706" s="23"/>
    </row>
    <row r="707" spans="1:19" ht="15.75" customHeight="1" x14ac:dyDescent="0.25">
      <c r="A707" s="92"/>
      <c r="B707" s="22"/>
      <c r="C707" s="23"/>
      <c r="D707" s="23"/>
      <c r="E707" s="23"/>
      <c r="F707" s="23"/>
      <c r="G707" s="23"/>
      <c r="H707" s="23"/>
      <c r="I707" s="23"/>
      <c r="J707" s="23"/>
      <c r="K707" s="23"/>
      <c r="L707" s="23"/>
      <c r="M707" s="23"/>
      <c r="N707" s="23"/>
      <c r="O707" s="23"/>
      <c r="P707" s="23"/>
      <c r="Q707" s="23"/>
      <c r="R707" s="23"/>
      <c r="S707" s="23"/>
    </row>
    <row r="708" spans="1:19" ht="15.75" customHeight="1" x14ac:dyDescent="0.25">
      <c r="A708" s="92"/>
      <c r="B708" s="22"/>
      <c r="C708" s="23"/>
      <c r="D708" s="23"/>
      <c r="E708" s="23"/>
      <c r="F708" s="23"/>
      <c r="G708" s="23"/>
      <c r="H708" s="23"/>
      <c r="I708" s="23"/>
      <c r="J708" s="23"/>
      <c r="K708" s="23"/>
      <c r="L708" s="23"/>
      <c r="M708" s="23"/>
      <c r="N708" s="23"/>
      <c r="O708" s="23"/>
      <c r="P708" s="23"/>
      <c r="Q708" s="23"/>
      <c r="R708" s="23"/>
      <c r="S708" s="23"/>
    </row>
    <row r="709" spans="1:19" ht="15.75" customHeight="1" x14ac:dyDescent="0.25">
      <c r="A709" s="92"/>
      <c r="B709" s="22"/>
      <c r="C709" s="23"/>
      <c r="D709" s="23"/>
      <c r="E709" s="23"/>
      <c r="F709" s="23"/>
      <c r="G709" s="23"/>
      <c r="H709" s="23"/>
      <c r="I709" s="23"/>
      <c r="J709" s="23"/>
      <c r="K709" s="23"/>
      <c r="L709" s="23"/>
      <c r="M709" s="23"/>
      <c r="N709" s="23"/>
      <c r="O709" s="23"/>
      <c r="P709" s="23"/>
      <c r="Q709" s="23"/>
      <c r="R709" s="23"/>
      <c r="S709" s="23"/>
    </row>
    <row r="710" spans="1:19" ht="15.75" customHeight="1" x14ac:dyDescent="0.25">
      <c r="A710" s="92"/>
      <c r="B710" s="22"/>
      <c r="C710" s="23"/>
      <c r="D710" s="23"/>
      <c r="E710" s="23"/>
      <c r="F710" s="23"/>
      <c r="G710" s="23"/>
      <c r="H710" s="23"/>
      <c r="I710" s="23"/>
      <c r="J710" s="23"/>
      <c r="K710" s="23"/>
      <c r="L710" s="23"/>
      <c r="M710" s="23"/>
      <c r="N710" s="23"/>
      <c r="O710" s="23"/>
      <c r="P710" s="23"/>
      <c r="Q710" s="23"/>
      <c r="R710" s="23"/>
      <c r="S710" s="23"/>
    </row>
    <row r="711" spans="1:19" ht="15.75" customHeight="1" x14ac:dyDescent="0.25">
      <c r="A711" s="92"/>
      <c r="B711" s="22"/>
      <c r="C711" s="23"/>
      <c r="D711" s="23"/>
      <c r="E711" s="23"/>
      <c r="F711" s="23"/>
      <c r="G711" s="23"/>
      <c r="H711" s="23"/>
      <c r="I711" s="23"/>
      <c r="J711" s="23"/>
      <c r="K711" s="23"/>
      <c r="L711" s="23"/>
      <c r="M711" s="23"/>
      <c r="N711" s="23"/>
      <c r="O711" s="23"/>
      <c r="P711" s="23"/>
      <c r="Q711" s="23"/>
      <c r="R711" s="23"/>
      <c r="S711" s="23"/>
    </row>
    <row r="712" spans="1:19" ht="15.75" customHeight="1" x14ac:dyDescent="0.25">
      <c r="A712" s="92"/>
      <c r="B712" s="22"/>
      <c r="C712" s="23"/>
      <c r="D712" s="23"/>
      <c r="E712" s="23"/>
      <c r="F712" s="23"/>
      <c r="G712" s="23"/>
      <c r="H712" s="23"/>
      <c r="I712" s="23"/>
      <c r="J712" s="23"/>
      <c r="K712" s="23"/>
      <c r="L712" s="23"/>
      <c r="M712" s="23"/>
      <c r="N712" s="23"/>
      <c r="O712" s="23"/>
      <c r="P712" s="23"/>
      <c r="Q712" s="23"/>
      <c r="R712" s="23"/>
      <c r="S712" s="23"/>
    </row>
    <row r="713" spans="1:19" ht="15.75" customHeight="1" x14ac:dyDescent="0.25">
      <c r="A713" s="92"/>
      <c r="B713" s="22"/>
      <c r="C713" s="23"/>
      <c r="D713" s="23"/>
      <c r="E713" s="23"/>
      <c r="F713" s="23"/>
      <c r="G713" s="23"/>
      <c r="H713" s="23"/>
      <c r="I713" s="23"/>
      <c r="J713" s="23"/>
      <c r="K713" s="23"/>
      <c r="L713" s="23"/>
      <c r="M713" s="23"/>
      <c r="N713" s="23"/>
      <c r="O713" s="23"/>
      <c r="P713" s="23"/>
      <c r="Q713" s="23"/>
      <c r="R713" s="23"/>
      <c r="S713" s="23"/>
    </row>
    <row r="714" spans="1:19" ht="15.75" customHeight="1" x14ac:dyDescent="0.25">
      <c r="A714" s="92"/>
      <c r="B714" s="22"/>
      <c r="C714" s="23"/>
      <c r="D714" s="23"/>
      <c r="E714" s="23"/>
      <c r="F714" s="23"/>
      <c r="G714" s="23"/>
      <c r="H714" s="23"/>
      <c r="I714" s="23"/>
      <c r="J714" s="23"/>
      <c r="K714" s="23"/>
      <c r="L714" s="23"/>
      <c r="M714" s="23"/>
      <c r="N714" s="23"/>
      <c r="O714" s="23"/>
      <c r="P714" s="23"/>
      <c r="Q714" s="23"/>
      <c r="R714" s="23"/>
      <c r="S714" s="23"/>
    </row>
    <row r="715" spans="1:19" ht="15.75" customHeight="1" x14ac:dyDescent="0.25">
      <c r="A715" s="92"/>
      <c r="B715" s="22"/>
      <c r="C715" s="23"/>
      <c r="D715" s="23"/>
      <c r="E715" s="23"/>
      <c r="F715" s="23"/>
      <c r="G715" s="23"/>
      <c r="H715" s="23"/>
      <c r="I715" s="23"/>
      <c r="J715" s="23"/>
      <c r="K715" s="23"/>
      <c r="L715" s="23"/>
      <c r="M715" s="23"/>
      <c r="N715" s="23"/>
      <c r="O715" s="23"/>
      <c r="P715" s="23"/>
      <c r="Q715" s="23"/>
      <c r="R715" s="23"/>
      <c r="S715" s="23"/>
    </row>
    <row r="716" spans="1:19" ht="15.75" customHeight="1" x14ac:dyDescent="0.25">
      <c r="A716" s="92"/>
      <c r="B716" s="22"/>
      <c r="C716" s="23"/>
      <c r="D716" s="23"/>
      <c r="E716" s="23"/>
      <c r="F716" s="23"/>
      <c r="G716" s="23"/>
      <c r="H716" s="23"/>
      <c r="I716" s="23"/>
      <c r="J716" s="23"/>
      <c r="K716" s="23"/>
      <c r="L716" s="23"/>
      <c r="M716" s="23"/>
      <c r="N716" s="23"/>
      <c r="O716" s="23"/>
      <c r="P716" s="23"/>
      <c r="Q716" s="23"/>
      <c r="R716" s="23"/>
      <c r="S716" s="23"/>
    </row>
    <row r="717" spans="1:19" ht="15.75" customHeight="1" x14ac:dyDescent="0.25">
      <c r="A717" s="92"/>
      <c r="B717" s="22"/>
      <c r="C717" s="23"/>
      <c r="D717" s="23"/>
      <c r="E717" s="23"/>
      <c r="F717" s="23"/>
      <c r="G717" s="23"/>
      <c r="H717" s="23"/>
      <c r="I717" s="23"/>
      <c r="J717" s="23"/>
      <c r="K717" s="23"/>
      <c r="L717" s="23"/>
      <c r="M717" s="23"/>
      <c r="N717" s="23"/>
      <c r="O717" s="23"/>
      <c r="P717" s="23"/>
      <c r="Q717" s="23"/>
      <c r="R717" s="23"/>
      <c r="S717" s="23"/>
    </row>
    <row r="718" spans="1:19" ht="15.75" customHeight="1" x14ac:dyDescent="0.25">
      <c r="A718" s="92"/>
      <c r="B718" s="22"/>
      <c r="C718" s="23"/>
      <c r="D718" s="23"/>
      <c r="E718" s="23"/>
      <c r="F718" s="23"/>
      <c r="G718" s="23"/>
      <c r="H718" s="23"/>
      <c r="I718" s="23"/>
      <c r="J718" s="23"/>
      <c r="K718" s="23"/>
      <c r="L718" s="23"/>
      <c r="M718" s="23"/>
      <c r="N718" s="23"/>
      <c r="O718" s="23"/>
      <c r="P718" s="23"/>
      <c r="Q718" s="23"/>
      <c r="R718" s="23"/>
      <c r="S718" s="23"/>
    </row>
    <row r="719" spans="1:19" ht="15.75" customHeight="1" x14ac:dyDescent="0.25">
      <c r="A719" s="92"/>
      <c r="B719" s="22"/>
      <c r="C719" s="23"/>
      <c r="D719" s="23"/>
      <c r="E719" s="23"/>
      <c r="F719" s="23"/>
      <c r="G719" s="23"/>
      <c r="H719" s="23"/>
      <c r="I719" s="23"/>
      <c r="J719" s="23"/>
      <c r="K719" s="23"/>
      <c r="L719" s="23"/>
      <c r="M719" s="23"/>
      <c r="N719" s="23"/>
      <c r="O719" s="23"/>
      <c r="P719" s="23"/>
      <c r="Q719" s="23"/>
      <c r="R719" s="23"/>
      <c r="S719" s="23"/>
    </row>
    <row r="720" spans="1:19" ht="15.75" customHeight="1" x14ac:dyDescent="0.25">
      <c r="A720" s="92"/>
      <c r="B720" s="22"/>
      <c r="C720" s="23"/>
      <c r="D720" s="23"/>
      <c r="E720" s="23"/>
      <c r="F720" s="23"/>
      <c r="G720" s="23"/>
      <c r="H720" s="23"/>
      <c r="I720" s="23"/>
      <c r="J720" s="23"/>
      <c r="K720" s="23"/>
      <c r="L720" s="23"/>
      <c r="M720" s="23"/>
      <c r="N720" s="23"/>
      <c r="O720" s="23"/>
      <c r="P720" s="23"/>
      <c r="Q720" s="23"/>
      <c r="R720" s="23"/>
      <c r="S720" s="23"/>
    </row>
    <row r="721" spans="1:19" ht="15.75" customHeight="1" x14ac:dyDescent="0.25">
      <c r="A721" s="92"/>
      <c r="B721" s="22"/>
      <c r="C721" s="23"/>
      <c r="D721" s="23"/>
      <c r="E721" s="23"/>
      <c r="F721" s="23"/>
      <c r="G721" s="23"/>
      <c r="H721" s="23"/>
      <c r="I721" s="23"/>
      <c r="J721" s="23"/>
      <c r="K721" s="23"/>
      <c r="L721" s="23"/>
      <c r="M721" s="23"/>
      <c r="N721" s="23"/>
      <c r="O721" s="23"/>
      <c r="P721" s="23"/>
      <c r="Q721" s="23"/>
      <c r="R721" s="23"/>
      <c r="S721" s="23"/>
    </row>
    <row r="722" spans="1:19" ht="15.75" customHeight="1" x14ac:dyDescent="0.25">
      <c r="A722" s="92"/>
      <c r="B722" s="22"/>
      <c r="C722" s="23"/>
      <c r="D722" s="23"/>
      <c r="E722" s="23"/>
      <c r="F722" s="23"/>
      <c r="G722" s="23"/>
      <c r="H722" s="23"/>
      <c r="I722" s="23"/>
      <c r="J722" s="23"/>
      <c r="K722" s="23"/>
      <c r="L722" s="23"/>
      <c r="M722" s="23"/>
      <c r="N722" s="23"/>
      <c r="O722" s="23"/>
      <c r="P722" s="23"/>
      <c r="Q722" s="23"/>
      <c r="R722" s="23"/>
      <c r="S722" s="23"/>
    </row>
    <row r="723" spans="1:19" ht="15.75" customHeight="1" x14ac:dyDescent="0.25">
      <c r="A723" s="92"/>
      <c r="B723" s="22"/>
      <c r="C723" s="23"/>
      <c r="D723" s="23"/>
      <c r="E723" s="23"/>
      <c r="F723" s="23"/>
      <c r="G723" s="23"/>
      <c r="H723" s="23"/>
      <c r="I723" s="23"/>
      <c r="J723" s="23"/>
      <c r="K723" s="23"/>
      <c r="L723" s="23"/>
      <c r="M723" s="23"/>
      <c r="N723" s="23"/>
      <c r="O723" s="23"/>
      <c r="P723" s="23"/>
      <c r="Q723" s="23"/>
      <c r="R723" s="23"/>
      <c r="S723" s="23"/>
    </row>
    <row r="724" spans="1:19" ht="15.75" customHeight="1" x14ac:dyDescent="0.25">
      <c r="A724" s="92"/>
      <c r="B724" s="22"/>
      <c r="C724" s="23"/>
      <c r="D724" s="23"/>
      <c r="E724" s="23"/>
      <c r="F724" s="23"/>
      <c r="G724" s="23"/>
      <c r="H724" s="23"/>
      <c r="I724" s="23"/>
      <c r="J724" s="23"/>
      <c r="K724" s="23"/>
      <c r="L724" s="23"/>
      <c r="M724" s="23"/>
      <c r="N724" s="23"/>
      <c r="O724" s="23"/>
      <c r="P724" s="23"/>
      <c r="Q724" s="23"/>
      <c r="R724" s="23"/>
      <c r="S724" s="23"/>
    </row>
    <row r="725" spans="1:19" ht="15.75" customHeight="1" x14ac:dyDescent="0.25">
      <c r="A725" s="92"/>
      <c r="B725" s="22"/>
      <c r="C725" s="23"/>
      <c r="D725" s="23"/>
      <c r="E725" s="23"/>
      <c r="F725" s="23"/>
      <c r="G725" s="23"/>
      <c r="H725" s="23"/>
      <c r="I725" s="23"/>
      <c r="J725" s="23"/>
      <c r="K725" s="23"/>
      <c r="L725" s="23"/>
      <c r="M725" s="23"/>
      <c r="N725" s="23"/>
      <c r="O725" s="23"/>
      <c r="P725" s="23"/>
      <c r="Q725" s="23"/>
      <c r="R725" s="23"/>
      <c r="S725" s="23"/>
    </row>
    <row r="726" spans="1:19" ht="15.75" customHeight="1" x14ac:dyDescent="0.25">
      <c r="A726" s="92"/>
      <c r="B726" s="22"/>
      <c r="C726" s="23"/>
      <c r="D726" s="23"/>
      <c r="E726" s="23"/>
      <c r="F726" s="23"/>
      <c r="G726" s="23"/>
      <c r="H726" s="23"/>
      <c r="I726" s="23"/>
      <c r="J726" s="23"/>
      <c r="K726" s="23"/>
      <c r="L726" s="23"/>
      <c r="M726" s="23"/>
      <c r="N726" s="23"/>
      <c r="O726" s="23"/>
      <c r="P726" s="23"/>
      <c r="Q726" s="23"/>
      <c r="R726" s="23"/>
      <c r="S726" s="23"/>
    </row>
    <row r="727" spans="1:19" ht="15.75" customHeight="1" x14ac:dyDescent="0.25">
      <c r="A727" s="92"/>
      <c r="B727" s="22"/>
      <c r="C727" s="23"/>
      <c r="D727" s="23"/>
      <c r="E727" s="23"/>
      <c r="F727" s="23"/>
      <c r="G727" s="23"/>
      <c r="H727" s="23"/>
      <c r="I727" s="23"/>
      <c r="J727" s="23"/>
      <c r="K727" s="23"/>
      <c r="L727" s="23"/>
      <c r="M727" s="23"/>
      <c r="N727" s="23"/>
      <c r="O727" s="23"/>
      <c r="P727" s="23"/>
      <c r="Q727" s="23"/>
      <c r="R727" s="23"/>
      <c r="S727" s="23"/>
    </row>
    <row r="728" spans="1:19" ht="15.75" customHeight="1" x14ac:dyDescent="0.25">
      <c r="A728" s="92"/>
      <c r="B728" s="22"/>
      <c r="C728" s="23"/>
      <c r="D728" s="23"/>
      <c r="E728" s="23"/>
      <c r="F728" s="23"/>
      <c r="G728" s="23"/>
      <c r="H728" s="23"/>
      <c r="I728" s="23"/>
      <c r="J728" s="23"/>
      <c r="K728" s="23"/>
      <c r="L728" s="23"/>
      <c r="M728" s="23"/>
      <c r="N728" s="23"/>
      <c r="O728" s="23"/>
      <c r="P728" s="23"/>
      <c r="Q728" s="23"/>
      <c r="R728" s="23"/>
      <c r="S728" s="23"/>
    </row>
    <row r="729" spans="1:19" ht="15.75" customHeight="1" x14ac:dyDescent="0.25">
      <c r="A729" s="92"/>
      <c r="B729" s="22"/>
      <c r="C729" s="23"/>
      <c r="D729" s="23"/>
      <c r="E729" s="23"/>
      <c r="F729" s="23"/>
      <c r="G729" s="23"/>
      <c r="H729" s="23"/>
      <c r="I729" s="23"/>
      <c r="J729" s="23"/>
      <c r="K729" s="23"/>
      <c r="L729" s="23"/>
      <c r="M729" s="23"/>
      <c r="N729" s="23"/>
      <c r="O729" s="23"/>
      <c r="P729" s="23"/>
      <c r="Q729" s="23"/>
      <c r="R729" s="23"/>
      <c r="S729" s="23"/>
    </row>
    <row r="730" spans="1:19" ht="15.75" customHeight="1" x14ac:dyDescent="0.25">
      <c r="A730" s="92"/>
      <c r="B730" s="22"/>
      <c r="C730" s="23"/>
      <c r="D730" s="23"/>
      <c r="E730" s="23"/>
      <c r="F730" s="23"/>
      <c r="G730" s="23"/>
      <c r="H730" s="23"/>
      <c r="I730" s="23"/>
      <c r="J730" s="23"/>
      <c r="K730" s="23"/>
      <c r="L730" s="23"/>
      <c r="M730" s="23"/>
      <c r="N730" s="23"/>
      <c r="O730" s="23"/>
      <c r="P730" s="23"/>
      <c r="Q730" s="23"/>
      <c r="R730" s="23"/>
      <c r="S730" s="23"/>
    </row>
    <row r="731" spans="1:19" ht="15.75" customHeight="1" x14ac:dyDescent="0.25">
      <c r="A731" s="92"/>
      <c r="B731" s="22"/>
      <c r="C731" s="23"/>
      <c r="D731" s="23"/>
      <c r="E731" s="23"/>
      <c r="F731" s="23"/>
      <c r="G731" s="23"/>
      <c r="H731" s="23"/>
      <c r="I731" s="23"/>
      <c r="J731" s="23"/>
      <c r="K731" s="23"/>
      <c r="L731" s="23"/>
      <c r="M731" s="23"/>
      <c r="N731" s="23"/>
      <c r="O731" s="23"/>
      <c r="P731" s="23"/>
      <c r="Q731" s="23"/>
      <c r="R731" s="23"/>
      <c r="S731" s="23"/>
    </row>
    <row r="732" spans="1:19" ht="15.75" customHeight="1" x14ac:dyDescent="0.25">
      <c r="A732" s="92"/>
      <c r="B732" s="22"/>
      <c r="C732" s="23"/>
      <c r="D732" s="23"/>
      <c r="E732" s="23"/>
      <c r="F732" s="23"/>
      <c r="G732" s="23"/>
      <c r="H732" s="23"/>
      <c r="I732" s="23"/>
      <c r="J732" s="23"/>
      <c r="K732" s="23"/>
      <c r="L732" s="23"/>
      <c r="M732" s="23"/>
      <c r="N732" s="23"/>
      <c r="O732" s="23"/>
      <c r="P732" s="23"/>
      <c r="Q732" s="23"/>
      <c r="R732" s="23"/>
      <c r="S732" s="23"/>
    </row>
    <row r="733" spans="1:19" ht="15.75" customHeight="1" x14ac:dyDescent="0.25">
      <c r="A733" s="92"/>
      <c r="B733" s="22"/>
      <c r="C733" s="23"/>
      <c r="D733" s="23"/>
      <c r="E733" s="23"/>
      <c r="F733" s="23"/>
      <c r="G733" s="23"/>
      <c r="H733" s="23"/>
      <c r="I733" s="23"/>
      <c r="J733" s="23"/>
      <c r="K733" s="23"/>
      <c r="L733" s="23"/>
      <c r="M733" s="23"/>
      <c r="N733" s="23"/>
      <c r="O733" s="23"/>
      <c r="P733" s="23"/>
      <c r="Q733" s="23"/>
      <c r="R733" s="23"/>
      <c r="S733" s="23"/>
    </row>
    <row r="734" spans="1:19" ht="15.75" customHeight="1" x14ac:dyDescent="0.25">
      <c r="A734" s="92"/>
      <c r="B734" s="22"/>
      <c r="C734" s="23"/>
      <c r="D734" s="23"/>
      <c r="E734" s="23"/>
      <c r="F734" s="23"/>
      <c r="G734" s="23"/>
      <c r="H734" s="23"/>
      <c r="I734" s="23"/>
      <c r="J734" s="23"/>
      <c r="K734" s="23"/>
      <c r="L734" s="23"/>
      <c r="M734" s="23"/>
      <c r="N734" s="23"/>
      <c r="O734" s="23"/>
      <c r="P734" s="23"/>
      <c r="Q734" s="23"/>
      <c r="R734" s="23"/>
      <c r="S734" s="23"/>
    </row>
    <row r="735" spans="1:19" ht="15.75" customHeight="1" x14ac:dyDescent="0.25">
      <c r="A735" s="92"/>
      <c r="B735" s="22"/>
      <c r="C735" s="23"/>
      <c r="D735" s="23"/>
      <c r="E735" s="23"/>
      <c r="F735" s="23"/>
      <c r="G735" s="23"/>
      <c r="H735" s="23"/>
      <c r="I735" s="23"/>
      <c r="J735" s="23"/>
      <c r="K735" s="23"/>
      <c r="L735" s="23"/>
      <c r="M735" s="23"/>
      <c r="N735" s="23"/>
      <c r="O735" s="23"/>
      <c r="P735" s="23"/>
      <c r="Q735" s="23"/>
      <c r="R735" s="23"/>
      <c r="S735" s="23"/>
    </row>
    <row r="736" spans="1:19" ht="15.75" customHeight="1" x14ac:dyDescent="0.25">
      <c r="A736" s="92"/>
      <c r="B736" s="22"/>
      <c r="C736" s="23"/>
      <c r="D736" s="23"/>
      <c r="E736" s="23"/>
      <c r="F736" s="23"/>
      <c r="G736" s="23"/>
      <c r="H736" s="23"/>
      <c r="I736" s="23"/>
      <c r="J736" s="23"/>
      <c r="K736" s="23"/>
      <c r="L736" s="23"/>
      <c r="M736" s="23"/>
      <c r="N736" s="23"/>
      <c r="O736" s="23"/>
      <c r="P736" s="23"/>
      <c r="Q736" s="23"/>
      <c r="R736" s="23"/>
      <c r="S736" s="23"/>
    </row>
    <row r="737" spans="1:19" ht="15.75" customHeight="1" x14ac:dyDescent="0.25">
      <c r="A737" s="92"/>
      <c r="B737" s="22"/>
      <c r="C737" s="23"/>
      <c r="D737" s="23"/>
      <c r="E737" s="23"/>
      <c r="F737" s="23"/>
      <c r="G737" s="23"/>
      <c r="H737" s="23"/>
      <c r="I737" s="23"/>
      <c r="J737" s="23"/>
      <c r="K737" s="23"/>
      <c r="L737" s="23"/>
      <c r="M737" s="23"/>
      <c r="N737" s="23"/>
      <c r="O737" s="23"/>
      <c r="P737" s="23"/>
      <c r="Q737" s="23"/>
      <c r="R737" s="23"/>
      <c r="S737" s="23"/>
    </row>
    <row r="738" spans="1:19" ht="15.75" customHeight="1" x14ac:dyDescent="0.25">
      <c r="A738" s="92"/>
      <c r="B738" s="22"/>
      <c r="C738" s="23"/>
      <c r="D738" s="23"/>
      <c r="E738" s="23"/>
      <c r="F738" s="23"/>
      <c r="G738" s="23"/>
      <c r="H738" s="23"/>
      <c r="I738" s="23"/>
      <c r="J738" s="23"/>
      <c r="K738" s="23"/>
      <c r="L738" s="23"/>
      <c r="M738" s="23"/>
      <c r="N738" s="23"/>
      <c r="O738" s="23"/>
      <c r="P738" s="23"/>
      <c r="Q738" s="23"/>
      <c r="R738" s="23"/>
      <c r="S738" s="23"/>
    </row>
    <row r="739" spans="1:19" ht="15.75" customHeight="1" x14ac:dyDescent="0.25">
      <c r="A739" s="92"/>
      <c r="B739" s="22"/>
      <c r="C739" s="23"/>
      <c r="D739" s="23"/>
      <c r="E739" s="23"/>
      <c r="F739" s="23"/>
      <c r="G739" s="23"/>
      <c r="H739" s="23"/>
      <c r="I739" s="23"/>
      <c r="J739" s="23"/>
      <c r="K739" s="23"/>
      <c r="L739" s="23"/>
      <c r="M739" s="23"/>
      <c r="N739" s="23"/>
      <c r="O739" s="23"/>
      <c r="P739" s="23"/>
      <c r="Q739" s="23"/>
      <c r="R739" s="23"/>
      <c r="S739" s="23"/>
    </row>
    <row r="740" spans="1:19" ht="15.75" customHeight="1" x14ac:dyDescent="0.25">
      <c r="A740" s="92"/>
      <c r="B740" s="22"/>
      <c r="C740" s="23"/>
      <c r="D740" s="23"/>
      <c r="E740" s="23"/>
      <c r="F740" s="23"/>
      <c r="G740" s="23"/>
      <c r="H740" s="23"/>
      <c r="I740" s="23"/>
      <c r="J740" s="23"/>
      <c r="K740" s="23"/>
      <c r="L740" s="23"/>
      <c r="M740" s="23"/>
      <c r="N740" s="23"/>
      <c r="O740" s="23"/>
      <c r="P740" s="23"/>
      <c r="Q740" s="23"/>
      <c r="R740" s="23"/>
      <c r="S740" s="23"/>
    </row>
    <row r="741" spans="1:19" ht="15.75" customHeight="1" x14ac:dyDescent="0.25">
      <c r="A741" s="92"/>
      <c r="B741" s="22"/>
      <c r="C741" s="23"/>
      <c r="D741" s="23"/>
      <c r="E741" s="23"/>
      <c r="F741" s="23"/>
      <c r="G741" s="23"/>
      <c r="H741" s="23"/>
      <c r="I741" s="23"/>
      <c r="J741" s="23"/>
      <c r="K741" s="23"/>
      <c r="L741" s="23"/>
      <c r="M741" s="23"/>
      <c r="N741" s="23"/>
      <c r="O741" s="23"/>
      <c r="P741" s="23"/>
      <c r="Q741" s="23"/>
      <c r="R741" s="23"/>
      <c r="S741" s="23"/>
    </row>
    <row r="742" spans="1:19" ht="15.75" customHeight="1" x14ac:dyDescent="0.25">
      <c r="A742" s="92"/>
      <c r="B742" s="22"/>
      <c r="C742" s="23"/>
      <c r="D742" s="23"/>
      <c r="E742" s="23"/>
      <c r="F742" s="23"/>
      <c r="G742" s="23"/>
      <c r="H742" s="23"/>
      <c r="I742" s="23"/>
      <c r="J742" s="23"/>
      <c r="K742" s="23"/>
      <c r="L742" s="23"/>
      <c r="M742" s="23"/>
      <c r="N742" s="23"/>
      <c r="O742" s="23"/>
      <c r="P742" s="23"/>
      <c r="Q742" s="23"/>
      <c r="R742" s="23"/>
      <c r="S742" s="23"/>
    </row>
    <row r="743" spans="1:19" ht="15.75" customHeight="1" x14ac:dyDescent="0.25">
      <c r="A743" s="92"/>
      <c r="B743" s="22"/>
      <c r="C743" s="23"/>
      <c r="D743" s="23"/>
      <c r="E743" s="23"/>
      <c r="F743" s="23"/>
      <c r="G743" s="23"/>
      <c r="H743" s="23"/>
      <c r="I743" s="23"/>
      <c r="J743" s="23"/>
      <c r="K743" s="23"/>
      <c r="L743" s="23"/>
      <c r="M743" s="23"/>
      <c r="N743" s="23"/>
      <c r="O743" s="23"/>
      <c r="P743" s="23"/>
      <c r="Q743" s="23"/>
      <c r="R743" s="23"/>
      <c r="S743" s="23"/>
    </row>
    <row r="744" spans="1:19" ht="15.75" customHeight="1" x14ac:dyDescent="0.25">
      <c r="A744" s="92"/>
      <c r="B744" s="22"/>
      <c r="C744" s="23"/>
      <c r="D744" s="23"/>
      <c r="E744" s="23"/>
      <c r="F744" s="23"/>
      <c r="G744" s="23"/>
      <c r="H744" s="23"/>
      <c r="I744" s="23"/>
      <c r="J744" s="23"/>
      <c r="K744" s="23"/>
      <c r="L744" s="23"/>
      <c r="M744" s="23"/>
      <c r="N744" s="23"/>
      <c r="O744" s="23"/>
      <c r="P744" s="23"/>
      <c r="Q744" s="23"/>
      <c r="R744" s="23"/>
      <c r="S744" s="23"/>
    </row>
    <row r="745" spans="1:19" ht="15.75" customHeight="1" x14ac:dyDescent="0.25">
      <c r="A745" s="92"/>
      <c r="B745" s="22"/>
      <c r="C745" s="23"/>
      <c r="D745" s="23"/>
      <c r="E745" s="23"/>
      <c r="F745" s="23"/>
      <c r="G745" s="23"/>
      <c r="H745" s="23"/>
      <c r="I745" s="23"/>
      <c r="J745" s="23"/>
      <c r="K745" s="23"/>
      <c r="L745" s="23"/>
      <c r="M745" s="23"/>
      <c r="N745" s="23"/>
      <c r="O745" s="23"/>
      <c r="P745" s="23"/>
      <c r="Q745" s="23"/>
      <c r="R745" s="23"/>
      <c r="S745" s="23"/>
    </row>
    <row r="746" spans="1:19" ht="15.75" customHeight="1" x14ac:dyDescent="0.25">
      <c r="A746" s="92"/>
      <c r="B746" s="22"/>
      <c r="C746" s="23"/>
      <c r="D746" s="23"/>
      <c r="E746" s="23"/>
      <c r="F746" s="23"/>
      <c r="G746" s="23"/>
      <c r="H746" s="23"/>
      <c r="I746" s="23"/>
      <c r="J746" s="23"/>
      <c r="K746" s="23"/>
      <c r="L746" s="23"/>
      <c r="M746" s="23"/>
      <c r="N746" s="23"/>
      <c r="O746" s="23"/>
      <c r="P746" s="23"/>
      <c r="Q746" s="23"/>
      <c r="R746" s="23"/>
      <c r="S746" s="23"/>
    </row>
    <row r="747" spans="1:19" ht="15.75" customHeight="1" x14ac:dyDescent="0.25">
      <c r="A747" s="92"/>
      <c r="B747" s="22"/>
      <c r="C747" s="23"/>
      <c r="D747" s="23"/>
      <c r="E747" s="23"/>
      <c r="F747" s="23"/>
      <c r="G747" s="23"/>
      <c r="H747" s="23"/>
      <c r="I747" s="23"/>
      <c r="J747" s="23"/>
      <c r="K747" s="23"/>
      <c r="L747" s="23"/>
      <c r="M747" s="23"/>
      <c r="N747" s="23"/>
      <c r="O747" s="23"/>
      <c r="P747" s="23"/>
      <c r="Q747" s="23"/>
      <c r="R747" s="23"/>
      <c r="S747" s="23"/>
    </row>
    <row r="748" spans="1:19" ht="15.75" customHeight="1" x14ac:dyDescent="0.25">
      <c r="A748" s="92"/>
      <c r="B748" s="22"/>
      <c r="C748" s="23"/>
      <c r="D748" s="23"/>
      <c r="E748" s="23"/>
      <c r="F748" s="23"/>
      <c r="G748" s="23"/>
      <c r="H748" s="23"/>
      <c r="I748" s="23"/>
      <c r="J748" s="23"/>
      <c r="K748" s="23"/>
      <c r="L748" s="23"/>
      <c r="M748" s="23"/>
      <c r="N748" s="23"/>
      <c r="O748" s="23"/>
      <c r="P748" s="23"/>
      <c r="Q748" s="23"/>
      <c r="R748" s="23"/>
      <c r="S748" s="23"/>
    </row>
    <row r="749" spans="1:19" ht="15.75" customHeight="1" x14ac:dyDescent="0.25">
      <c r="A749" s="92"/>
      <c r="B749" s="22"/>
      <c r="C749" s="23"/>
      <c r="D749" s="23"/>
      <c r="E749" s="23"/>
      <c r="F749" s="23"/>
      <c r="G749" s="23"/>
      <c r="H749" s="23"/>
      <c r="I749" s="23"/>
      <c r="J749" s="23"/>
      <c r="K749" s="23"/>
      <c r="L749" s="23"/>
      <c r="M749" s="23"/>
      <c r="N749" s="23"/>
      <c r="O749" s="23"/>
      <c r="P749" s="23"/>
      <c r="Q749" s="23"/>
      <c r="R749" s="23"/>
      <c r="S749" s="23"/>
    </row>
    <row r="750" spans="1:19" ht="15.75" customHeight="1" x14ac:dyDescent="0.25">
      <c r="A750" s="92"/>
      <c r="B750" s="22"/>
      <c r="C750" s="23"/>
      <c r="D750" s="23"/>
      <c r="E750" s="23"/>
      <c r="F750" s="23"/>
      <c r="G750" s="23"/>
      <c r="H750" s="23"/>
      <c r="I750" s="23"/>
      <c r="J750" s="23"/>
      <c r="K750" s="23"/>
      <c r="L750" s="23"/>
      <c r="M750" s="23"/>
      <c r="N750" s="23"/>
      <c r="O750" s="23"/>
      <c r="P750" s="23"/>
      <c r="Q750" s="23"/>
      <c r="R750" s="23"/>
      <c r="S750" s="23"/>
    </row>
    <row r="751" spans="1:19" ht="15.75" customHeight="1" x14ac:dyDescent="0.25">
      <c r="A751" s="92"/>
      <c r="B751" s="22"/>
      <c r="C751" s="23"/>
      <c r="D751" s="23"/>
      <c r="E751" s="23"/>
      <c r="F751" s="23"/>
      <c r="G751" s="23"/>
      <c r="H751" s="23"/>
      <c r="I751" s="23"/>
      <c r="J751" s="23"/>
      <c r="K751" s="23"/>
      <c r="L751" s="23"/>
      <c r="M751" s="23"/>
      <c r="N751" s="23"/>
      <c r="O751" s="23"/>
      <c r="P751" s="23"/>
      <c r="Q751" s="23"/>
      <c r="R751" s="23"/>
      <c r="S751" s="23"/>
    </row>
    <row r="752" spans="1:19" ht="15.75" customHeight="1" x14ac:dyDescent="0.25">
      <c r="A752" s="92"/>
      <c r="B752" s="22"/>
      <c r="C752" s="23"/>
      <c r="D752" s="23"/>
      <c r="E752" s="23"/>
      <c r="F752" s="23"/>
      <c r="G752" s="23"/>
      <c r="H752" s="23"/>
      <c r="I752" s="23"/>
      <c r="J752" s="23"/>
      <c r="K752" s="23"/>
      <c r="L752" s="23"/>
      <c r="M752" s="23"/>
      <c r="N752" s="23"/>
      <c r="O752" s="23"/>
      <c r="P752" s="23"/>
      <c r="Q752" s="23"/>
      <c r="R752" s="23"/>
      <c r="S752" s="23"/>
    </row>
    <row r="753" spans="1:19" ht="15.75" customHeight="1" x14ac:dyDescent="0.25">
      <c r="A753" s="92"/>
      <c r="B753" s="22"/>
      <c r="C753" s="23"/>
      <c r="D753" s="23"/>
      <c r="E753" s="23"/>
      <c r="F753" s="23"/>
      <c r="G753" s="23"/>
      <c r="H753" s="23"/>
      <c r="I753" s="23"/>
      <c r="J753" s="23"/>
      <c r="K753" s="23"/>
      <c r="L753" s="23"/>
      <c r="M753" s="23"/>
      <c r="N753" s="23"/>
      <c r="O753" s="23"/>
      <c r="P753" s="23"/>
      <c r="Q753" s="23"/>
      <c r="R753" s="23"/>
      <c r="S753" s="23"/>
    </row>
    <row r="754" spans="1:19" ht="15.75" customHeight="1" x14ac:dyDescent="0.25">
      <c r="A754" s="92"/>
      <c r="B754" s="22"/>
      <c r="C754" s="23"/>
      <c r="D754" s="23"/>
      <c r="E754" s="23"/>
      <c r="F754" s="23"/>
      <c r="G754" s="23"/>
      <c r="H754" s="23"/>
      <c r="I754" s="23"/>
      <c r="J754" s="23"/>
      <c r="K754" s="23"/>
      <c r="L754" s="23"/>
      <c r="M754" s="23"/>
      <c r="N754" s="23"/>
      <c r="O754" s="23"/>
      <c r="P754" s="23"/>
      <c r="Q754" s="23"/>
      <c r="R754" s="23"/>
      <c r="S754" s="23"/>
    </row>
    <row r="755" spans="1:19" ht="15.75" customHeight="1" x14ac:dyDescent="0.25">
      <c r="A755" s="92"/>
      <c r="B755" s="22"/>
      <c r="C755" s="23"/>
      <c r="D755" s="23"/>
      <c r="E755" s="23"/>
      <c r="F755" s="23"/>
      <c r="G755" s="23"/>
      <c r="H755" s="23"/>
      <c r="I755" s="23"/>
      <c r="J755" s="23"/>
      <c r="K755" s="23"/>
      <c r="L755" s="23"/>
      <c r="M755" s="23"/>
      <c r="N755" s="23"/>
      <c r="O755" s="23"/>
      <c r="P755" s="23"/>
      <c r="Q755" s="23"/>
      <c r="R755" s="23"/>
      <c r="S755" s="23"/>
    </row>
    <row r="756" spans="1:19" ht="15.75" customHeight="1" x14ac:dyDescent="0.25">
      <c r="A756" s="92"/>
      <c r="B756" s="22"/>
      <c r="C756" s="23"/>
      <c r="D756" s="23"/>
      <c r="E756" s="23"/>
      <c r="F756" s="23"/>
      <c r="G756" s="23"/>
      <c r="H756" s="23"/>
      <c r="I756" s="23"/>
      <c r="J756" s="23"/>
      <c r="K756" s="23"/>
      <c r="L756" s="23"/>
      <c r="M756" s="23"/>
      <c r="N756" s="23"/>
      <c r="O756" s="23"/>
      <c r="P756" s="23"/>
      <c r="Q756" s="23"/>
      <c r="R756" s="23"/>
      <c r="S756" s="23"/>
    </row>
    <row r="757" spans="1:19" ht="15.75" customHeight="1" x14ac:dyDescent="0.25">
      <c r="A757" s="92"/>
      <c r="B757" s="22"/>
      <c r="C757" s="23"/>
      <c r="D757" s="23"/>
      <c r="E757" s="23"/>
      <c r="F757" s="23"/>
      <c r="G757" s="23"/>
      <c r="H757" s="23"/>
      <c r="I757" s="23"/>
      <c r="J757" s="23"/>
      <c r="K757" s="23"/>
      <c r="L757" s="23"/>
      <c r="M757" s="23"/>
      <c r="N757" s="23"/>
      <c r="O757" s="23"/>
      <c r="P757" s="23"/>
      <c r="Q757" s="23"/>
      <c r="R757" s="23"/>
      <c r="S757" s="23"/>
    </row>
    <row r="758" spans="1:19" ht="15.75" customHeight="1" x14ac:dyDescent="0.25">
      <c r="A758" s="92"/>
      <c r="B758" s="22"/>
      <c r="C758" s="23"/>
      <c r="D758" s="23"/>
      <c r="E758" s="23"/>
      <c r="F758" s="23"/>
      <c r="G758" s="23"/>
      <c r="H758" s="23"/>
      <c r="I758" s="23"/>
      <c r="J758" s="23"/>
      <c r="K758" s="23"/>
      <c r="L758" s="23"/>
      <c r="M758" s="23"/>
      <c r="N758" s="23"/>
      <c r="O758" s="23"/>
      <c r="P758" s="23"/>
      <c r="Q758" s="23"/>
      <c r="R758" s="23"/>
      <c r="S758" s="23"/>
    </row>
    <row r="759" spans="1:19" ht="15.75" customHeight="1" x14ac:dyDescent="0.25">
      <c r="A759" s="92"/>
      <c r="B759" s="22"/>
      <c r="C759" s="23"/>
      <c r="D759" s="23"/>
      <c r="E759" s="23"/>
      <c r="F759" s="23"/>
      <c r="G759" s="23"/>
      <c r="H759" s="23"/>
      <c r="I759" s="23"/>
      <c r="J759" s="23"/>
      <c r="K759" s="23"/>
      <c r="L759" s="23"/>
      <c r="M759" s="23"/>
      <c r="N759" s="23"/>
      <c r="O759" s="23"/>
      <c r="P759" s="23"/>
      <c r="Q759" s="23"/>
      <c r="R759" s="23"/>
      <c r="S759" s="23"/>
    </row>
    <row r="760" spans="1:19" ht="15.75" customHeight="1" x14ac:dyDescent="0.25">
      <c r="A760" s="92"/>
      <c r="B760" s="22"/>
      <c r="C760" s="23"/>
      <c r="D760" s="23"/>
      <c r="E760" s="23"/>
      <c r="F760" s="23"/>
      <c r="G760" s="23"/>
      <c r="H760" s="23"/>
      <c r="I760" s="23"/>
      <c r="J760" s="23"/>
      <c r="K760" s="23"/>
      <c r="L760" s="23"/>
      <c r="M760" s="23"/>
      <c r="N760" s="23"/>
      <c r="O760" s="23"/>
      <c r="P760" s="23"/>
      <c r="Q760" s="23"/>
      <c r="R760" s="23"/>
      <c r="S760" s="23"/>
    </row>
    <row r="761" spans="1:19" ht="15.75" customHeight="1" x14ac:dyDescent="0.25">
      <c r="A761" s="92"/>
      <c r="B761" s="22"/>
      <c r="C761" s="23"/>
      <c r="D761" s="23"/>
      <c r="E761" s="23"/>
      <c r="F761" s="23"/>
      <c r="G761" s="23"/>
      <c r="H761" s="23"/>
      <c r="I761" s="23"/>
      <c r="J761" s="23"/>
      <c r="K761" s="23"/>
      <c r="L761" s="23"/>
      <c r="M761" s="23"/>
      <c r="N761" s="23"/>
      <c r="O761" s="23"/>
      <c r="P761" s="23"/>
      <c r="Q761" s="23"/>
      <c r="R761" s="23"/>
      <c r="S761" s="23"/>
    </row>
    <row r="762" spans="1:19" ht="15.75" customHeight="1" x14ac:dyDescent="0.25">
      <c r="A762" s="92"/>
      <c r="B762" s="22"/>
      <c r="C762" s="23"/>
      <c r="D762" s="23"/>
      <c r="E762" s="23"/>
      <c r="F762" s="23"/>
      <c r="G762" s="23"/>
      <c r="H762" s="23"/>
      <c r="I762" s="23"/>
      <c r="J762" s="23"/>
      <c r="K762" s="23"/>
      <c r="L762" s="23"/>
      <c r="M762" s="23"/>
      <c r="N762" s="23"/>
      <c r="O762" s="23"/>
      <c r="P762" s="23"/>
      <c r="Q762" s="23"/>
      <c r="R762" s="23"/>
      <c r="S762" s="23"/>
    </row>
    <row r="763" spans="1:19" ht="15.75" customHeight="1" x14ac:dyDescent="0.25">
      <c r="A763" s="92"/>
      <c r="B763" s="22"/>
      <c r="C763" s="23"/>
      <c r="D763" s="23"/>
      <c r="E763" s="23"/>
      <c r="F763" s="23"/>
      <c r="G763" s="23"/>
      <c r="H763" s="23"/>
      <c r="I763" s="23"/>
      <c r="J763" s="23"/>
      <c r="K763" s="23"/>
      <c r="L763" s="23"/>
      <c r="M763" s="23"/>
      <c r="N763" s="23"/>
      <c r="O763" s="23"/>
      <c r="P763" s="23"/>
      <c r="Q763" s="23"/>
      <c r="R763" s="23"/>
      <c r="S763" s="23"/>
    </row>
    <row r="764" spans="1:19" ht="15.75" customHeight="1" x14ac:dyDescent="0.25">
      <c r="A764" s="92"/>
      <c r="B764" s="22"/>
      <c r="C764" s="23"/>
      <c r="D764" s="23"/>
      <c r="E764" s="23"/>
      <c r="F764" s="23"/>
      <c r="G764" s="23"/>
      <c r="H764" s="23"/>
      <c r="I764" s="23"/>
      <c r="J764" s="23"/>
      <c r="K764" s="23"/>
      <c r="L764" s="23"/>
      <c r="M764" s="23"/>
      <c r="N764" s="23"/>
      <c r="O764" s="23"/>
      <c r="P764" s="23"/>
      <c r="Q764" s="23"/>
      <c r="R764" s="23"/>
      <c r="S764" s="23"/>
    </row>
    <row r="765" spans="1:19" ht="15.75" customHeight="1" x14ac:dyDescent="0.25">
      <c r="A765" s="92"/>
      <c r="B765" s="22"/>
      <c r="C765" s="23"/>
      <c r="D765" s="23"/>
      <c r="E765" s="23"/>
      <c r="F765" s="23"/>
      <c r="G765" s="23"/>
      <c r="H765" s="23"/>
      <c r="I765" s="23"/>
      <c r="J765" s="23"/>
      <c r="K765" s="23"/>
      <c r="L765" s="23"/>
      <c r="M765" s="23"/>
      <c r="N765" s="23"/>
      <c r="O765" s="23"/>
      <c r="P765" s="23"/>
      <c r="Q765" s="23"/>
      <c r="R765" s="23"/>
      <c r="S765" s="23"/>
    </row>
    <row r="766" spans="1:19" ht="15.75" customHeight="1" x14ac:dyDescent="0.25">
      <c r="A766" s="92"/>
      <c r="B766" s="22"/>
      <c r="C766" s="23"/>
      <c r="D766" s="23"/>
      <c r="E766" s="23"/>
      <c r="F766" s="23"/>
      <c r="G766" s="23"/>
      <c r="H766" s="23"/>
      <c r="I766" s="23"/>
      <c r="J766" s="23"/>
      <c r="K766" s="23"/>
      <c r="L766" s="23"/>
      <c r="M766" s="23"/>
      <c r="N766" s="23"/>
      <c r="O766" s="23"/>
      <c r="P766" s="23"/>
      <c r="Q766" s="23"/>
      <c r="R766" s="23"/>
      <c r="S766" s="23"/>
    </row>
    <row r="767" spans="1:19" ht="15.75" customHeight="1" x14ac:dyDescent="0.25">
      <c r="A767" s="92"/>
      <c r="B767" s="22"/>
      <c r="C767" s="23"/>
      <c r="D767" s="23"/>
      <c r="E767" s="23"/>
      <c r="F767" s="23"/>
      <c r="G767" s="23"/>
      <c r="H767" s="23"/>
      <c r="I767" s="23"/>
      <c r="J767" s="23"/>
      <c r="K767" s="23"/>
      <c r="L767" s="23"/>
      <c r="M767" s="23"/>
      <c r="N767" s="23"/>
      <c r="O767" s="23"/>
      <c r="P767" s="23"/>
      <c r="Q767" s="23"/>
      <c r="R767" s="23"/>
      <c r="S767" s="23"/>
    </row>
    <row r="768" spans="1:19" ht="15.75" customHeight="1" x14ac:dyDescent="0.25">
      <c r="A768" s="92"/>
      <c r="B768" s="22"/>
      <c r="C768" s="23"/>
      <c r="D768" s="23"/>
      <c r="E768" s="23"/>
      <c r="F768" s="23"/>
      <c r="G768" s="23"/>
      <c r="H768" s="23"/>
      <c r="I768" s="23"/>
      <c r="J768" s="23"/>
      <c r="K768" s="23"/>
      <c r="L768" s="23"/>
      <c r="M768" s="23"/>
      <c r="N768" s="23"/>
      <c r="O768" s="23"/>
      <c r="P768" s="23"/>
      <c r="Q768" s="23"/>
      <c r="R768" s="23"/>
      <c r="S768" s="23"/>
    </row>
    <row r="769" spans="1:19" ht="15.75" customHeight="1" x14ac:dyDescent="0.25">
      <c r="A769" s="92"/>
      <c r="B769" s="22"/>
      <c r="C769" s="23"/>
      <c r="D769" s="23"/>
      <c r="E769" s="23"/>
      <c r="F769" s="23"/>
      <c r="G769" s="23"/>
      <c r="H769" s="23"/>
      <c r="I769" s="23"/>
      <c r="J769" s="23"/>
      <c r="K769" s="23"/>
      <c r="L769" s="23"/>
      <c r="M769" s="23"/>
      <c r="N769" s="23"/>
      <c r="O769" s="23"/>
      <c r="P769" s="23"/>
      <c r="Q769" s="23"/>
      <c r="R769" s="23"/>
      <c r="S769" s="23"/>
    </row>
    <row r="770" spans="1:19" ht="15.75" customHeight="1" x14ac:dyDescent="0.25">
      <c r="A770" s="92"/>
      <c r="B770" s="22"/>
      <c r="C770" s="23"/>
      <c r="D770" s="23"/>
      <c r="E770" s="23"/>
      <c r="F770" s="23"/>
      <c r="G770" s="23"/>
      <c r="H770" s="23"/>
      <c r="I770" s="23"/>
      <c r="J770" s="23"/>
      <c r="K770" s="23"/>
      <c r="L770" s="23"/>
      <c r="M770" s="23"/>
      <c r="N770" s="23"/>
      <c r="O770" s="23"/>
      <c r="P770" s="23"/>
      <c r="Q770" s="23"/>
      <c r="R770" s="23"/>
      <c r="S770" s="23"/>
    </row>
    <row r="771" spans="1:19" ht="15.75" customHeight="1" x14ac:dyDescent="0.25">
      <c r="A771" s="92"/>
      <c r="B771" s="22"/>
      <c r="C771" s="23"/>
      <c r="D771" s="23"/>
      <c r="E771" s="23"/>
      <c r="F771" s="23"/>
      <c r="G771" s="23"/>
      <c r="H771" s="23"/>
      <c r="I771" s="23"/>
      <c r="J771" s="23"/>
      <c r="K771" s="23"/>
      <c r="L771" s="23"/>
      <c r="M771" s="23"/>
      <c r="N771" s="23"/>
      <c r="O771" s="23"/>
      <c r="P771" s="23"/>
      <c r="Q771" s="23"/>
      <c r="R771" s="23"/>
      <c r="S771" s="23"/>
    </row>
    <row r="772" spans="1:19" ht="15.75" customHeight="1" x14ac:dyDescent="0.25">
      <c r="A772" s="92"/>
      <c r="B772" s="22"/>
      <c r="C772" s="23"/>
      <c r="D772" s="23"/>
      <c r="E772" s="23"/>
      <c r="F772" s="23"/>
      <c r="G772" s="23"/>
      <c r="H772" s="23"/>
      <c r="I772" s="23"/>
      <c r="J772" s="23"/>
      <c r="K772" s="23"/>
      <c r="L772" s="23"/>
      <c r="M772" s="23"/>
      <c r="N772" s="23"/>
      <c r="O772" s="23"/>
      <c r="P772" s="23"/>
      <c r="Q772" s="23"/>
      <c r="R772" s="23"/>
      <c r="S772" s="23"/>
    </row>
    <row r="773" spans="1:19" ht="15.75" customHeight="1" x14ac:dyDescent="0.25">
      <c r="A773" s="92"/>
      <c r="B773" s="22"/>
      <c r="C773" s="23"/>
      <c r="D773" s="23"/>
      <c r="E773" s="23"/>
      <c r="F773" s="23"/>
      <c r="G773" s="23"/>
      <c r="H773" s="23"/>
      <c r="I773" s="23"/>
      <c r="J773" s="23"/>
      <c r="K773" s="23"/>
      <c r="L773" s="23"/>
      <c r="M773" s="23"/>
      <c r="N773" s="23"/>
      <c r="O773" s="23"/>
      <c r="P773" s="23"/>
      <c r="Q773" s="23"/>
      <c r="R773" s="23"/>
      <c r="S773" s="23"/>
    </row>
    <row r="774" spans="1:19" ht="15.75" customHeight="1" x14ac:dyDescent="0.25">
      <c r="A774" s="92"/>
      <c r="B774" s="22"/>
      <c r="C774" s="23"/>
      <c r="D774" s="23"/>
      <c r="E774" s="23"/>
      <c r="F774" s="23"/>
      <c r="G774" s="23"/>
      <c r="H774" s="23"/>
      <c r="I774" s="23"/>
      <c r="J774" s="23"/>
      <c r="K774" s="23"/>
      <c r="L774" s="23"/>
      <c r="M774" s="23"/>
      <c r="N774" s="23"/>
      <c r="O774" s="23"/>
      <c r="P774" s="23"/>
      <c r="Q774" s="23"/>
      <c r="R774" s="23"/>
      <c r="S774" s="23"/>
    </row>
    <row r="775" spans="1:19" ht="15.75" customHeight="1" x14ac:dyDescent="0.25">
      <c r="A775" s="92"/>
      <c r="B775" s="22"/>
      <c r="C775" s="23"/>
      <c r="D775" s="23"/>
      <c r="E775" s="23"/>
      <c r="F775" s="23"/>
      <c r="G775" s="23"/>
      <c r="H775" s="23"/>
      <c r="I775" s="23"/>
      <c r="J775" s="23"/>
      <c r="K775" s="23"/>
      <c r="L775" s="23"/>
      <c r="M775" s="23"/>
      <c r="N775" s="23"/>
      <c r="O775" s="23"/>
      <c r="P775" s="23"/>
      <c r="Q775" s="23"/>
      <c r="R775" s="23"/>
      <c r="S775" s="23"/>
    </row>
    <row r="776" spans="1:19" ht="15.75" customHeight="1" x14ac:dyDescent="0.25">
      <c r="A776" s="92"/>
      <c r="B776" s="22"/>
      <c r="C776" s="23"/>
      <c r="D776" s="23"/>
      <c r="E776" s="23"/>
      <c r="F776" s="23"/>
      <c r="G776" s="23"/>
      <c r="H776" s="23"/>
      <c r="I776" s="23"/>
      <c r="J776" s="23"/>
      <c r="K776" s="23"/>
      <c r="L776" s="23"/>
      <c r="M776" s="23"/>
      <c r="N776" s="23"/>
      <c r="O776" s="23"/>
      <c r="P776" s="23"/>
      <c r="Q776" s="23"/>
      <c r="R776" s="23"/>
      <c r="S776" s="23"/>
    </row>
    <row r="777" spans="1:19" ht="15.75" customHeight="1" x14ac:dyDescent="0.25">
      <c r="A777" s="92"/>
      <c r="B777" s="22"/>
      <c r="C777" s="23"/>
      <c r="D777" s="23"/>
      <c r="E777" s="23"/>
      <c r="F777" s="23"/>
      <c r="G777" s="23"/>
      <c r="H777" s="23"/>
      <c r="I777" s="23"/>
      <c r="J777" s="23"/>
      <c r="K777" s="23"/>
      <c r="L777" s="23"/>
      <c r="M777" s="23"/>
      <c r="N777" s="23"/>
      <c r="O777" s="23"/>
      <c r="P777" s="23"/>
      <c r="Q777" s="23"/>
      <c r="R777" s="23"/>
      <c r="S777" s="23"/>
    </row>
    <row r="778" spans="1:19" ht="15.75" customHeight="1" x14ac:dyDescent="0.25">
      <c r="A778" s="92"/>
      <c r="B778" s="22"/>
      <c r="C778" s="23"/>
      <c r="D778" s="23"/>
      <c r="E778" s="23"/>
      <c r="F778" s="23"/>
      <c r="G778" s="23"/>
      <c r="H778" s="23"/>
      <c r="I778" s="23"/>
      <c r="J778" s="23"/>
      <c r="K778" s="23"/>
      <c r="L778" s="23"/>
      <c r="M778" s="23"/>
      <c r="N778" s="23"/>
      <c r="O778" s="23"/>
      <c r="P778" s="23"/>
      <c r="Q778" s="23"/>
      <c r="R778" s="23"/>
      <c r="S778" s="23"/>
    </row>
    <row r="779" spans="1:19" ht="15.75" customHeight="1" x14ac:dyDescent="0.25">
      <c r="A779" s="92"/>
      <c r="B779" s="22"/>
      <c r="C779" s="23"/>
      <c r="D779" s="23"/>
      <c r="E779" s="23"/>
      <c r="F779" s="23"/>
      <c r="G779" s="23"/>
      <c r="H779" s="23"/>
      <c r="I779" s="23"/>
      <c r="J779" s="23"/>
      <c r="K779" s="23"/>
      <c r="L779" s="23"/>
      <c r="M779" s="23"/>
      <c r="N779" s="23"/>
      <c r="O779" s="23"/>
      <c r="P779" s="23"/>
      <c r="Q779" s="23"/>
      <c r="R779" s="23"/>
      <c r="S779" s="23"/>
    </row>
    <row r="780" spans="1:19" ht="15.75" customHeight="1" x14ac:dyDescent="0.25">
      <c r="A780" s="92"/>
      <c r="B780" s="22"/>
      <c r="C780" s="23"/>
      <c r="D780" s="23"/>
      <c r="E780" s="23"/>
      <c r="F780" s="23"/>
      <c r="G780" s="23"/>
      <c r="H780" s="23"/>
      <c r="I780" s="23"/>
      <c r="J780" s="23"/>
      <c r="K780" s="23"/>
      <c r="L780" s="23"/>
      <c r="M780" s="23"/>
      <c r="N780" s="23"/>
      <c r="O780" s="23"/>
      <c r="P780" s="23"/>
      <c r="Q780" s="23"/>
      <c r="R780" s="23"/>
      <c r="S780" s="23"/>
    </row>
    <row r="781" spans="1:19" ht="15.75" customHeight="1" x14ac:dyDescent="0.25">
      <c r="A781" s="92"/>
      <c r="B781" s="22"/>
      <c r="C781" s="23"/>
      <c r="D781" s="23"/>
      <c r="E781" s="23"/>
      <c r="F781" s="23"/>
      <c r="G781" s="23"/>
      <c r="H781" s="23"/>
      <c r="I781" s="23"/>
      <c r="J781" s="23"/>
      <c r="K781" s="23"/>
      <c r="L781" s="23"/>
      <c r="M781" s="23"/>
      <c r="N781" s="23"/>
      <c r="O781" s="23"/>
      <c r="P781" s="23"/>
      <c r="Q781" s="23"/>
      <c r="R781" s="23"/>
      <c r="S781" s="23"/>
    </row>
    <row r="782" spans="1:19" ht="15.75" customHeight="1" x14ac:dyDescent="0.25">
      <c r="A782" s="92"/>
      <c r="B782" s="22"/>
      <c r="C782" s="23"/>
      <c r="D782" s="23"/>
      <c r="E782" s="23"/>
      <c r="F782" s="23"/>
      <c r="G782" s="23"/>
      <c r="H782" s="23"/>
      <c r="I782" s="23"/>
      <c r="J782" s="23"/>
      <c r="K782" s="23"/>
      <c r="L782" s="23"/>
      <c r="M782" s="23"/>
      <c r="N782" s="23"/>
      <c r="O782" s="23"/>
      <c r="P782" s="23"/>
      <c r="Q782" s="23"/>
      <c r="R782" s="23"/>
      <c r="S782" s="23"/>
    </row>
    <row r="783" spans="1:19" ht="15.75" customHeight="1" x14ac:dyDescent="0.25">
      <c r="A783" s="92"/>
      <c r="B783" s="22"/>
      <c r="C783" s="23"/>
      <c r="D783" s="23"/>
      <c r="E783" s="23"/>
      <c r="F783" s="23"/>
      <c r="G783" s="23"/>
      <c r="H783" s="23"/>
      <c r="I783" s="23"/>
      <c r="J783" s="23"/>
      <c r="K783" s="23"/>
      <c r="L783" s="23"/>
      <c r="M783" s="23"/>
      <c r="N783" s="23"/>
      <c r="O783" s="23"/>
      <c r="P783" s="23"/>
      <c r="Q783" s="23"/>
      <c r="R783" s="23"/>
      <c r="S783" s="23"/>
    </row>
    <row r="784" spans="1:19" ht="15.75" customHeight="1" x14ac:dyDescent="0.25">
      <c r="A784" s="92"/>
      <c r="B784" s="22"/>
      <c r="C784" s="23"/>
      <c r="D784" s="23"/>
      <c r="E784" s="23"/>
      <c r="F784" s="23"/>
      <c r="G784" s="23"/>
      <c r="H784" s="23"/>
      <c r="I784" s="23"/>
      <c r="J784" s="23"/>
      <c r="K784" s="23"/>
      <c r="L784" s="23"/>
      <c r="M784" s="23"/>
      <c r="N784" s="23"/>
      <c r="O784" s="23"/>
      <c r="P784" s="23"/>
      <c r="Q784" s="23"/>
      <c r="R784" s="23"/>
      <c r="S784" s="23"/>
    </row>
    <row r="785" spans="1:19" ht="15.75" customHeight="1" x14ac:dyDescent="0.25">
      <c r="A785" s="92"/>
      <c r="B785" s="22"/>
      <c r="C785" s="23"/>
      <c r="D785" s="23"/>
      <c r="E785" s="23"/>
      <c r="F785" s="23"/>
      <c r="G785" s="23"/>
      <c r="H785" s="23"/>
      <c r="I785" s="23"/>
      <c r="J785" s="23"/>
      <c r="K785" s="23"/>
      <c r="L785" s="23"/>
      <c r="M785" s="23"/>
      <c r="N785" s="23"/>
      <c r="O785" s="23"/>
      <c r="P785" s="23"/>
      <c r="Q785" s="23"/>
      <c r="R785" s="23"/>
      <c r="S785" s="23"/>
    </row>
    <row r="786" spans="1:19" ht="15.75" customHeight="1" x14ac:dyDescent="0.25">
      <c r="A786" s="92"/>
      <c r="B786" s="22"/>
      <c r="C786" s="23"/>
      <c r="D786" s="23"/>
      <c r="E786" s="23"/>
      <c r="F786" s="23"/>
      <c r="G786" s="23"/>
      <c r="H786" s="23"/>
      <c r="I786" s="23"/>
      <c r="J786" s="23"/>
      <c r="K786" s="23"/>
      <c r="L786" s="23"/>
      <c r="M786" s="23"/>
      <c r="N786" s="23"/>
      <c r="O786" s="23"/>
      <c r="P786" s="23"/>
      <c r="Q786" s="23"/>
      <c r="R786" s="23"/>
      <c r="S786" s="23"/>
    </row>
    <row r="787" spans="1:19" ht="15.75" customHeight="1" x14ac:dyDescent="0.25">
      <c r="A787" s="92"/>
      <c r="B787" s="22"/>
      <c r="C787" s="23"/>
      <c r="D787" s="23"/>
      <c r="E787" s="23"/>
      <c r="F787" s="23"/>
      <c r="G787" s="23"/>
      <c r="H787" s="23"/>
      <c r="I787" s="23"/>
      <c r="J787" s="23"/>
      <c r="K787" s="23"/>
      <c r="L787" s="23"/>
      <c r="M787" s="23"/>
      <c r="N787" s="23"/>
      <c r="O787" s="23"/>
      <c r="P787" s="23"/>
      <c r="Q787" s="23"/>
      <c r="R787" s="23"/>
      <c r="S787" s="23"/>
    </row>
    <row r="788" spans="1:19" ht="15.75" customHeight="1" x14ac:dyDescent="0.25">
      <c r="A788" s="92"/>
      <c r="B788" s="22"/>
      <c r="C788" s="23"/>
      <c r="D788" s="23"/>
      <c r="E788" s="23"/>
      <c r="F788" s="23"/>
      <c r="G788" s="23"/>
      <c r="H788" s="23"/>
      <c r="I788" s="23"/>
      <c r="J788" s="23"/>
      <c r="K788" s="23"/>
      <c r="L788" s="23"/>
      <c r="M788" s="23"/>
      <c r="N788" s="23"/>
      <c r="O788" s="23"/>
      <c r="P788" s="23"/>
      <c r="Q788" s="23"/>
      <c r="R788" s="23"/>
      <c r="S788" s="23"/>
    </row>
    <row r="789" spans="1:19" ht="15.75" customHeight="1" x14ac:dyDescent="0.25">
      <c r="A789" s="92"/>
      <c r="B789" s="22"/>
      <c r="C789" s="23"/>
      <c r="D789" s="23"/>
      <c r="E789" s="23"/>
      <c r="F789" s="23"/>
      <c r="G789" s="23"/>
      <c r="H789" s="23"/>
      <c r="I789" s="23"/>
      <c r="J789" s="23"/>
      <c r="K789" s="23"/>
      <c r="L789" s="23"/>
      <c r="M789" s="23"/>
      <c r="N789" s="23"/>
      <c r="O789" s="23"/>
      <c r="P789" s="23"/>
      <c r="Q789" s="23"/>
      <c r="R789" s="23"/>
      <c r="S789" s="23"/>
    </row>
    <row r="790" spans="1:19" ht="15.75" customHeight="1" x14ac:dyDescent="0.25">
      <c r="A790" s="92"/>
      <c r="B790" s="22"/>
      <c r="C790" s="23"/>
      <c r="D790" s="23"/>
      <c r="E790" s="23"/>
      <c r="F790" s="23"/>
      <c r="G790" s="23"/>
      <c r="H790" s="23"/>
      <c r="I790" s="23"/>
      <c r="J790" s="23"/>
      <c r="K790" s="23"/>
      <c r="L790" s="23"/>
      <c r="M790" s="23"/>
      <c r="N790" s="23"/>
      <c r="O790" s="23"/>
      <c r="P790" s="23"/>
      <c r="Q790" s="23"/>
      <c r="R790" s="23"/>
      <c r="S790" s="23"/>
    </row>
    <row r="791" spans="1:19" ht="15.75" customHeight="1" x14ac:dyDescent="0.25">
      <c r="A791" s="92"/>
      <c r="B791" s="22"/>
      <c r="C791" s="23"/>
      <c r="D791" s="23"/>
      <c r="E791" s="23"/>
      <c r="F791" s="23"/>
      <c r="G791" s="23"/>
      <c r="H791" s="23"/>
      <c r="I791" s="23"/>
      <c r="J791" s="23"/>
      <c r="K791" s="23"/>
      <c r="L791" s="23"/>
      <c r="M791" s="23"/>
      <c r="N791" s="23"/>
      <c r="O791" s="23"/>
      <c r="P791" s="23"/>
      <c r="Q791" s="23"/>
      <c r="R791" s="23"/>
      <c r="S791" s="23"/>
    </row>
    <row r="792" spans="1:19" ht="15.75" customHeight="1" x14ac:dyDescent="0.25">
      <c r="A792" s="92"/>
      <c r="B792" s="22"/>
      <c r="C792" s="23"/>
      <c r="D792" s="23"/>
      <c r="E792" s="23"/>
      <c r="F792" s="23"/>
      <c r="G792" s="23"/>
      <c r="H792" s="23"/>
      <c r="I792" s="23"/>
      <c r="J792" s="23"/>
      <c r="K792" s="23"/>
      <c r="L792" s="23"/>
      <c r="M792" s="23"/>
      <c r="N792" s="23"/>
      <c r="O792" s="23"/>
      <c r="P792" s="23"/>
      <c r="Q792" s="23"/>
      <c r="R792" s="23"/>
      <c r="S792" s="23"/>
    </row>
    <row r="793" spans="1:19" ht="15.75" customHeight="1" x14ac:dyDescent="0.25">
      <c r="A793" s="92"/>
      <c r="B793" s="22"/>
      <c r="C793" s="23"/>
      <c r="D793" s="23"/>
      <c r="E793" s="23"/>
      <c r="F793" s="23"/>
      <c r="G793" s="23"/>
      <c r="H793" s="23"/>
      <c r="I793" s="23"/>
      <c r="J793" s="23"/>
      <c r="K793" s="23"/>
      <c r="L793" s="23"/>
      <c r="M793" s="23"/>
      <c r="N793" s="23"/>
      <c r="O793" s="23"/>
      <c r="P793" s="23"/>
      <c r="Q793" s="23"/>
      <c r="R793" s="23"/>
      <c r="S793" s="23"/>
    </row>
    <row r="794" spans="1:19" ht="15.75" customHeight="1" x14ac:dyDescent="0.25">
      <c r="A794" s="92"/>
      <c r="B794" s="22"/>
      <c r="C794" s="23"/>
      <c r="D794" s="23"/>
      <c r="E794" s="23"/>
      <c r="F794" s="23"/>
      <c r="G794" s="23"/>
      <c r="H794" s="23"/>
      <c r="I794" s="23"/>
      <c r="J794" s="23"/>
      <c r="K794" s="23"/>
      <c r="L794" s="23"/>
      <c r="M794" s="23"/>
      <c r="N794" s="23"/>
      <c r="O794" s="23"/>
      <c r="P794" s="23"/>
      <c r="Q794" s="23"/>
      <c r="R794" s="23"/>
      <c r="S794" s="23"/>
    </row>
    <row r="795" spans="1:19" ht="15.75" customHeight="1" x14ac:dyDescent="0.25">
      <c r="A795" s="92"/>
      <c r="B795" s="22"/>
      <c r="C795" s="23"/>
      <c r="D795" s="23"/>
      <c r="E795" s="23"/>
      <c r="F795" s="23"/>
      <c r="G795" s="23"/>
      <c r="H795" s="23"/>
      <c r="I795" s="23"/>
      <c r="J795" s="23"/>
      <c r="K795" s="23"/>
      <c r="L795" s="23"/>
      <c r="M795" s="23"/>
      <c r="N795" s="23"/>
      <c r="O795" s="23"/>
      <c r="P795" s="23"/>
      <c r="Q795" s="23"/>
      <c r="R795" s="23"/>
      <c r="S795" s="23"/>
    </row>
    <row r="796" spans="1:19" ht="15.75" customHeight="1" x14ac:dyDescent="0.25">
      <c r="A796" s="92"/>
      <c r="B796" s="22"/>
      <c r="C796" s="23"/>
      <c r="D796" s="23"/>
      <c r="E796" s="23"/>
      <c r="F796" s="23"/>
      <c r="G796" s="23"/>
      <c r="H796" s="23"/>
      <c r="I796" s="23"/>
      <c r="J796" s="23"/>
      <c r="K796" s="23"/>
      <c r="L796" s="23"/>
      <c r="M796" s="23"/>
      <c r="N796" s="23"/>
      <c r="O796" s="23"/>
      <c r="P796" s="23"/>
      <c r="Q796" s="23"/>
      <c r="R796" s="23"/>
      <c r="S796" s="23"/>
    </row>
    <row r="797" spans="1:19" ht="15.75" customHeight="1" x14ac:dyDescent="0.25">
      <c r="A797" s="92"/>
      <c r="B797" s="22"/>
      <c r="C797" s="23"/>
      <c r="D797" s="23"/>
      <c r="E797" s="23"/>
      <c r="F797" s="23"/>
      <c r="G797" s="23"/>
      <c r="H797" s="23"/>
      <c r="I797" s="23"/>
      <c r="J797" s="23"/>
      <c r="K797" s="23"/>
      <c r="L797" s="23"/>
      <c r="M797" s="23"/>
      <c r="N797" s="23"/>
      <c r="O797" s="23"/>
      <c r="P797" s="23"/>
      <c r="Q797" s="23"/>
      <c r="R797" s="23"/>
      <c r="S797" s="23"/>
    </row>
    <row r="798" spans="1:19" ht="15.75" customHeight="1" x14ac:dyDescent="0.25">
      <c r="A798" s="92"/>
      <c r="B798" s="22"/>
      <c r="C798" s="23"/>
      <c r="D798" s="23"/>
      <c r="E798" s="23"/>
      <c r="F798" s="23"/>
      <c r="G798" s="23"/>
      <c r="H798" s="23"/>
      <c r="I798" s="23"/>
      <c r="J798" s="23"/>
      <c r="K798" s="23"/>
      <c r="L798" s="23"/>
      <c r="M798" s="23"/>
      <c r="N798" s="23"/>
      <c r="O798" s="23"/>
      <c r="P798" s="23"/>
      <c r="Q798" s="23"/>
      <c r="R798" s="23"/>
      <c r="S798" s="23"/>
    </row>
    <row r="799" spans="1:19" ht="15.75" customHeight="1" x14ac:dyDescent="0.25">
      <c r="A799" s="92"/>
      <c r="B799" s="22"/>
      <c r="C799" s="23"/>
      <c r="D799" s="23"/>
      <c r="E799" s="23"/>
      <c r="F799" s="23"/>
      <c r="G799" s="23"/>
      <c r="H799" s="23"/>
      <c r="I799" s="23"/>
      <c r="J799" s="23"/>
      <c r="K799" s="23"/>
      <c r="L799" s="23"/>
      <c r="M799" s="23"/>
      <c r="N799" s="23"/>
      <c r="O799" s="23"/>
      <c r="P799" s="23"/>
      <c r="Q799" s="23"/>
      <c r="R799" s="23"/>
      <c r="S799" s="23"/>
    </row>
    <row r="800" spans="1:19" ht="15.75" customHeight="1" x14ac:dyDescent="0.25">
      <c r="A800" s="92"/>
      <c r="B800" s="22"/>
      <c r="C800" s="23"/>
      <c r="D800" s="23"/>
      <c r="E800" s="23"/>
      <c r="F800" s="23"/>
      <c r="G800" s="23"/>
      <c r="H800" s="23"/>
      <c r="I800" s="23"/>
      <c r="J800" s="23"/>
      <c r="K800" s="23"/>
      <c r="L800" s="23"/>
      <c r="M800" s="23"/>
      <c r="N800" s="23"/>
      <c r="O800" s="23"/>
      <c r="P800" s="23"/>
      <c r="Q800" s="23"/>
      <c r="R800" s="23"/>
      <c r="S800" s="23"/>
    </row>
    <row r="801" spans="1:19" ht="15.75" customHeight="1" x14ac:dyDescent="0.25">
      <c r="A801" s="92"/>
      <c r="B801" s="22"/>
      <c r="C801" s="23"/>
      <c r="D801" s="23"/>
      <c r="E801" s="23"/>
      <c r="F801" s="23"/>
      <c r="G801" s="23"/>
      <c r="H801" s="23"/>
      <c r="I801" s="23"/>
      <c r="J801" s="23"/>
      <c r="K801" s="23"/>
      <c r="L801" s="23"/>
      <c r="M801" s="23"/>
      <c r="N801" s="23"/>
      <c r="O801" s="23"/>
      <c r="P801" s="23"/>
      <c r="Q801" s="23"/>
      <c r="R801" s="23"/>
      <c r="S801" s="23"/>
    </row>
    <row r="802" spans="1:19" ht="15.75" customHeight="1" x14ac:dyDescent="0.25">
      <c r="A802" s="92"/>
      <c r="B802" s="22"/>
      <c r="C802" s="23"/>
      <c r="D802" s="23"/>
      <c r="E802" s="23"/>
      <c r="F802" s="23"/>
      <c r="G802" s="23"/>
      <c r="H802" s="23"/>
      <c r="I802" s="23"/>
      <c r="J802" s="23"/>
      <c r="K802" s="23"/>
      <c r="L802" s="23"/>
      <c r="M802" s="23"/>
      <c r="N802" s="23"/>
      <c r="O802" s="23"/>
      <c r="P802" s="23"/>
      <c r="Q802" s="23"/>
      <c r="R802" s="23"/>
      <c r="S802" s="23"/>
    </row>
    <row r="803" spans="1:19" ht="15.75" customHeight="1" x14ac:dyDescent="0.25">
      <c r="A803" s="92"/>
      <c r="B803" s="22"/>
      <c r="C803" s="23"/>
      <c r="D803" s="23"/>
      <c r="E803" s="23"/>
      <c r="F803" s="23"/>
      <c r="G803" s="23"/>
      <c r="H803" s="23"/>
      <c r="I803" s="23"/>
      <c r="J803" s="23"/>
      <c r="K803" s="23"/>
      <c r="L803" s="23"/>
      <c r="M803" s="23"/>
      <c r="N803" s="23"/>
      <c r="O803" s="23"/>
      <c r="P803" s="23"/>
      <c r="Q803" s="23"/>
      <c r="R803" s="23"/>
      <c r="S803" s="23"/>
    </row>
    <row r="804" spans="1:19" ht="15.75" customHeight="1" x14ac:dyDescent="0.25">
      <c r="A804" s="92"/>
      <c r="B804" s="22"/>
      <c r="C804" s="23"/>
      <c r="D804" s="23"/>
      <c r="E804" s="23"/>
      <c r="F804" s="23"/>
      <c r="G804" s="23"/>
      <c r="H804" s="23"/>
      <c r="I804" s="23"/>
      <c r="J804" s="23"/>
      <c r="K804" s="23"/>
      <c r="L804" s="23"/>
      <c r="M804" s="23"/>
      <c r="N804" s="23"/>
      <c r="O804" s="23"/>
      <c r="P804" s="23"/>
      <c r="Q804" s="23"/>
      <c r="R804" s="23"/>
      <c r="S804" s="23"/>
    </row>
    <row r="805" spans="1:19" ht="15.75" customHeight="1" x14ac:dyDescent="0.25">
      <c r="A805" s="92"/>
      <c r="B805" s="22"/>
      <c r="C805" s="23"/>
      <c r="D805" s="23"/>
      <c r="E805" s="23"/>
      <c r="F805" s="23"/>
      <c r="G805" s="23"/>
      <c r="H805" s="23"/>
      <c r="I805" s="23"/>
      <c r="J805" s="23"/>
      <c r="K805" s="23"/>
      <c r="L805" s="23"/>
      <c r="M805" s="23"/>
      <c r="N805" s="23"/>
      <c r="O805" s="23"/>
      <c r="P805" s="23"/>
      <c r="Q805" s="23"/>
      <c r="R805" s="23"/>
      <c r="S805" s="23"/>
    </row>
    <row r="806" spans="1:19" ht="15.75" customHeight="1" x14ac:dyDescent="0.25">
      <c r="A806" s="92"/>
      <c r="B806" s="22"/>
      <c r="C806" s="23"/>
      <c r="D806" s="23"/>
      <c r="E806" s="23"/>
      <c r="F806" s="23"/>
      <c r="G806" s="23"/>
      <c r="H806" s="23"/>
      <c r="I806" s="23"/>
      <c r="J806" s="23"/>
      <c r="K806" s="23"/>
      <c r="L806" s="23"/>
      <c r="M806" s="23"/>
      <c r="N806" s="23"/>
      <c r="O806" s="23"/>
      <c r="P806" s="23"/>
      <c r="Q806" s="23"/>
      <c r="R806" s="23"/>
      <c r="S806" s="23"/>
    </row>
    <row r="807" spans="1:19" ht="15.75" customHeight="1" x14ac:dyDescent="0.25">
      <c r="A807" s="92"/>
      <c r="B807" s="22"/>
      <c r="C807" s="23"/>
      <c r="D807" s="23"/>
      <c r="E807" s="23"/>
      <c r="F807" s="23"/>
      <c r="G807" s="23"/>
      <c r="H807" s="23"/>
      <c r="I807" s="23"/>
      <c r="J807" s="23"/>
      <c r="K807" s="23"/>
      <c r="L807" s="23"/>
      <c r="M807" s="23"/>
      <c r="N807" s="23"/>
      <c r="O807" s="23"/>
      <c r="P807" s="23"/>
      <c r="Q807" s="23"/>
      <c r="R807" s="23"/>
      <c r="S807" s="23"/>
    </row>
    <row r="808" spans="1:19" ht="15.75" customHeight="1" x14ac:dyDescent="0.25">
      <c r="A808" s="92"/>
      <c r="B808" s="22"/>
      <c r="C808" s="23"/>
      <c r="D808" s="23"/>
      <c r="E808" s="23"/>
      <c r="F808" s="23"/>
      <c r="G808" s="23"/>
      <c r="H808" s="23"/>
      <c r="I808" s="23"/>
      <c r="J808" s="23"/>
      <c r="K808" s="23"/>
      <c r="L808" s="23"/>
      <c r="M808" s="23"/>
      <c r="N808" s="23"/>
      <c r="O808" s="23"/>
      <c r="P808" s="23"/>
      <c r="Q808" s="23"/>
      <c r="R808" s="23"/>
      <c r="S808" s="23"/>
    </row>
    <row r="809" spans="1:19" ht="15.75" customHeight="1" x14ac:dyDescent="0.25">
      <c r="A809" s="92"/>
      <c r="B809" s="22"/>
      <c r="C809" s="23"/>
      <c r="D809" s="23"/>
      <c r="E809" s="23"/>
      <c r="F809" s="23"/>
      <c r="G809" s="23"/>
      <c r="H809" s="23"/>
      <c r="I809" s="23"/>
      <c r="J809" s="23"/>
      <c r="K809" s="23"/>
      <c r="L809" s="23"/>
      <c r="M809" s="23"/>
      <c r="N809" s="23"/>
      <c r="O809" s="23"/>
      <c r="P809" s="23"/>
      <c r="Q809" s="23"/>
      <c r="R809" s="23"/>
      <c r="S809" s="23"/>
    </row>
    <row r="810" spans="1:19" ht="15.75" customHeight="1" x14ac:dyDescent="0.25">
      <c r="A810" s="92"/>
      <c r="B810" s="22"/>
      <c r="C810" s="23"/>
      <c r="D810" s="23"/>
      <c r="E810" s="23"/>
      <c r="F810" s="23"/>
      <c r="G810" s="23"/>
      <c r="H810" s="23"/>
      <c r="I810" s="23"/>
      <c r="J810" s="23"/>
      <c r="K810" s="23"/>
      <c r="L810" s="23"/>
      <c r="M810" s="23"/>
      <c r="N810" s="23"/>
      <c r="O810" s="23"/>
      <c r="P810" s="23"/>
      <c r="Q810" s="23"/>
      <c r="R810" s="23"/>
      <c r="S810" s="23"/>
    </row>
    <row r="811" spans="1:19" ht="15.75" customHeight="1" x14ac:dyDescent="0.25">
      <c r="A811" s="92"/>
      <c r="B811" s="22"/>
      <c r="C811" s="23"/>
      <c r="D811" s="23"/>
      <c r="E811" s="23"/>
      <c r="F811" s="23"/>
      <c r="G811" s="23"/>
      <c r="H811" s="23"/>
      <c r="I811" s="23"/>
      <c r="J811" s="23"/>
      <c r="K811" s="23"/>
      <c r="L811" s="23"/>
      <c r="M811" s="23"/>
      <c r="N811" s="23"/>
      <c r="O811" s="23"/>
      <c r="P811" s="23"/>
      <c r="Q811" s="23"/>
      <c r="R811" s="23"/>
      <c r="S811" s="23"/>
    </row>
    <row r="812" spans="1:19" ht="15.75" customHeight="1" x14ac:dyDescent="0.25">
      <c r="A812" s="92"/>
      <c r="B812" s="22"/>
      <c r="C812" s="23"/>
      <c r="D812" s="23"/>
      <c r="E812" s="23"/>
      <c r="F812" s="23"/>
      <c r="G812" s="23"/>
      <c r="H812" s="23"/>
      <c r="I812" s="23"/>
      <c r="J812" s="23"/>
      <c r="K812" s="23"/>
      <c r="L812" s="23"/>
      <c r="M812" s="23"/>
      <c r="N812" s="23"/>
      <c r="O812" s="23"/>
      <c r="P812" s="23"/>
      <c r="Q812" s="23"/>
      <c r="R812" s="23"/>
      <c r="S812" s="23"/>
    </row>
    <row r="813" spans="1:19" ht="15.75" customHeight="1" x14ac:dyDescent="0.25">
      <c r="A813" s="92"/>
      <c r="B813" s="22"/>
      <c r="C813" s="23"/>
      <c r="D813" s="23"/>
      <c r="E813" s="23"/>
      <c r="F813" s="23"/>
      <c r="G813" s="23"/>
      <c r="H813" s="23"/>
      <c r="I813" s="23"/>
      <c r="J813" s="23"/>
      <c r="K813" s="23"/>
      <c r="L813" s="23"/>
      <c r="M813" s="23"/>
      <c r="N813" s="23"/>
      <c r="O813" s="23"/>
      <c r="P813" s="23"/>
      <c r="Q813" s="23"/>
      <c r="R813" s="23"/>
      <c r="S813" s="23"/>
    </row>
    <row r="814" spans="1:19" ht="15.75" customHeight="1" x14ac:dyDescent="0.25">
      <c r="A814" s="92"/>
      <c r="B814" s="22"/>
      <c r="C814" s="23"/>
      <c r="D814" s="23"/>
      <c r="E814" s="23"/>
      <c r="F814" s="23"/>
      <c r="G814" s="23"/>
      <c r="H814" s="23"/>
      <c r="I814" s="23"/>
      <c r="J814" s="23"/>
      <c r="K814" s="23"/>
      <c r="L814" s="23"/>
      <c r="M814" s="23"/>
      <c r="N814" s="23"/>
      <c r="O814" s="23"/>
      <c r="P814" s="23"/>
      <c r="Q814" s="23"/>
      <c r="R814" s="23"/>
      <c r="S814" s="23"/>
    </row>
    <row r="815" spans="1:19" ht="15.75" customHeight="1" x14ac:dyDescent="0.25">
      <c r="A815" s="92"/>
      <c r="B815" s="22"/>
      <c r="C815" s="23"/>
      <c r="D815" s="23"/>
      <c r="E815" s="23"/>
      <c r="F815" s="23"/>
      <c r="G815" s="23"/>
      <c r="H815" s="23"/>
      <c r="I815" s="23"/>
      <c r="J815" s="23"/>
      <c r="K815" s="23"/>
      <c r="L815" s="23"/>
      <c r="M815" s="23"/>
      <c r="N815" s="23"/>
      <c r="O815" s="23"/>
      <c r="P815" s="23"/>
      <c r="Q815" s="23"/>
      <c r="R815" s="23"/>
      <c r="S815" s="23"/>
    </row>
    <row r="816" spans="1:19" ht="15.75" customHeight="1" x14ac:dyDescent="0.25">
      <c r="A816" s="92"/>
      <c r="B816" s="22"/>
      <c r="C816" s="23"/>
      <c r="D816" s="23"/>
      <c r="E816" s="23"/>
      <c r="F816" s="23"/>
      <c r="G816" s="23"/>
      <c r="H816" s="23"/>
      <c r="I816" s="23"/>
      <c r="J816" s="23"/>
      <c r="K816" s="23"/>
      <c r="L816" s="23"/>
      <c r="M816" s="23"/>
      <c r="N816" s="23"/>
      <c r="O816" s="23"/>
      <c r="P816" s="23"/>
      <c r="Q816" s="23"/>
      <c r="R816" s="23"/>
      <c r="S816" s="23"/>
    </row>
    <row r="817" spans="1:19" ht="15.75" customHeight="1" x14ac:dyDescent="0.25">
      <c r="A817" s="92"/>
      <c r="B817" s="22"/>
      <c r="C817" s="23"/>
      <c r="D817" s="23"/>
      <c r="E817" s="23"/>
      <c r="F817" s="23"/>
      <c r="G817" s="23"/>
      <c r="H817" s="23"/>
      <c r="I817" s="23"/>
      <c r="J817" s="23"/>
      <c r="K817" s="23"/>
      <c r="L817" s="23"/>
      <c r="M817" s="23"/>
      <c r="N817" s="23"/>
      <c r="O817" s="23"/>
      <c r="P817" s="23"/>
      <c r="Q817" s="23"/>
      <c r="R817" s="23"/>
      <c r="S817" s="23"/>
    </row>
    <row r="818" spans="1:19" ht="15.75" customHeight="1" x14ac:dyDescent="0.25">
      <c r="A818" s="92"/>
      <c r="B818" s="22"/>
      <c r="C818" s="23"/>
      <c r="D818" s="23"/>
      <c r="E818" s="23"/>
      <c r="F818" s="23"/>
      <c r="G818" s="23"/>
      <c r="H818" s="23"/>
      <c r="I818" s="23"/>
      <c r="J818" s="23"/>
      <c r="K818" s="23"/>
      <c r="L818" s="23"/>
      <c r="M818" s="23"/>
      <c r="N818" s="23"/>
      <c r="O818" s="23"/>
      <c r="P818" s="23"/>
      <c r="Q818" s="23"/>
      <c r="R818" s="23"/>
      <c r="S818" s="23"/>
    </row>
    <row r="819" spans="1:19" ht="15.75" customHeight="1" x14ac:dyDescent="0.25">
      <c r="A819" s="92"/>
      <c r="B819" s="22"/>
      <c r="C819" s="23"/>
      <c r="D819" s="23"/>
      <c r="E819" s="23"/>
      <c r="F819" s="23"/>
      <c r="G819" s="23"/>
      <c r="H819" s="23"/>
      <c r="I819" s="23"/>
      <c r="J819" s="23"/>
      <c r="K819" s="23"/>
      <c r="L819" s="23"/>
      <c r="M819" s="23"/>
      <c r="N819" s="23"/>
      <c r="O819" s="23"/>
      <c r="P819" s="23"/>
      <c r="Q819" s="23"/>
      <c r="R819" s="23"/>
      <c r="S819" s="23"/>
    </row>
    <row r="820" spans="1:19" ht="15.75" customHeight="1" x14ac:dyDescent="0.25">
      <c r="A820" s="92"/>
      <c r="B820" s="22"/>
      <c r="C820" s="23"/>
      <c r="D820" s="23"/>
      <c r="E820" s="23"/>
      <c r="F820" s="23"/>
      <c r="G820" s="23"/>
      <c r="H820" s="23"/>
      <c r="I820" s="23"/>
      <c r="J820" s="23"/>
      <c r="K820" s="23"/>
      <c r="L820" s="23"/>
      <c r="M820" s="23"/>
      <c r="N820" s="23"/>
      <c r="O820" s="23"/>
      <c r="P820" s="23"/>
      <c r="Q820" s="23"/>
      <c r="R820" s="23"/>
      <c r="S820" s="23"/>
    </row>
    <row r="821" spans="1:19" ht="15.75" customHeight="1" x14ac:dyDescent="0.25">
      <c r="A821" s="92"/>
      <c r="B821" s="22"/>
      <c r="C821" s="23"/>
      <c r="D821" s="23"/>
      <c r="E821" s="23"/>
      <c r="F821" s="23"/>
      <c r="G821" s="23"/>
      <c r="H821" s="23"/>
      <c r="I821" s="23"/>
      <c r="J821" s="23"/>
      <c r="K821" s="23"/>
      <c r="L821" s="23"/>
      <c r="M821" s="23"/>
      <c r="N821" s="23"/>
      <c r="O821" s="23"/>
      <c r="P821" s="23"/>
      <c r="Q821" s="23"/>
      <c r="R821" s="23"/>
      <c r="S821" s="23"/>
    </row>
    <row r="822" spans="1:19" ht="15.75" customHeight="1" x14ac:dyDescent="0.25">
      <c r="A822" s="92"/>
      <c r="B822" s="22"/>
      <c r="C822" s="23"/>
      <c r="D822" s="23"/>
      <c r="E822" s="23"/>
      <c r="F822" s="23"/>
      <c r="G822" s="23"/>
      <c r="H822" s="23"/>
      <c r="I822" s="23"/>
      <c r="J822" s="23"/>
      <c r="K822" s="23"/>
      <c r="L822" s="23"/>
      <c r="M822" s="23"/>
      <c r="N822" s="23"/>
      <c r="O822" s="23"/>
      <c r="P822" s="23"/>
      <c r="Q822" s="23"/>
      <c r="R822" s="23"/>
      <c r="S822" s="23"/>
    </row>
    <row r="823" spans="1:19" ht="15.75" customHeight="1" x14ac:dyDescent="0.25">
      <c r="A823" s="92"/>
      <c r="B823" s="22"/>
      <c r="C823" s="23"/>
      <c r="D823" s="23"/>
      <c r="E823" s="23"/>
      <c r="F823" s="23"/>
      <c r="G823" s="23"/>
      <c r="H823" s="23"/>
      <c r="I823" s="23"/>
      <c r="J823" s="23"/>
      <c r="K823" s="23"/>
      <c r="L823" s="23"/>
      <c r="M823" s="23"/>
      <c r="N823" s="23"/>
      <c r="O823" s="23"/>
      <c r="P823" s="23"/>
      <c r="Q823" s="23"/>
      <c r="R823" s="23"/>
      <c r="S823" s="23"/>
    </row>
    <row r="824" spans="1:19" ht="15.75" customHeight="1" x14ac:dyDescent="0.25">
      <c r="A824" s="92"/>
      <c r="B824" s="22"/>
      <c r="C824" s="23"/>
      <c r="D824" s="23"/>
      <c r="E824" s="23"/>
      <c r="F824" s="23"/>
      <c r="G824" s="23"/>
      <c r="H824" s="23"/>
      <c r="I824" s="23"/>
      <c r="J824" s="23"/>
      <c r="K824" s="23"/>
      <c r="L824" s="23"/>
      <c r="M824" s="23"/>
      <c r="N824" s="23"/>
      <c r="O824" s="23"/>
      <c r="P824" s="23"/>
      <c r="Q824" s="23"/>
      <c r="R824" s="23"/>
      <c r="S824" s="23"/>
    </row>
    <row r="825" spans="1:19" ht="15.75" customHeight="1" x14ac:dyDescent="0.25">
      <c r="A825" s="92"/>
      <c r="B825" s="22"/>
      <c r="C825" s="23"/>
      <c r="D825" s="23"/>
      <c r="E825" s="23"/>
      <c r="F825" s="23"/>
      <c r="G825" s="23"/>
      <c r="H825" s="23"/>
      <c r="I825" s="23"/>
      <c r="J825" s="23"/>
      <c r="K825" s="23"/>
      <c r="L825" s="23"/>
      <c r="M825" s="23"/>
      <c r="N825" s="23"/>
      <c r="O825" s="23"/>
      <c r="P825" s="23"/>
      <c r="Q825" s="23"/>
      <c r="R825" s="23"/>
      <c r="S825" s="23"/>
    </row>
    <row r="826" spans="1:19" ht="15.75" customHeight="1" x14ac:dyDescent="0.25">
      <c r="A826" s="92"/>
      <c r="B826" s="22"/>
      <c r="C826" s="23"/>
      <c r="D826" s="23"/>
      <c r="E826" s="23"/>
      <c r="F826" s="23"/>
      <c r="G826" s="23"/>
      <c r="H826" s="23"/>
      <c r="I826" s="23"/>
      <c r="J826" s="23"/>
      <c r="K826" s="23"/>
      <c r="L826" s="23"/>
      <c r="M826" s="23"/>
      <c r="N826" s="23"/>
      <c r="O826" s="23"/>
      <c r="P826" s="23"/>
      <c r="Q826" s="23"/>
      <c r="R826" s="23"/>
      <c r="S826" s="23"/>
    </row>
    <row r="827" spans="1:19" ht="15.75" customHeight="1" x14ac:dyDescent="0.25">
      <c r="A827" s="92"/>
      <c r="B827" s="22"/>
      <c r="C827" s="23"/>
      <c r="D827" s="23"/>
      <c r="E827" s="23"/>
      <c r="F827" s="23"/>
      <c r="G827" s="23"/>
      <c r="H827" s="23"/>
      <c r="I827" s="23"/>
      <c r="J827" s="23"/>
      <c r="K827" s="23"/>
      <c r="L827" s="23"/>
      <c r="M827" s="23"/>
      <c r="N827" s="23"/>
      <c r="O827" s="23"/>
      <c r="P827" s="23"/>
      <c r="Q827" s="23"/>
      <c r="R827" s="23"/>
      <c r="S827" s="23"/>
    </row>
    <row r="828" spans="1:19" ht="15.75" customHeight="1" x14ac:dyDescent="0.25">
      <c r="A828" s="92"/>
      <c r="B828" s="22"/>
      <c r="C828" s="23"/>
      <c r="D828" s="23"/>
      <c r="E828" s="23"/>
      <c r="F828" s="23"/>
      <c r="G828" s="23"/>
      <c r="H828" s="23"/>
      <c r="I828" s="23"/>
      <c r="J828" s="23"/>
      <c r="K828" s="23"/>
      <c r="L828" s="23"/>
      <c r="M828" s="23"/>
      <c r="N828" s="23"/>
      <c r="O828" s="23"/>
      <c r="P828" s="23"/>
      <c r="Q828" s="23"/>
      <c r="R828" s="23"/>
      <c r="S828" s="23"/>
    </row>
    <row r="829" spans="1:19" ht="15.75" customHeight="1" x14ac:dyDescent="0.25">
      <c r="A829" s="92"/>
      <c r="B829" s="22"/>
      <c r="C829" s="23"/>
      <c r="D829" s="23"/>
      <c r="E829" s="23"/>
      <c r="F829" s="23"/>
      <c r="G829" s="23"/>
      <c r="H829" s="23"/>
      <c r="I829" s="23"/>
      <c r="J829" s="23"/>
      <c r="K829" s="23"/>
      <c r="L829" s="23"/>
      <c r="M829" s="23"/>
      <c r="N829" s="23"/>
      <c r="O829" s="23"/>
      <c r="P829" s="23"/>
      <c r="Q829" s="23"/>
      <c r="R829" s="23"/>
      <c r="S829" s="23"/>
    </row>
    <row r="830" spans="1:19" ht="15.75" customHeight="1" x14ac:dyDescent="0.25">
      <c r="A830" s="92"/>
      <c r="B830" s="22"/>
      <c r="C830" s="23"/>
      <c r="D830" s="23"/>
      <c r="E830" s="23"/>
      <c r="F830" s="23"/>
      <c r="G830" s="23"/>
      <c r="H830" s="23"/>
      <c r="I830" s="23"/>
      <c r="J830" s="23"/>
      <c r="K830" s="23"/>
      <c r="L830" s="23"/>
      <c r="M830" s="23"/>
      <c r="N830" s="23"/>
      <c r="O830" s="23"/>
      <c r="P830" s="23"/>
      <c r="Q830" s="23"/>
      <c r="R830" s="23"/>
      <c r="S830" s="23"/>
    </row>
    <row r="831" spans="1:19" ht="15.75" customHeight="1" x14ac:dyDescent="0.25">
      <c r="A831" s="92"/>
      <c r="B831" s="22"/>
      <c r="C831" s="23"/>
      <c r="D831" s="23"/>
      <c r="E831" s="23"/>
      <c r="F831" s="23"/>
      <c r="G831" s="23"/>
      <c r="H831" s="23"/>
      <c r="I831" s="23"/>
      <c r="J831" s="23"/>
      <c r="K831" s="23"/>
      <c r="L831" s="23"/>
      <c r="M831" s="23"/>
      <c r="N831" s="23"/>
      <c r="O831" s="23"/>
      <c r="P831" s="23"/>
      <c r="Q831" s="23"/>
      <c r="R831" s="23"/>
      <c r="S831" s="23"/>
    </row>
    <row r="832" spans="1:19" ht="15.75" customHeight="1" x14ac:dyDescent="0.25">
      <c r="A832" s="92"/>
      <c r="B832" s="22"/>
      <c r="C832" s="23"/>
      <c r="D832" s="23"/>
      <c r="E832" s="23"/>
      <c r="F832" s="23"/>
      <c r="G832" s="23"/>
      <c r="H832" s="23"/>
      <c r="I832" s="23"/>
      <c r="J832" s="23"/>
      <c r="K832" s="23"/>
      <c r="L832" s="23"/>
      <c r="M832" s="23"/>
      <c r="N832" s="23"/>
      <c r="O832" s="23"/>
      <c r="P832" s="23"/>
      <c r="Q832" s="23"/>
      <c r="R832" s="23"/>
      <c r="S832" s="23"/>
    </row>
    <row r="833" spans="1:19" ht="15.75" customHeight="1" x14ac:dyDescent="0.25">
      <c r="A833" s="92"/>
      <c r="B833" s="22"/>
      <c r="C833" s="23"/>
      <c r="D833" s="23"/>
      <c r="E833" s="23"/>
      <c r="F833" s="23"/>
      <c r="G833" s="23"/>
      <c r="H833" s="23"/>
      <c r="I833" s="23"/>
      <c r="J833" s="23"/>
      <c r="K833" s="23"/>
      <c r="L833" s="23"/>
      <c r="M833" s="23"/>
      <c r="N833" s="23"/>
      <c r="O833" s="23"/>
      <c r="P833" s="23"/>
      <c r="Q833" s="23"/>
      <c r="R833" s="23"/>
      <c r="S833" s="23"/>
    </row>
    <row r="834" spans="1:19" ht="15.75" customHeight="1" x14ac:dyDescent="0.25">
      <c r="A834" s="92"/>
      <c r="B834" s="22"/>
      <c r="C834" s="23"/>
      <c r="D834" s="23"/>
      <c r="E834" s="23"/>
      <c r="F834" s="23"/>
      <c r="G834" s="23"/>
      <c r="H834" s="23"/>
      <c r="I834" s="23"/>
      <c r="J834" s="23"/>
      <c r="K834" s="23"/>
      <c r="L834" s="23"/>
      <c r="M834" s="23"/>
      <c r="N834" s="23"/>
      <c r="O834" s="23"/>
      <c r="P834" s="23"/>
      <c r="Q834" s="23"/>
      <c r="R834" s="23"/>
      <c r="S834" s="23"/>
    </row>
    <row r="835" spans="1:19" ht="15.75" customHeight="1" x14ac:dyDescent="0.25">
      <c r="A835" s="92"/>
      <c r="B835" s="22"/>
      <c r="C835" s="23"/>
      <c r="D835" s="23"/>
      <c r="E835" s="23"/>
      <c r="F835" s="23"/>
      <c r="G835" s="23"/>
      <c r="H835" s="23"/>
      <c r="I835" s="23"/>
      <c r="J835" s="23"/>
      <c r="K835" s="23"/>
      <c r="L835" s="23"/>
      <c r="M835" s="23"/>
      <c r="N835" s="23"/>
      <c r="O835" s="23"/>
      <c r="P835" s="23"/>
      <c r="Q835" s="23"/>
      <c r="R835" s="23"/>
      <c r="S835" s="23"/>
    </row>
    <row r="836" spans="1:19" ht="15.75" customHeight="1" x14ac:dyDescent="0.25">
      <c r="A836" s="92"/>
      <c r="B836" s="22"/>
      <c r="C836" s="23"/>
      <c r="D836" s="23"/>
      <c r="E836" s="23"/>
      <c r="F836" s="23"/>
      <c r="G836" s="23"/>
      <c r="H836" s="23"/>
      <c r="I836" s="23"/>
      <c r="J836" s="23"/>
      <c r="K836" s="23"/>
      <c r="L836" s="23"/>
      <c r="M836" s="23"/>
      <c r="N836" s="23"/>
      <c r="O836" s="23"/>
      <c r="P836" s="23"/>
      <c r="Q836" s="23"/>
      <c r="R836" s="23"/>
      <c r="S836" s="23"/>
    </row>
    <row r="837" spans="1:19" ht="15.75" customHeight="1" x14ac:dyDescent="0.25">
      <c r="A837" s="92"/>
      <c r="B837" s="22"/>
      <c r="C837" s="23"/>
      <c r="D837" s="23"/>
      <c r="E837" s="23"/>
      <c r="F837" s="23"/>
      <c r="G837" s="23"/>
      <c r="H837" s="23"/>
      <c r="I837" s="23"/>
      <c r="J837" s="23"/>
      <c r="K837" s="23"/>
      <c r="L837" s="23"/>
      <c r="M837" s="23"/>
      <c r="N837" s="23"/>
      <c r="O837" s="23"/>
      <c r="P837" s="23"/>
      <c r="Q837" s="23"/>
      <c r="R837" s="23"/>
      <c r="S837" s="23"/>
    </row>
    <row r="838" spans="1:19" ht="15.75" customHeight="1" x14ac:dyDescent="0.25">
      <c r="A838" s="92"/>
      <c r="B838" s="22"/>
      <c r="C838" s="23"/>
      <c r="D838" s="23"/>
      <c r="E838" s="23"/>
      <c r="F838" s="23"/>
      <c r="G838" s="23"/>
      <c r="H838" s="23"/>
      <c r="I838" s="23"/>
      <c r="J838" s="23"/>
      <c r="K838" s="23"/>
      <c r="L838" s="23"/>
      <c r="M838" s="23"/>
      <c r="N838" s="23"/>
      <c r="O838" s="23"/>
      <c r="P838" s="23"/>
      <c r="Q838" s="23"/>
      <c r="R838" s="23"/>
      <c r="S838" s="23"/>
    </row>
    <row r="839" spans="1:19" ht="15.75" customHeight="1" x14ac:dyDescent="0.25">
      <c r="A839" s="92"/>
      <c r="B839" s="22"/>
      <c r="C839" s="23"/>
      <c r="D839" s="23"/>
      <c r="E839" s="23"/>
      <c r="F839" s="23"/>
      <c r="G839" s="23"/>
      <c r="H839" s="23"/>
      <c r="I839" s="23"/>
      <c r="J839" s="23"/>
      <c r="K839" s="23"/>
      <c r="L839" s="23"/>
      <c r="M839" s="23"/>
      <c r="N839" s="23"/>
      <c r="O839" s="23"/>
      <c r="P839" s="23"/>
      <c r="Q839" s="23"/>
      <c r="R839" s="23"/>
      <c r="S839" s="23"/>
    </row>
    <row r="840" spans="1:19" ht="15.75" customHeight="1" x14ac:dyDescent="0.25">
      <c r="A840" s="92"/>
      <c r="B840" s="22"/>
      <c r="C840" s="23"/>
      <c r="D840" s="23"/>
      <c r="E840" s="23"/>
      <c r="F840" s="23"/>
      <c r="G840" s="23"/>
      <c r="H840" s="23"/>
      <c r="I840" s="23"/>
      <c r="J840" s="23"/>
      <c r="K840" s="23"/>
      <c r="L840" s="23"/>
      <c r="M840" s="23"/>
      <c r="N840" s="23"/>
      <c r="O840" s="23"/>
      <c r="P840" s="23"/>
      <c r="Q840" s="23"/>
      <c r="R840" s="23"/>
      <c r="S840" s="23"/>
    </row>
    <row r="841" spans="1:19" ht="15.75" customHeight="1" x14ac:dyDescent="0.25">
      <c r="A841" s="92"/>
      <c r="B841" s="22"/>
      <c r="C841" s="23"/>
      <c r="D841" s="23"/>
      <c r="E841" s="23"/>
      <c r="F841" s="23"/>
      <c r="G841" s="23"/>
      <c r="H841" s="23"/>
      <c r="I841" s="23"/>
      <c r="J841" s="23"/>
      <c r="K841" s="23"/>
      <c r="L841" s="23"/>
      <c r="M841" s="23"/>
      <c r="N841" s="23"/>
      <c r="O841" s="23"/>
      <c r="P841" s="23"/>
      <c r="Q841" s="23"/>
      <c r="R841" s="23"/>
      <c r="S841" s="23"/>
    </row>
    <row r="842" spans="1:19" ht="15.75" customHeight="1" x14ac:dyDescent="0.25">
      <c r="A842" s="92"/>
      <c r="B842" s="22"/>
      <c r="C842" s="23"/>
      <c r="D842" s="23"/>
      <c r="E842" s="23"/>
      <c r="F842" s="23"/>
      <c r="G842" s="23"/>
      <c r="H842" s="23"/>
      <c r="I842" s="23"/>
      <c r="J842" s="23"/>
      <c r="K842" s="23"/>
      <c r="L842" s="23"/>
      <c r="M842" s="23"/>
      <c r="N842" s="23"/>
      <c r="O842" s="23"/>
      <c r="P842" s="23"/>
      <c r="Q842" s="23"/>
      <c r="R842" s="23"/>
      <c r="S842" s="23"/>
    </row>
    <row r="843" spans="1:19" ht="15.75" customHeight="1" x14ac:dyDescent="0.25">
      <c r="A843" s="92"/>
      <c r="B843" s="22"/>
      <c r="C843" s="23"/>
      <c r="D843" s="23"/>
      <c r="E843" s="23"/>
      <c r="F843" s="23"/>
      <c r="G843" s="23"/>
      <c r="H843" s="23"/>
      <c r="I843" s="23"/>
      <c r="J843" s="23"/>
      <c r="K843" s="23"/>
      <c r="L843" s="23"/>
      <c r="M843" s="23"/>
      <c r="N843" s="23"/>
      <c r="O843" s="23"/>
      <c r="P843" s="23"/>
      <c r="Q843" s="23"/>
      <c r="R843" s="23"/>
      <c r="S843" s="23"/>
    </row>
    <row r="844" spans="1:19" ht="15.75" customHeight="1" x14ac:dyDescent="0.25">
      <c r="A844" s="92"/>
      <c r="B844" s="22"/>
      <c r="C844" s="23"/>
      <c r="D844" s="23"/>
      <c r="E844" s="23"/>
      <c r="F844" s="23"/>
      <c r="G844" s="23"/>
      <c r="H844" s="23"/>
      <c r="I844" s="23"/>
      <c r="J844" s="23"/>
      <c r="K844" s="23"/>
      <c r="L844" s="23"/>
      <c r="M844" s="23"/>
      <c r="N844" s="23"/>
      <c r="O844" s="23"/>
      <c r="P844" s="23"/>
      <c r="Q844" s="23"/>
      <c r="R844" s="23"/>
      <c r="S844" s="23"/>
    </row>
    <row r="845" spans="1:19" ht="15.75" customHeight="1" x14ac:dyDescent="0.25">
      <c r="A845" s="92"/>
      <c r="B845" s="22"/>
      <c r="C845" s="23"/>
      <c r="D845" s="23"/>
      <c r="E845" s="23"/>
      <c r="F845" s="23"/>
      <c r="G845" s="23"/>
      <c r="H845" s="23"/>
      <c r="I845" s="23"/>
      <c r="J845" s="23"/>
      <c r="K845" s="23"/>
      <c r="L845" s="23"/>
      <c r="M845" s="23"/>
      <c r="N845" s="23"/>
      <c r="O845" s="23"/>
      <c r="P845" s="23"/>
      <c r="Q845" s="23"/>
      <c r="R845" s="23"/>
      <c r="S845" s="23"/>
    </row>
    <row r="846" spans="1:19" ht="15.75" customHeight="1" x14ac:dyDescent="0.25">
      <c r="A846" s="92"/>
      <c r="B846" s="22"/>
      <c r="C846" s="23"/>
      <c r="D846" s="23"/>
      <c r="E846" s="23"/>
      <c r="F846" s="23"/>
      <c r="G846" s="23"/>
      <c r="H846" s="23"/>
      <c r="I846" s="23"/>
      <c r="J846" s="23"/>
      <c r="K846" s="23"/>
      <c r="L846" s="23"/>
      <c r="M846" s="23"/>
      <c r="N846" s="23"/>
      <c r="O846" s="23"/>
      <c r="P846" s="23"/>
      <c r="Q846" s="23"/>
      <c r="R846" s="23"/>
      <c r="S846" s="23"/>
    </row>
    <row r="847" spans="1:19" ht="15.75" customHeight="1" x14ac:dyDescent="0.25">
      <c r="A847" s="92"/>
      <c r="B847" s="22"/>
      <c r="C847" s="23"/>
      <c r="D847" s="23"/>
      <c r="E847" s="23"/>
      <c r="F847" s="23"/>
      <c r="G847" s="23"/>
      <c r="H847" s="23"/>
      <c r="I847" s="23"/>
      <c r="J847" s="23"/>
      <c r="K847" s="23"/>
      <c r="L847" s="23"/>
      <c r="M847" s="23"/>
      <c r="N847" s="23"/>
      <c r="O847" s="23"/>
      <c r="P847" s="23"/>
      <c r="Q847" s="23"/>
      <c r="R847" s="23"/>
      <c r="S847" s="23"/>
    </row>
    <row r="848" spans="1:19" ht="15.75" customHeight="1" x14ac:dyDescent="0.25">
      <c r="A848" s="92"/>
      <c r="B848" s="22"/>
      <c r="C848" s="23"/>
      <c r="D848" s="23"/>
      <c r="E848" s="23"/>
      <c r="F848" s="23"/>
      <c r="G848" s="23"/>
      <c r="H848" s="23"/>
      <c r="I848" s="23"/>
      <c r="J848" s="23"/>
      <c r="K848" s="23"/>
      <c r="L848" s="23"/>
      <c r="M848" s="23"/>
      <c r="N848" s="23"/>
      <c r="O848" s="23"/>
      <c r="P848" s="23"/>
      <c r="Q848" s="23"/>
      <c r="R848" s="23"/>
      <c r="S848" s="23"/>
    </row>
    <row r="849" spans="1:19" ht="15.75" customHeight="1" x14ac:dyDescent="0.25">
      <c r="A849" s="92"/>
      <c r="B849" s="22"/>
      <c r="C849" s="23"/>
      <c r="D849" s="23"/>
      <c r="E849" s="23"/>
      <c r="F849" s="23"/>
      <c r="G849" s="23"/>
      <c r="H849" s="23"/>
      <c r="I849" s="23"/>
      <c r="J849" s="23"/>
      <c r="K849" s="23"/>
      <c r="L849" s="23"/>
      <c r="M849" s="23"/>
      <c r="N849" s="23"/>
      <c r="O849" s="23"/>
      <c r="P849" s="23"/>
      <c r="Q849" s="23"/>
      <c r="R849" s="23"/>
      <c r="S849" s="23"/>
    </row>
    <row r="850" spans="1:19" ht="15.75" customHeight="1" x14ac:dyDescent="0.25">
      <c r="A850" s="92"/>
      <c r="B850" s="22"/>
      <c r="C850" s="23"/>
      <c r="D850" s="23"/>
      <c r="E850" s="23"/>
      <c r="F850" s="23"/>
      <c r="G850" s="23"/>
      <c r="H850" s="23"/>
      <c r="I850" s="23"/>
      <c r="J850" s="23"/>
      <c r="K850" s="23"/>
      <c r="L850" s="23"/>
      <c r="M850" s="23"/>
      <c r="N850" s="23"/>
      <c r="O850" s="23"/>
      <c r="P850" s="23"/>
      <c r="Q850" s="23"/>
      <c r="R850" s="23"/>
      <c r="S850" s="23"/>
    </row>
    <row r="851" spans="1:19" ht="15.75" customHeight="1" x14ac:dyDescent="0.25">
      <c r="A851" s="92"/>
      <c r="B851" s="22"/>
      <c r="C851" s="23"/>
      <c r="D851" s="23"/>
      <c r="E851" s="23"/>
      <c r="F851" s="23"/>
      <c r="G851" s="23"/>
      <c r="H851" s="23"/>
      <c r="I851" s="23"/>
      <c r="J851" s="23"/>
      <c r="K851" s="23"/>
      <c r="L851" s="23"/>
      <c r="M851" s="23"/>
      <c r="N851" s="23"/>
      <c r="O851" s="23"/>
      <c r="P851" s="23"/>
      <c r="Q851" s="23"/>
      <c r="R851" s="23"/>
      <c r="S851" s="23"/>
    </row>
    <row r="852" spans="1:19" ht="15.75" customHeight="1" x14ac:dyDescent="0.25">
      <c r="A852" s="92"/>
      <c r="B852" s="22"/>
      <c r="C852" s="23"/>
      <c r="D852" s="23"/>
      <c r="E852" s="23"/>
      <c r="F852" s="23"/>
      <c r="G852" s="23"/>
      <c r="H852" s="23"/>
      <c r="I852" s="23"/>
      <c r="J852" s="23"/>
      <c r="K852" s="23"/>
      <c r="L852" s="23"/>
      <c r="M852" s="23"/>
      <c r="N852" s="23"/>
      <c r="O852" s="23"/>
      <c r="P852" s="23"/>
      <c r="Q852" s="23"/>
      <c r="R852" s="23"/>
      <c r="S852" s="23"/>
    </row>
    <row r="853" spans="1:19" ht="15.75" customHeight="1" x14ac:dyDescent="0.25">
      <c r="A853" s="92"/>
      <c r="B853" s="22"/>
      <c r="C853" s="23"/>
      <c r="D853" s="23"/>
      <c r="E853" s="23"/>
      <c r="F853" s="23"/>
      <c r="G853" s="23"/>
      <c r="H853" s="23"/>
      <c r="I853" s="23"/>
      <c r="J853" s="23"/>
      <c r="K853" s="23"/>
      <c r="L853" s="23"/>
      <c r="M853" s="23"/>
      <c r="N853" s="23"/>
      <c r="O853" s="23"/>
      <c r="P853" s="23"/>
      <c r="Q853" s="23"/>
      <c r="R853" s="23"/>
      <c r="S853" s="23"/>
    </row>
    <row r="854" spans="1:19" ht="15.75" customHeight="1" x14ac:dyDescent="0.25">
      <c r="A854" s="92"/>
      <c r="B854" s="22"/>
      <c r="C854" s="23"/>
      <c r="D854" s="23"/>
      <c r="E854" s="23"/>
      <c r="F854" s="23"/>
      <c r="G854" s="23"/>
      <c r="H854" s="23"/>
      <c r="I854" s="23"/>
      <c r="J854" s="23"/>
      <c r="K854" s="23"/>
      <c r="L854" s="23"/>
      <c r="M854" s="23"/>
      <c r="N854" s="23"/>
      <c r="O854" s="23"/>
      <c r="P854" s="23"/>
      <c r="Q854" s="23"/>
      <c r="R854" s="23"/>
      <c r="S854" s="23"/>
    </row>
    <row r="855" spans="1:19" ht="15.75" customHeight="1" x14ac:dyDescent="0.25">
      <c r="A855" s="92"/>
      <c r="B855" s="22"/>
      <c r="C855" s="23"/>
      <c r="D855" s="23"/>
      <c r="E855" s="23"/>
      <c r="F855" s="23"/>
      <c r="G855" s="23"/>
      <c r="H855" s="23"/>
      <c r="I855" s="23"/>
      <c r="J855" s="23"/>
      <c r="K855" s="23"/>
      <c r="L855" s="23"/>
      <c r="M855" s="23"/>
      <c r="N855" s="23"/>
      <c r="O855" s="23"/>
      <c r="P855" s="23"/>
      <c r="Q855" s="23"/>
      <c r="R855" s="23"/>
      <c r="S855" s="23"/>
    </row>
    <row r="856" spans="1:19" ht="15.75" customHeight="1" x14ac:dyDescent="0.25">
      <c r="A856" s="92"/>
      <c r="B856" s="22"/>
      <c r="C856" s="23"/>
      <c r="D856" s="23"/>
      <c r="E856" s="23"/>
      <c r="F856" s="23"/>
      <c r="G856" s="23"/>
      <c r="H856" s="23"/>
      <c r="I856" s="23"/>
      <c r="J856" s="23"/>
      <c r="K856" s="23"/>
      <c r="L856" s="23"/>
      <c r="M856" s="23"/>
      <c r="N856" s="23"/>
      <c r="O856" s="23"/>
      <c r="P856" s="23"/>
      <c r="Q856" s="23"/>
      <c r="R856" s="23"/>
      <c r="S856" s="23"/>
    </row>
    <row r="857" spans="1:19" ht="15.75" customHeight="1" x14ac:dyDescent="0.25">
      <c r="A857" s="92"/>
      <c r="B857" s="22"/>
      <c r="C857" s="23"/>
      <c r="D857" s="23"/>
      <c r="E857" s="23"/>
      <c r="F857" s="23"/>
      <c r="G857" s="23"/>
      <c r="H857" s="23"/>
      <c r="I857" s="23"/>
      <c r="J857" s="23"/>
      <c r="K857" s="23"/>
      <c r="L857" s="23"/>
      <c r="M857" s="23"/>
      <c r="N857" s="23"/>
      <c r="O857" s="23"/>
      <c r="P857" s="23"/>
      <c r="Q857" s="23"/>
      <c r="R857" s="23"/>
      <c r="S857" s="23"/>
    </row>
    <row r="858" spans="1:19" ht="15.75" customHeight="1" x14ac:dyDescent="0.25">
      <c r="A858" s="92"/>
      <c r="B858" s="22"/>
      <c r="C858" s="23"/>
      <c r="D858" s="23"/>
      <c r="E858" s="23"/>
      <c r="F858" s="23"/>
      <c r="G858" s="23"/>
      <c r="H858" s="23"/>
      <c r="I858" s="23"/>
      <c r="J858" s="23"/>
      <c r="K858" s="23"/>
      <c r="L858" s="23"/>
      <c r="M858" s="23"/>
      <c r="N858" s="23"/>
      <c r="O858" s="23"/>
      <c r="P858" s="23"/>
      <c r="Q858" s="23"/>
      <c r="R858" s="23"/>
      <c r="S858" s="23"/>
    </row>
    <row r="859" spans="1:19" ht="15.75" customHeight="1" x14ac:dyDescent="0.25">
      <c r="A859" s="92"/>
      <c r="B859" s="22"/>
      <c r="C859" s="23"/>
      <c r="D859" s="23"/>
      <c r="E859" s="23"/>
      <c r="F859" s="23"/>
      <c r="G859" s="23"/>
      <c r="H859" s="23"/>
      <c r="I859" s="23"/>
      <c r="J859" s="23"/>
      <c r="K859" s="23"/>
      <c r="L859" s="23"/>
      <c r="M859" s="23"/>
      <c r="N859" s="23"/>
      <c r="O859" s="23"/>
      <c r="P859" s="23"/>
      <c r="Q859" s="23"/>
      <c r="R859" s="23"/>
      <c r="S859" s="23"/>
    </row>
    <row r="860" spans="1:19" ht="15.75" customHeight="1" x14ac:dyDescent="0.25">
      <c r="A860" s="92"/>
      <c r="B860" s="22"/>
      <c r="C860" s="23"/>
      <c r="D860" s="23"/>
      <c r="E860" s="23"/>
      <c r="F860" s="23"/>
      <c r="G860" s="23"/>
      <c r="H860" s="23"/>
      <c r="I860" s="23"/>
      <c r="J860" s="23"/>
      <c r="K860" s="23"/>
      <c r="L860" s="23"/>
      <c r="M860" s="23"/>
      <c r="N860" s="23"/>
      <c r="O860" s="23"/>
      <c r="P860" s="23"/>
      <c r="Q860" s="23"/>
      <c r="R860" s="23"/>
      <c r="S860" s="23"/>
    </row>
    <row r="861" spans="1:19" ht="15.75" customHeight="1" x14ac:dyDescent="0.25">
      <c r="A861" s="92"/>
      <c r="B861" s="22"/>
      <c r="C861" s="23"/>
      <c r="D861" s="23"/>
      <c r="E861" s="23"/>
      <c r="F861" s="23"/>
      <c r="G861" s="23"/>
      <c r="H861" s="23"/>
      <c r="I861" s="23"/>
      <c r="J861" s="23"/>
      <c r="K861" s="23"/>
      <c r="L861" s="23"/>
      <c r="M861" s="23"/>
      <c r="N861" s="23"/>
      <c r="O861" s="23"/>
      <c r="P861" s="23"/>
      <c r="Q861" s="23"/>
      <c r="R861" s="23"/>
      <c r="S861" s="23"/>
    </row>
    <row r="862" spans="1:19" ht="15.75" customHeight="1" x14ac:dyDescent="0.25">
      <c r="A862" s="92"/>
      <c r="B862" s="22"/>
      <c r="C862" s="23"/>
      <c r="D862" s="23"/>
      <c r="E862" s="23"/>
      <c r="F862" s="23"/>
      <c r="G862" s="23"/>
      <c r="H862" s="23"/>
      <c r="I862" s="23"/>
      <c r="J862" s="23"/>
      <c r="K862" s="23"/>
      <c r="L862" s="23"/>
      <c r="M862" s="23"/>
      <c r="N862" s="23"/>
      <c r="O862" s="23"/>
      <c r="P862" s="23"/>
      <c r="Q862" s="23"/>
      <c r="R862" s="23"/>
      <c r="S862" s="23"/>
    </row>
    <row r="863" spans="1:19" ht="15.75" customHeight="1" x14ac:dyDescent="0.25">
      <c r="A863" s="92"/>
      <c r="B863" s="22"/>
      <c r="C863" s="23"/>
      <c r="D863" s="23"/>
      <c r="E863" s="23"/>
      <c r="F863" s="23"/>
      <c r="G863" s="23"/>
      <c r="H863" s="23"/>
      <c r="I863" s="23"/>
      <c r="J863" s="23"/>
      <c r="K863" s="23"/>
      <c r="L863" s="23"/>
      <c r="M863" s="23"/>
      <c r="N863" s="23"/>
      <c r="O863" s="23"/>
      <c r="P863" s="23"/>
      <c r="Q863" s="23"/>
      <c r="R863" s="23"/>
      <c r="S863" s="23"/>
    </row>
    <row r="864" spans="1:19" ht="15.75" customHeight="1" x14ac:dyDescent="0.25">
      <c r="A864" s="92"/>
      <c r="B864" s="22"/>
      <c r="C864" s="23"/>
      <c r="D864" s="23"/>
      <c r="E864" s="23"/>
      <c r="F864" s="23"/>
      <c r="G864" s="23"/>
      <c r="H864" s="23"/>
      <c r="I864" s="23"/>
      <c r="J864" s="23"/>
      <c r="K864" s="23"/>
      <c r="L864" s="23"/>
      <c r="M864" s="23"/>
      <c r="N864" s="23"/>
      <c r="O864" s="23"/>
      <c r="P864" s="23"/>
      <c r="Q864" s="23"/>
      <c r="R864" s="23"/>
      <c r="S864" s="23"/>
    </row>
    <row r="865" spans="1:19" ht="15.75" customHeight="1" x14ac:dyDescent="0.25">
      <c r="A865" s="92"/>
      <c r="B865" s="22"/>
      <c r="C865" s="23"/>
      <c r="D865" s="23"/>
      <c r="E865" s="23"/>
      <c r="F865" s="23"/>
      <c r="G865" s="23"/>
      <c r="H865" s="23"/>
      <c r="I865" s="23"/>
      <c r="J865" s="23"/>
      <c r="K865" s="23"/>
      <c r="L865" s="23"/>
      <c r="M865" s="23"/>
      <c r="N865" s="23"/>
      <c r="O865" s="23"/>
      <c r="P865" s="23"/>
      <c r="Q865" s="23"/>
      <c r="R865" s="23"/>
      <c r="S865" s="23"/>
    </row>
    <row r="866" spans="1:19" ht="15.75" customHeight="1" x14ac:dyDescent="0.25">
      <c r="A866" s="92"/>
      <c r="B866" s="22"/>
      <c r="C866" s="23"/>
      <c r="D866" s="23"/>
      <c r="E866" s="23"/>
      <c r="F866" s="23"/>
      <c r="G866" s="23"/>
      <c r="H866" s="23"/>
      <c r="I866" s="23"/>
      <c r="J866" s="23"/>
      <c r="K866" s="23"/>
      <c r="L866" s="23"/>
      <c r="M866" s="23"/>
      <c r="N866" s="23"/>
      <c r="O866" s="23"/>
      <c r="P866" s="23"/>
      <c r="Q866" s="23"/>
      <c r="R866" s="23"/>
      <c r="S866" s="23"/>
    </row>
    <row r="867" spans="1:19" ht="15.75" customHeight="1" x14ac:dyDescent="0.25">
      <c r="A867" s="92"/>
      <c r="B867" s="22"/>
      <c r="C867" s="23"/>
      <c r="D867" s="23"/>
      <c r="E867" s="23"/>
      <c r="F867" s="23"/>
      <c r="G867" s="23"/>
      <c r="H867" s="23"/>
      <c r="I867" s="23"/>
      <c r="J867" s="23"/>
      <c r="K867" s="23"/>
      <c r="L867" s="23"/>
      <c r="M867" s="23"/>
      <c r="N867" s="23"/>
      <c r="O867" s="23"/>
      <c r="P867" s="23"/>
      <c r="Q867" s="23"/>
      <c r="R867" s="23"/>
      <c r="S867" s="23"/>
    </row>
    <row r="868" spans="1:19" ht="15.75" customHeight="1" x14ac:dyDescent="0.25">
      <c r="A868" s="92"/>
      <c r="B868" s="22"/>
      <c r="C868" s="23"/>
      <c r="D868" s="23"/>
      <c r="E868" s="23"/>
      <c r="F868" s="23"/>
      <c r="G868" s="23"/>
      <c r="H868" s="23"/>
      <c r="I868" s="23"/>
      <c r="J868" s="23"/>
      <c r="K868" s="23"/>
      <c r="L868" s="23"/>
      <c r="M868" s="23"/>
      <c r="N868" s="23"/>
      <c r="O868" s="23"/>
      <c r="P868" s="23"/>
      <c r="Q868" s="23"/>
      <c r="R868" s="23"/>
      <c r="S868" s="23"/>
    </row>
    <row r="869" spans="1:19" ht="15.75" customHeight="1" x14ac:dyDescent="0.25">
      <c r="A869" s="92"/>
      <c r="B869" s="22"/>
      <c r="C869" s="23"/>
      <c r="D869" s="23"/>
      <c r="E869" s="23"/>
      <c r="F869" s="23"/>
      <c r="G869" s="23"/>
      <c r="H869" s="23"/>
      <c r="I869" s="23"/>
      <c r="J869" s="23"/>
      <c r="K869" s="23"/>
      <c r="L869" s="23"/>
      <c r="M869" s="23"/>
      <c r="N869" s="23"/>
      <c r="O869" s="23"/>
      <c r="P869" s="23"/>
      <c r="Q869" s="23"/>
      <c r="R869" s="23"/>
      <c r="S869" s="23"/>
    </row>
    <row r="870" spans="1:19" ht="15.75" customHeight="1" x14ac:dyDescent="0.25">
      <c r="A870" s="92"/>
      <c r="B870" s="22"/>
      <c r="C870" s="23"/>
      <c r="D870" s="23"/>
      <c r="E870" s="23"/>
      <c r="F870" s="23"/>
      <c r="G870" s="23"/>
      <c r="H870" s="23"/>
      <c r="I870" s="23"/>
      <c r="J870" s="23"/>
      <c r="K870" s="23"/>
      <c r="L870" s="23"/>
      <c r="M870" s="23"/>
      <c r="N870" s="23"/>
      <c r="O870" s="23"/>
      <c r="P870" s="23"/>
      <c r="Q870" s="23"/>
      <c r="R870" s="23"/>
      <c r="S870" s="23"/>
    </row>
    <row r="871" spans="1:19" ht="15.75" customHeight="1" x14ac:dyDescent="0.25">
      <c r="A871" s="92"/>
      <c r="B871" s="22"/>
      <c r="C871" s="23"/>
      <c r="D871" s="23"/>
      <c r="E871" s="23"/>
      <c r="F871" s="23"/>
      <c r="G871" s="23"/>
      <c r="H871" s="23"/>
      <c r="I871" s="23"/>
      <c r="J871" s="23"/>
      <c r="K871" s="23"/>
      <c r="L871" s="23"/>
      <c r="M871" s="23"/>
      <c r="N871" s="23"/>
      <c r="O871" s="23"/>
      <c r="P871" s="23"/>
      <c r="Q871" s="23"/>
      <c r="R871" s="23"/>
      <c r="S871" s="23"/>
    </row>
    <row r="872" spans="1:19" ht="15.75" customHeight="1" x14ac:dyDescent="0.25">
      <c r="A872" s="92"/>
      <c r="B872" s="22"/>
      <c r="C872" s="23"/>
      <c r="D872" s="23"/>
      <c r="E872" s="23"/>
      <c r="F872" s="23"/>
      <c r="G872" s="23"/>
      <c r="H872" s="23"/>
      <c r="I872" s="23"/>
      <c r="J872" s="23"/>
      <c r="K872" s="23"/>
      <c r="L872" s="23"/>
      <c r="M872" s="23"/>
      <c r="N872" s="23"/>
      <c r="O872" s="23"/>
      <c r="P872" s="23"/>
      <c r="Q872" s="23"/>
      <c r="R872" s="23"/>
      <c r="S872" s="23"/>
    </row>
    <row r="873" spans="1:19" ht="15.75" customHeight="1" x14ac:dyDescent="0.25">
      <c r="A873" s="92"/>
      <c r="B873" s="22"/>
      <c r="C873" s="23"/>
      <c r="D873" s="23"/>
      <c r="E873" s="23"/>
      <c r="F873" s="23"/>
      <c r="G873" s="23"/>
      <c r="H873" s="23"/>
      <c r="I873" s="23"/>
      <c r="J873" s="23"/>
      <c r="K873" s="23"/>
      <c r="L873" s="23"/>
      <c r="M873" s="23"/>
      <c r="N873" s="23"/>
      <c r="O873" s="23"/>
      <c r="P873" s="23"/>
      <c r="Q873" s="23"/>
      <c r="R873" s="23"/>
      <c r="S873" s="23"/>
    </row>
    <row r="874" spans="1:19" ht="15.75" customHeight="1" x14ac:dyDescent="0.25">
      <c r="A874" s="92"/>
      <c r="B874" s="22"/>
      <c r="C874" s="23"/>
      <c r="D874" s="23"/>
      <c r="E874" s="23"/>
      <c r="F874" s="23"/>
      <c r="G874" s="23"/>
      <c r="H874" s="23"/>
      <c r="I874" s="23"/>
      <c r="J874" s="23"/>
      <c r="K874" s="23"/>
      <c r="L874" s="23"/>
      <c r="M874" s="23"/>
      <c r="N874" s="23"/>
      <c r="O874" s="23"/>
      <c r="P874" s="23"/>
      <c r="Q874" s="23"/>
      <c r="R874" s="23"/>
      <c r="S874" s="23"/>
    </row>
    <row r="875" spans="1:19" ht="15.75" customHeight="1" x14ac:dyDescent="0.25">
      <c r="A875" s="92"/>
      <c r="B875" s="22"/>
      <c r="C875" s="23"/>
      <c r="D875" s="23"/>
      <c r="E875" s="23"/>
      <c r="F875" s="23"/>
      <c r="G875" s="23"/>
      <c r="H875" s="23"/>
      <c r="I875" s="23"/>
      <c r="J875" s="23"/>
      <c r="K875" s="23"/>
      <c r="L875" s="23"/>
      <c r="M875" s="23"/>
      <c r="N875" s="23"/>
      <c r="O875" s="23"/>
      <c r="P875" s="23"/>
      <c r="Q875" s="23"/>
      <c r="R875" s="23"/>
      <c r="S875" s="23"/>
    </row>
    <row r="876" spans="1:19" ht="15.75" customHeight="1" x14ac:dyDescent="0.25">
      <c r="A876" s="92"/>
      <c r="B876" s="22"/>
      <c r="C876" s="23"/>
      <c r="D876" s="23"/>
      <c r="E876" s="23"/>
      <c r="F876" s="23"/>
      <c r="G876" s="23"/>
      <c r="H876" s="23"/>
      <c r="I876" s="23"/>
      <c r="J876" s="23"/>
      <c r="K876" s="23"/>
      <c r="L876" s="23"/>
      <c r="M876" s="23"/>
      <c r="N876" s="23"/>
      <c r="O876" s="23"/>
      <c r="P876" s="23"/>
      <c r="Q876" s="23"/>
      <c r="R876" s="23"/>
      <c r="S876" s="23"/>
    </row>
    <row r="877" spans="1:19" ht="15.75" customHeight="1" x14ac:dyDescent="0.25">
      <c r="A877" s="92"/>
      <c r="B877" s="22"/>
      <c r="C877" s="23"/>
      <c r="D877" s="23"/>
      <c r="E877" s="23"/>
      <c r="F877" s="23"/>
      <c r="G877" s="23"/>
      <c r="H877" s="23"/>
      <c r="I877" s="23"/>
      <c r="J877" s="23"/>
      <c r="K877" s="23"/>
      <c r="L877" s="23"/>
      <c r="M877" s="23"/>
      <c r="N877" s="23"/>
      <c r="O877" s="23"/>
      <c r="P877" s="23"/>
      <c r="Q877" s="23"/>
      <c r="R877" s="23"/>
      <c r="S877" s="23"/>
    </row>
    <row r="878" spans="1:19" ht="15.75" customHeight="1" x14ac:dyDescent="0.25">
      <c r="A878" s="92"/>
      <c r="B878" s="22"/>
      <c r="C878" s="23"/>
      <c r="D878" s="23"/>
      <c r="E878" s="23"/>
      <c r="F878" s="23"/>
      <c r="G878" s="23"/>
      <c r="H878" s="23"/>
      <c r="I878" s="23"/>
      <c r="J878" s="23"/>
      <c r="K878" s="23"/>
      <c r="L878" s="23"/>
      <c r="M878" s="23"/>
      <c r="N878" s="23"/>
      <c r="O878" s="23"/>
      <c r="P878" s="23"/>
      <c r="Q878" s="23"/>
      <c r="R878" s="23"/>
      <c r="S878" s="23"/>
    </row>
    <row r="879" spans="1:19" ht="15.75" customHeight="1" x14ac:dyDescent="0.25">
      <c r="A879" s="92"/>
      <c r="B879" s="22"/>
      <c r="C879" s="23"/>
      <c r="D879" s="23"/>
      <c r="E879" s="23"/>
      <c r="F879" s="23"/>
      <c r="G879" s="23"/>
      <c r="H879" s="23"/>
      <c r="I879" s="23"/>
      <c r="J879" s="23"/>
      <c r="K879" s="23"/>
      <c r="L879" s="23"/>
      <c r="M879" s="23"/>
      <c r="N879" s="23"/>
      <c r="O879" s="23"/>
      <c r="P879" s="23"/>
      <c r="Q879" s="23"/>
      <c r="R879" s="23"/>
      <c r="S879" s="23"/>
    </row>
    <row r="880" spans="1:19" ht="15.75" customHeight="1" x14ac:dyDescent="0.25">
      <c r="A880" s="92"/>
      <c r="B880" s="22"/>
      <c r="C880" s="23"/>
      <c r="D880" s="23"/>
      <c r="E880" s="23"/>
      <c r="F880" s="23"/>
      <c r="G880" s="23"/>
      <c r="H880" s="23"/>
      <c r="I880" s="23"/>
      <c r="J880" s="23"/>
      <c r="K880" s="23"/>
      <c r="L880" s="23"/>
      <c r="M880" s="23"/>
      <c r="N880" s="23"/>
      <c r="O880" s="23"/>
      <c r="P880" s="23"/>
      <c r="Q880" s="23"/>
      <c r="R880" s="23"/>
      <c r="S880" s="23"/>
    </row>
    <row r="881" spans="1:19" ht="15.75" customHeight="1" x14ac:dyDescent="0.25">
      <c r="A881" s="92"/>
      <c r="B881" s="22"/>
      <c r="C881" s="23"/>
      <c r="D881" s="23"/>
      <c r="E881" s="23"/>
      <c r="F881" s="23"/>
      <c r="G881" s="23"/>
      <c r="H881" s="23"/>
      <c r="I881" s="23"/>
      <c r="J881" s="23"/>
      <c r="K881" s="23"/>
      <c r="L881" s="23"/>
      <c r="M881" s="23"/>
      <c r="N881" s="23"/>
      <c r="O881" s="23"/>
      <c r="P881" s="23"/>
      <c r="Q881" s="23"/>
      <c r="R881" s="23"/>
      <c r="S881" s="23"/>
    </row>
    <row r="882" spans="1:19" ht="15.75" customHeight="1" x14ac:dyDescent="0.25">
      <c r="A882" s="92"/>
      <c r="B882" s="22"/>
      <c r="C882" s="23"/>
      <c r="D882" s="23"/>
      <c r="E882" s="23"/>
      <c r="F882" s="23"/>
      <c r="G882" s="23"/>
      <c r="H882" s="23"/>
      <c r="I882" s="23"/>
      <c r="J882" s="23"/>
      <c r="K882" s="23"/>
      <c r="L882" s="23"/>
      <c r="M882" s="23"/>
      <c r="N882" s="23"/>
      <c r="O882" s="23"/>
      <c r="P882" s="23"/>
      <c r="Q882" s="23"/>
      <c r="R882" s="23"/>
      <c r="S882" s="23"/>
    </row>
    <row r="883" spans="1:19" ht="15.75" customHeight="1" x14ac:dyDescent="0.25">
      <c r="A883" s="92"/>
      <c r="B883" s="22"/>
      <c r="C883" s="23"/>
      <c r="D883" s="23"/>
      <c r="E883" s="23"/>
      <c r="F883" s="23"/>
      <c r="G883" s="23"/>
      <c r="H883" s="23"/>
      <c r="I883" s="23"/>
      <c r="J883" s="23"/>
      <c r="K883" s="23"/>
      <c r="L883" s="23"/>
      <c r="M883" s="23"/>
      <c r="N883" s="23"/>
      <c r="O883" s="23"/>
      <c r="P883" s="23"/>
      <c r="Q883" s="23"/>
      <c r="R883" s="23"/>
      <c r="S883" s="23"/>
    </row>
    <row r="884" spans="1:19" ht="15.75" customHeight="1" x14ac:dyDescent="0.25">
      <c r="A884" s="92"/>
      <c r="B884" s="22"/>
      <c r="C884" s="23"/>
      <c r="D884" s="23"/>
      <c r="E884" s="23"/>
      <c r="F884" s="23"/>
      <c r="G884" s="23"/>
      <c r="H884" s="23"/>
      <c r="I884" s="23"/>
      <c r="J884" s="23"/>
      <c r="K884" s="23"/>
      <c r="L884" s="23"/>
      <c r="M884" s="23"/>
      <c r="N884" s="23"/>
      <c r="O884" s="23"/>
      <c r="P884" s="23"/>
      <c r="Q884" s="23"/>
      <c r="R884" s="23"/>
      <c r="S884" s="23"/>
    </row>
    <row r="885" spans="1:19" ht="15.75" customHeight="1" x14ac:dyDescent="0.25">
      <c r="A885" s="92"/>
      <c r="B885" s="22"/>
      <c r="C885" s="23"/>
      <c r="D885" s="23"/>
      <c r="E885" s="23"/>
      <c r="F885" s="23"/>
      <c r="G885" s="23"/>
      <c r="H885" s="23"/>
      <c r="I885" s="23"/>
      <c r="J885" s="23"/>
      <c r="K885" s="23"/>
      <c r="L885" s="23"/>
      <c r="M885" s="23"/>
      <c r="N885" s="23"/>
      <c r="O885" s="23"/>
      <c r="P885" s="23"/>
      <c r="Q885" s="23"/>
      <c r="R885" s="23"/>
      <c r="S885" s="23"/>
    </row>
    <row r="886" spans="1:19" ht="15.75" customHeight="1" x14ac:dyDescent="0.25">
      <c r="A886" s="92"/>
      <c r="B886" s="22"/>
      <c r="C886" s="23"/>
      <c r="D886" s="23"/>
      <c r="E886" s="23"/>
      <c r="F886" s="23"/>
      <c r="G886" s="23"/>
      <c r="H886" s="23"/>
      <c r="I886" s="23"/>
      <c r="J886" s="23"/>
      <c r="K886" s="23"/>
      <c r="L886" s="23"/>
      <c r="M886" s="23"/>
      <c r="N886" s="23"/>
      <c r="O886" s="23"/>
      <c r="P886" s="23"/>
      <c r="Q886" s="23"/>
      <c r="R886" s="23"/>
      <c r="S886" s="23"/>
    </row>
    <row r="887" spans="1:19" ht="15.75" customHeight="1" x14ac:dyDescent="0.25">
      <c r="A887" s="92"/>
      <c r="B887" s="22"/>
      <c r="C887" s="23"/>
      <c r="D887" s="23"/>
      <c r="E887" s="23"/>
      <c r="F887" s="23"/>
      <c r="G887" s="23"/>
      <c r="H887" s="23"/>
      <c r="I887" s="23"/>
      <c r="J887" s="23"/>
      <c r="K887" s="23"/>
      <c r="L887" s="23"/>
      <c r="M887" s="23"/>
      <c r="N887" s="23"/>
      <c r="O887" s="23"/>
      <c r="P887" s="23"/>
      <c r="Q887" s="23"/>
      <c r="R887" s="23"/>
      <c r="S887" s="23"/>
    </row>
    <row r="888" spans="1:19" ht="15.75" customHeight="1" x14ac:dyDescent="0.25">
      <c r="A888" s="92"/>
      <c r="B888" s="22"/>
      <c r="C888" s="23"/>
      <c r="D888" s="23"/>
      <c r="E888" s="23"/>
      <c r="F888" s="23"/>
      <c r="G888" s="23"/>
      <c r="H888" s="23"/>
      <c r="I888" s="23"/>
      <c r="J888" s="23"/>
      <c r="K888" s="23"/>
      <c r="L888" s="23"/>
      <c r="M888" s="23"/>
      <c r="N888" s="23"/>
      <c r="O888" s="23"/>
      <c r="P888" s="23"/>
      <c r="Q888" s="23"/>
      <c r="R888" s="23"/>
      <c r="S888" s="23"/>
    </row>
    <row r="889" spans="1:19" ht="15.75" customHeight="1" x14ac:dyDescent="0.25">
      <c r="A889" s="92"/>
      <c r="B889" s="22"/>
      <c r="C889" s="23"/>
      <c r="D889" s="23"/>
      <c r="E889" s="23"/>
      <c r="F889" s="23"/>
      <c r="G889" s="23"/>
      <c r="H889" s="23"/>
      <c r="I889" s="23"/>
      <c r="J889" s="23"/>
      <c r="K889" s="23"/>
      <c r="L889" s="23"/>
      <c r="M889" s="23"/>
      <c r="N889" s="23"/>
      <c r="O889" s="23"/>
      <c r="P889" s="23"/>
      <c r="Q889" s="23"/>
      <c r="R889" s="23"/>
      <c r="S889" s="23"/>
    </row>
    <row r="890" spans="1:19" ht="15.75" customHeight="1" x14ac:dyDescent="0.25">
      <c r="A890" s="92"/>
      <c r="B890" s="22"/>
      <c r="C890" s="23"/>
      <c r="D890" s="23"/>
      <c r="E890" s="23"/>
      <c r="F890" s="23"/>
      <c r="G890" s="23"/>
      <c r="H890" s="23"/>
      <c r="I890" s="23"/>
      <c r="J890" s="23"/>
      <c r="K890" s="23"/>
      <c r="L890" s="23"/>
      <c r="M890" s="23"/>
      <c r="N890" s="23"/>
      <c r="O890" s="23"/>
      <c r="P890" s="23"/>
      <c r="Q890" s="23"/>
      <c r="R890" s="23"/>
      <c r="S890" s="23"/>
    </row>
    <row r="891" spans="1:19" ht="15.75" customHeight="1" x14ac:dyDescent="0.25">
      <c r="A891" s="92"/>
      <c r="B891" s="22"/>
      <c r="C891" s="23"/>
      <c r="D891" s="23"/>
      <c r="E891" s="23"/>
      <c r="F891" s="23"/>
      <c r="G891" s="23"/>
      <c r="H891" s="23"/>
      <c r="I891" s="23"/>
      <c r="J891" s="23"/>
      <c r="K891" s="23"/>
      <c r="L891" s="23"/>
      <c r="M891" s="23"/>
      <c r="N891" s="23"/>
      <c r="O891" s="23"/>
      <c r="P891" s="23"/>
      <c r="Q891" s="23"/>
      <c r="R891" s="23"/>
      <c r="S891" s="23"/>
    </row>
    <row r="892" spans="1:19" ht="15.75" customHeight="1" x14ac:dyDescent="0.25">
      <c r="A892" s="92"/>
      <c r="B892" s="22"/>
      <c r="C892" s="23"/>
      <c r="D892" s="23"/>
      <c r="E892" s="23"/>
      <c r="F892" s="23"/>
      <c r="G892" s="23"/>
      <c r="H892" s="23"/>
      <c r="I892" s="23"/>
      <c r="J892" s="23"/>
      <c r="K892" s="23"/>
      <c r="L892" s="23"/>
      <c r="M892" s="23"/>
      <c r="N892" s="23"/>
      <c r="O892" s="23"/>
      <c r="P892" s="23"/>
      <c r="Q892" s="23"/>
      <c r="R892" s="23"/>
      <c r="S892" s="23"/>
    </row>
    <row r="893" spans="1:19" ht="15.75" customHeight="1" x14ac:dyDescent="0.25">
      <c r="A893" s="92"/>
      <c r="B893" s="22"/>
      <c r="C893" s="23"/>
      <c r="D893" s="23"/>
      <c r="E893" s="23"/>
      <c r="F893" s="23"/>
      <c r="G893" s="23"/>
      <c r="H893" s="23"/>
      <c r="I893" s="23"/>
      <c r="J893" s="23"/>
      <c r="K893" s="23"/>
      <c r="L893" s="23"/>
      <c r="M893" s="23"/>
      <c r="N893" s="23"/>
      <c r="O893" s="23"/>
      <c r="P893" s="23"/>
      <c r="Q893" s="23"/>
      <c r="R893" s="23"/>
      <c r="S893" s="23"/>
    </row>
    <row r="894" spans="1:19" ht="15.75" customHeight="1" x14ac:dyDescent="0.25">
      <c r="A894" s="92"/>
      <c r="B894" s="22"/>
      <c r="C894" s="23"/>
      <c r="D894" s="23"/>
      <c r="E894" s="23"/>
      <c r="F894" s="23"/>
      <c r="G894" s="23"/>
      <c r="H894" s="23"/>
      <c r="I894" s="23"/>
      <c r="J894" s="23"/>
      <c r="K894" s="23"/>
      <c r="L894" s="23"/>
      <c r="M894" s="23"/>
      <c r="N894" s="23"/>
      <c r="O894" s="23"/>
      <c r="P894" s="23"/>
      <c r="Q894" s="23"/>
      <c r="R894" s="23"/>
      <c r="S894" s="23"/>
    </row>
    <row r="895" spans="1:19" ht="15.75" customHeight="1" x14ac:dyDescent="0.25">
      <c r="A895" s="92"/>
      <c r="B895" s="22"/>
      <c r="C895" s="23"/>
      <c r="D895" s="23"/>
      <c r="E895" s="23"/>
      <c r="F895" s="23"/>
      <c r="G895" s="23"/>
      <c r="H895" s="23"/>
      <c r="I895" s="23"/>
      <c r="J895" s="23"/>
      <c r="K895" s="23"/>
      <c r="L895" s="23"/>
      <c r="M895" s="23"/>
      <c r="N895" s="23"/>
      <c r="O895" s="23"/>
      <c r="P895" s="23"/>
      <c r="Q895" s="23"/>
      <c r="R895" s="23"/>
      <c r="S895" s="23"/>
    </row>
    <row r="896" spans="1:19" ht="15.75" customHeight="1" x14ac:dyDescent="0.25">
      <c r="A896" s="92"/>
      <c r="B896" s="22"/>
      <c r="C896" s="23"/>
      <c r="D896" s="23"/>
      <c r="E896" s="23"/>
      <c r="F896" s="23"/>
      <c r="G896" s="23"/>
      <c r="H896" s="23"/>
      <c r="I896" s="23"/>
      <c r="J896" s="23"/>
      <c r="K896" s="23"/>
      <c r="L896" s="23"/>
      <c r="M896" s="23"/>
      <c r="N896" s="23"/>
      <c r="O896" s="23"/>
      <c r="P896" s="23"/>
      <c r="Q896" s="23"/>
      <c r="R896" s="23"/>
      <c r="S896" s="23"/>
    </row>
    <row r="897" spans="1:19" ht="15.75" customHeight="1" x14ac:dyDescent="0.25">
      <c r="A897" s="92"/>
      <c r="B897" s="22"/>
      <c r="C897" s="23"/>
      <c r="D897" s="23"/>
      <c r="E897" s="23"/>
      <c r="F897" s="23"/>
      <c r="G897" s="23"/>
      <c r="H897" s="23"/>
      <c r="I897" s="23"/>
      <c r="J897" s="23"/>
      <c r="K897" s="23"/>
      <c r="L897" s="23"/>
      <c r="M897" s="23"/>
      <c r="N897" s="23"/>
      <c r="O897" s="23"/>
      <c r="P897" s="23"/>
      <c r="Q897" s="23"/>
      <c r="R897" s="23"/>
      <c r="S897" s="23"/>
    </row>
    <row r="898" spans="1:19" ht="15.75" customHeight="1" x14ac:dyDescent="0.25">
      <c r="A898" s="92"/>
      <c r="B898" s="22"/>
      <c r="C898" s="23"/>
      <c r="D898" s="23"/>
      <c r="E898" s="23"/>
      <c r="F898" s="23"/>
      <c r="G898" s="23"/>
      <c r="H898" s="23"/>
      <c r="I898" s="23"/>
      <c r="J898" s="23"/>
      <c r="K898" s="23"/>
      <c r="L898" s="23"/>
      <c r="M898" s="23"/>
      <c r="N898" s="23"/>
      <c r="O898" s="23"/>
      <c r="P898" s="23"/>
      <c r="Q898" s="23"/>
      <c r="R898" s="23"/>
      <c r="S898" s="23"/>
    </row>
    <row r="899" spans="1:19" ht="15.75" customHeight="1" x14ac:dyDescent="0.25">
      <c r="A899" s="92"/>
      <c r="B899" s="22"/>
      <c r="C899" s="23"/>
      <c r="D899" s="23"/>
      <c r="E899" s="23"/>
      <c r="F899" s="23"/>
      <c r="G899" s="23"/>
      <c r="H899" s="23"/>
      <c r="I899" s="23"/>
      <c r="J899" s="23"/>
      <c r="K899" s="23"/>
      <c r="L899" s="23"/>
      <c r="M899" s="23"/>
      <c r="N899" s="23"/>
      <c r="O899" s="23"/>
      <c r="P899" s="23"/>
      <c r="Q899" s="23"/>
      <c r="R899" s="23"/>
      <c r="S899" s="23"/>
    </row>
    <row r="900" spans="1:19" ht="15.75" customHeight="1" x14ac:dyDescent="0.25">
      <c r="A900" s="92"/>
      <c r="B900" s="22"/>
      <c r="C900" s="23"/>
      <c r="D900" s="23"/>
      <c r="E900" s="23"/>
      <c r="F900" s="23"/>
      <c r="G900" s="23"/>
      <c r="H900" s="23"/>
      <c r="I900" s="23"/>
      <c r="J900" s="23"/>
      <c r="K900" s="23"/>
      <c r="L900" s="23"/>
      <c r="M900" s="23"/>
      <c r="N900" s="23"/>
      <c r="O900" s="23"/>
      <c r="P900" s="23"/>
      <c r="Q900" s="23"/>
      <c r="R900" s="23"/>
      <c r="S900" s="23"/>
    </row>
    <row r="901" spans="1:19" ht="15.75" customHeight="1" x14ac:dyDescent="0.25">
      <c r="A901" s="92"/>
      <c r="B901" s="22"/>
      <c r="C901" s="23"/>
      <c r="D901" s="23"/>
      <c r="E901" s="23"/>
      <c r="F901" s="23"/>
      <c r="G901" s="23"/>
      <c r="H901" s="23"/>
      <c r="I901" s="23"/>
      <c r="J901" s="23"/>
      <c r="K901" s="23"/>
      <c r="L901" s="23"/>
      <c r="M901" s="23"/>
      <c r="N901" s="23"/>
      <c r="O901" s="23"/>
      <c r="P901" s="23"/>
      <c r="Q901" s="23"/>
      <c r="R901" s="23"/>
      <c r="S901" s="23"/>
    </row>
    <row r="902" spans="1:19" ht="15.75" customHeight="1" x14ac:dyDescent="0.25">
      <c r="A902" s="92"/>
      <c r="B902" s="22"/>
      <c r="C902" s="23"/>
      <c r="D902" s="23"/>
      <c r="E902" s="23"/>
      <c r="F902" s="23"/>
      <c r="G902" s="23"/>
      <c r="H902" s="23"/>
      <c r="I902" s="23"/>
      <c r="J902" s="23"/>
      <c r="K902" s="23"/>
      <c r="L902" s="23"/>
      <c r="M902" s="23"/>
      <c r="N902" s="23"/>
      <c r="O902" s="23"/>
      <c r="P902" s="23"/>
      <c r="Q902" s="23"/>
      <c r="R902" s="23"/>
      <c r="S902" s="23"/>
    </row>
    <row r="903" spans="1:19" ht="15.75" customHeight="1" x14ac:dyDescent="0.25">
      <c r="A903" s="92"/>
      <c r="B903" s="22"/>
      <c r="C903" s="23"/>
      <c r="D903" s="23"/>
      <c r="E903" s="23"/>
      <c r="F903" s="23"/>
      <c r="G903" s="23"/>
      <c r="H903" s="23"/>
      <c r="I903" s="23"/>
      <c r="J903" s="23"/>
      <c r="K903" s="23"/>
      <c r="L903" s="23"/>
      <c r="M903" s="23"/>
      <c r="N903" s="23"/>
      <c r="O903" s="23"/>
      <c r="P903" s="23"/>
      <c r="Q903" s="23"/>
      <c r="R903" s="23"/>
      <c r="S903" s="23"/>
    </row>
    <row r="904" spans="1:19" ht="15.75" customHeight="1" x14ac:dyDescent="0.25">
      <c r="A904" s="92"/>
      <c r="B904" s="22"/>
      <c r="C904" s="23"/>
      <c r="D904" s="23"/>
      <c r="E904" s="23"/>
      <c r="F904" s="23"/>
      <c r="G904" s="23"/>
      <c r="H904" s="23"/>
      <c r="I904" s="23"/>
      <c r="J904" s="23"/>
      <c r="K904" s="23"/>
      <c r="L904" s="23"/>
      <c r="M904" s="23"/>
      <c r="N904" s="23"/>
      <c r="O904" s="23"/>
      <c r="P904" s="23"/>
      <c r="Q904" s="23"/>
      <c r="R904" s="23"/>
      <c r="S904" s="23"/>
    </row>
    <row r="905" spans="1:19" ht="15.75" customHeight="1" x14ac:dyDescent="0.25">
      <c r="A905" s="92"/>
      <c r="B905" s="22"/>
      <c r="C905" s="23"/>
      <c r="D905" s="23"/>
      <c r="E905" s="23"/>
      <c r="F905" s="23"/>
      <c r="G905" s="23"/>
      <c r="H905" s="23"/>
      <c r="I905" s="23"/>
      <c r="J905" s="23"/>
      <c r="K905" s="23"/>
      <c r="L905" s="23"/>
      <c r="M905" s="23"/>
      <c r="N905" s="23"/>
      <c r="O905" s="23"/>
      <c r="P905" s="23"/>
      <c r="Q905" s="23"/>
      <c r="R905" s="23"/>
      <c r="S905" s="23"/>
    </row>
    <row r="906" spans="1:19" ht="15.75" customHeight="1" x14ac:dyDescent="0.25">
      <c r="A906" s="92"/>
      <c r="B906" s="22"/>
      <c r="C906" s="23"/>
      <c r="D906" s="23"/>
      <c r="E906" s="23"/>
      <c r="F906" s="23"/>
      <c r="G906" s="23"/>
      <c r="H906" s="23"/>
      <c r="I906" s="23"/>
      <c r="J906" s="23"/>
      <c r="K906" s="23"/>
      <c r="L906" s="23"/>
      <c r="M906" s="23"/>
      <c r="N906" s="23"/>
      <c r="O906" s="23"/>
      <c r="P906" s="23"/>
      <c r="Q906" s="23"/>
      <c r="R906" s="23"/>
      <c r="S906" s="23"/>
    </row>
    <row r="907" spans="1:19" ht="15.75" customHeight="1" x14ac:dyDescent="0.25">
      <c r="A907" s="92"/>
      <c r="B907" s="22"/>
      <c r="C907" s="23"/>
      <c r="D907" s="23"/>
      <c r="E907" s="23"/>
      <c r="F907" s="23"/>
      <c r="G907" s="23"/>
      <c r="H907" s="23"/>
      <c r="I907" s="23"/>
      <c r="J907" s="23"/>
      <c r="K907" s="23"/>
      <c r="L907" s="23"/>
      <c r="M907" s="23"/>
      <c r="N907" s="23"/>
      <c r="O907" s="23"/>
      <c r="P907" s="23"/>
      <c r="Q907" s="23"/>
      <c r="R907" s="23"/>
      <c r="S907" s="23"/>
    </row>
    <row r="908" spans="1:19" ht="15.75" customHeight="1" x14ac:dyDescent="0.25">
      <c r="A908" s="92"/>
      <c r="B908" s="22"/>
      <c r="C908" s="23"/>
      <c r="D908" s="23"/>
      <c r="E908" s="23"/>
      <c r="F908" s="23"/>
      <c r="G908" s="23"/>
      <c r="H908" s="23"/>
      <c r="I908" s="23"/>
      <c r="J908" s="23"/>
      <c r="K908" s="23"/>
      <c r="L908" s="23"/>
      <c r="M908" s="23"/>
      <c r="N908" s="23"/>
      <c r="O908" s="23"/>
      <c r="P908" s="23"/>
      <c r="Q908" s="23"/>
      <c r="R908" s="23"/>
      <c r="S908" s="23"/>
    </row>
    <row r="909" spans="1:19" ht="15.75" customHeight="1" x14ac:dyDescent="0.25">
      <c r="A909" s="92"/>
      <c r="B909" s="22"/>
      <c r="C909" s="23"/>
      <c r="D909" s="23"/>
      <c r="E909" s="23"/>
      <c r="F909" s="23"/>
      <c r="G909" s="23"/>
      <c r="H909" s="23"/>
      <c r="I909" s="23"/>
      <c r="J909" s="23"/>
      <c r="K909" s="23"/>
      <c r="L909" s="23"/>
      <c r="M909" s="23"/>
      <c r="N909" s="23"/>
      <c r="O909" s="23"/>
      <c r="P909" s="23"/>
      <c r="Q909" s="23"/>
      <c r="R909" s="23"/>
      <c r="S909" s="23"/>
    </row>
    <row r="910" spans="1:19" ht="15.75" customHeight="1" x14ac:dyDescent="0.25">
      <c r="A910" s="92"/>
      <c r="B910" s="22"/>
      <c r="C910" s="23"/>
      <c r="D910" s="23"/>
      <c r="E910" s="23"/>
      <c r="F910" s="23"/>
      <c r="G910" s="23"/>
      <c r="H910" s="23"/>
      <c r="I910" s="23"/>
      <c r="J910" s="23"/>
      <c r="K910" s="23"/>
      <c r="L910" s="23"/>
      <c r="M910" s="23"/>
      <c r="N910" s="23"/>
      <c r="O910" s="23"/>
      <c r="P910" s="23"/>
      <c r="Q910" s="23"/>
      <c r="R910" s="23"/>
      <c r="S910" s="23"/>
    </row>
    <row r="911" spans="1:19" ht="15.75" customHeight="1" x14ac:dyDescent="0.25">
      <c r="A911" s="92"/>
      <c r="B911" s="22"/>
      <c r="C911" s="23"/>
      <c r="D911" s="23"/>
      <c r="E911" s="23"/>
      <c r="F911" s="23"/>
      <c r="G911" s="23"/>
      <c r="H911" s="23"/>
      <c r="I911" s="23"/>
      <c r="J911" s="23"/>
      <c r="K911" s="23"/>
      <c r="L911" s="23"/>
      <c r="M911" s="23"/>
      <c r="N911" s="23"/>
      <c r="O911" s="23"/>
      <c r="P911" s="23"/>
      <c r="Q911" s="23"/>
      <c r="R911" s="23"/>
      <c r="S911" s="23"/>
    </row>
    <row r="912" spans="1:19" ht="15.75" customHeight="1" x14ac:dyDescent="0.25">
      <c r="A912" s="92"/>
      <c r="B912" s="22"/>
      <c r="C912" s="23"/>
      <c r="D912" s="23"/>
      <c r="E912" s="23"/>
      <c r="F912" s="23"/>
      <c r="G912" s="23"/>
      <c r="H912" s="23"/>
      <c r="I912" s="23"/>
      <c r="J912" s="23"/>
      <c r="K912" s="23"/>
      <c r="L912" s="23"/>
      <c r="M912" s="23"/>
      <c r="N912" s="23"/>
      <c r="O912" s="23"/>
      <c r="P912" s="23"/>
      <c r="Q912" s="23"/>
      <c r="R912" s="23"/>
      <c r="S912" s="23"/>
    </row>
    <row r="913" spans="1:19" ht="15.75" customHeight="1" x14ac:dyDescent="0.25">
      <c r="A913" s="92"/>
      <c r="B913" s="22"/>
      <c r="C913" s="23"/>
      <c r="D913" s="23"/>
      <c r="E913" s="23"/>
      <c r="F913" s="23"/>
      <c r="G913" s="23"/>
      <c r="H913" s="23"/>
      <c r="I913" s="23"/>
      <c r="J913" s="23"/>
      <c r="K913" s="23"/>
      <c r="L913" s="23"/>
      <c r="M913" s="23"/>
      <c r="N913" s="23"/>
      <c r="O913" s="23"/>
      <c r="P913" s="23"/>
      <c r="Q913" s="23"/>
      <c r="R913" s="23"/>
      <c r="S913" s="23"/>
    </row>
    <row r="914" spans="1:19" ht="15.75" customHeight="1" x14ac:dyDescent="0.25">
      <c r="A914" s="92"/>
      <c r="B914" s="22"/>
      <c r="C914" s="23"/>
      <c r="D914" s="23"/>
      <c r="E914" s="23"/>
      <c r="F914" s="23"/>
      <c r="G914" s="23"/>
      <c r="H914" s="23"/>
      <c r="I914" s="23"/>
      <c r="J914" s="23"/>
      <c r="K914" s="23"/>
      <c r="L914" s="23"/>
      <c r="M914" s="23"/>
      <c r="N914" s="23"/>
      <c r="O914" s="23"/>
      <c r="P914" s="23"/>
      <c r="Q914" s="23"/>
      <c r="R914" s="23"/>
      <c r="S914" s="23"/>
    </row>
    <row r="915" spans="1:19" ht="15.75" customHeight="1" x14ac:dyDescent="0.25">
      <c r="A915" s="92"/>
      <c r="B915" s="22"/>
      <c r="C915" s="23"/>
      <c r="D915" s="23"/>
      <c r="E915" s="23"/>
      <c r="F915" s="23"/>
      <c r="G915" s="23"/>
      <c r="H915" s="23"/>
      <c r="I915" s="23"/>
      <c r="J915" s="23"/>
      <c r="K915" s="23"/>
      <c r="L915" s="23"/>
      <c r="M915" s="23"/>
      <c r="N915" s="23"/>
      <c r="O915" s="23"/>
      <c r="P915" s="23"/>
      <c r="Q915" s="23"/>
      <c r="R915" s="23"/>
      <c r="S915" s="23"/>
    </row>
    <row r="916" spans="1:19" ht="15.75" customHeight="1" x14ac:dyDescent="0.25">
      <c r="A916" s="92"/>
      <c r="B916" s="22"/>
      <c r="C916" s="23"/>
      <c r="D916" s="23"/>
      <c r="E916" s="23"/>
      <c r="F916" s="23"/>
      <c r="G916" s="23"/>
      <c r="H916" s="23"/>
      <c r="I916" s="23"/>
      <c r="J916" s="23"/>
      <c r="K916" s="23"/>
      <c r="L916" s="23"/>
      <c r="M916" s="23"/>
      <c r="N916" s="23"/>
      <c r="O916" s="23"/>
      <c r="P916" s="23"/>
      <c r="Q916" s="23"/>
      <c r="R916" s="23"/>
      <c r="S916" s="23"/>
    </row>
    <row r="917" spans="1:19" ht="15.75" customHeight="1" x14ac:dyDescent="0.25">
      <c r="A917" s="92"/>
      <c r="B917" s="22"/>
      <c r="C917" s="23"/>
      <c r="D917" s="23"/>
      <c r="E917" s="23"/>
      <c r="F917" s="23"/>
      <c r="G917" s="23"/>
      <c r="H917" s="23"/>
      <c r="I917" s="23"/>
      <c r="J917" s="23"/>
      <c r="K917" s="23"/>
      <c r="L917" s="23"/>
      <c r="M917" s="23"/>
      <c r="N917" s="23"/>
      <c r="O917" s="23"/>
      <c r="P917" s="23"/>
      <c r="Q917" s="23"/>
      <c r="R917" s="23"/>
      <c r="S917" s="23"/>
    </row>
    <row r="918" spans="1:19" ht="15.75" customHeight="1" x14ac:dyDescent="0.25">
      <c r="A918" s="92"/>
      <c r="B918" s="22"/>
      <c r="C918" s="23"/>
      <c r="D918" s="23"/>
      <c r="E918" s="23"/>
      <c r="F918" s="23"/>
      <c r="G918" s="23"/>
      <c r="H918" s="23"/>
      <c r="I918" s="23"/>
      <c r="J918" s="23"/>
      <c r="K918" s="23"/>
      <c r="L918" s="23"/>
      <c r="M918" s="23"/>
      <c r="N918" s="23"/>
      <c r="O918" s="23"/>
      <c r="P918" s="23"/>
      <c r="Q918" s="23"/>
      <c r="R918" s="23"/>
      <c r="S918" s="23"/>
    </row>
    <row r="919" spans="1:19" ht="15.75" customHeight="1" x14ac:dyDescent="0.25">
      <c r="A919" s="92"/>
      <c r="B919" s="22"/>
      <c r="C919" s="23"/>
      <c r="D919" s="23"/>
      <c r="E919" s="23"/>
      <c r="F919" s="23"/>
      <c r="G919" s="23"/>
      <c r="H919" s="23"/>
      <c r="I919" s="23"/>
      <c r="J919" s="23"/>
      <c r="K919" s="23"/>
      <c r="L919" s="23"/>
      <c r="M919" s="23"/>
      <c r="N919" s="23"/>
      <c r="O919" s="23"/>
      <c r="P919" s="23"/>
      <c r="Q919" s="23"/>
      <c r="R919" s="23"/>
      <c r="S919" s="23"/>
    </row>
    <row r="920" spans="1:19" ht="15.75" customHeight="1" x14ac:dyDescent="0.25">
      <c r="A920" s="92"/>
      <c r="B920" s="22"/>
      <c r="C920" s="23"/>
      <c r="D920" s="23"/>
      <c r="E920" s="23"/>
      <c r="F920" s="23"/>
      <c r="G920" s="23"/>
      <c r="H920" s="23"/>
      <c r="I920" s="23"/>
      <c r="J920" s="23"/>
      <c r="K920" s="23"/>
      <c r="L920" s="23"/>
      <c r="M920" s="23"/>
      <c r="N920" s="23"/>
      <c r="O920" s="23"/>
      <c r="P920" s="23"/>
      <c r="Q920" s="23"/>
      <c r="R920" s="23"/>
      <c r="S920" s="23"/>
    </row>
    <row r="921" spans="1:19" ht="15.75" customHeight="1" x14ac:dyDescent="0.25">
      <c r="A921" s="92"/>
      <c r="B921" s="22"/>
      <c r="C921" s="23"/>
      <c r="D921" s="23"/>
      <c r="E921" s="23"/>
      <c r="F921" s="23"/>
      <c r="G921" s="23"/>
      <c r="H921" s="23"/>
      <c r="I921" s="23"/>
      <c r="J921" s="23"/>
      <c r="K921" s="23"/>
      <c r="L921" s="23"/>
      <c r="M921" s="23"/>
      <c r="N921" s="23"/>
      <c r="O921" s="23"/>
      <c r="P921" s="23"/>
      <c r="Q921" s="23"/>
      <c r="R921" s="23"/>
      <c r="S921" s="23"/>
    </row>
    <row r="922" spans="1:19" ht="15.75" customHeight="1" x14ac:dyDescent="0.25">
      <c r="A922" s="92"/>
      <c r="B922" s="22"/>
      <c r="C922" s="23"/>
      <c r="D922" s="23"/>
      <c r="E922" s="23"/>
      <c r="F922" s="23"/>
      <c r="G922" s="23"/>
      <c r="H922" s="23"/>
      <c r="I922" s="23"/>
      <c r="J922" s="23"/>
      <c r="K922" s="23"/>
      <c r="L922" s="23"/>
      <c r="M922" s="23"/>
      <c r="N922" s="23"/>
      <c r="O922" s="23"/>
      <c r="P922" s="23"/>
      <c r="Q922" s="23"/>
      <c r="R922" s="23"/>
      <c r="S922" s="23"/>
    </row>
    <row r="923" spans="1:19" ht="15.75" customHeight="1" x14ac:dyDescent="0.25">
      <c r="A923" s="92"/>
      <c r="B923" s="22"/>
      <c r="C923" s="23"/>
      <c r="D923" s="23"/>
      <c r="E923" s="23"/>
      <c r="F923" s="23"/>
      <c r="G923" s="23"/>
      <c r="H923" s="23"/>
      <c r="I923" s="23"/>
      <c r="J923" s="23"/>
      <c r="K923" s="23"/>
      <c r="L923" s="23"/>
      <c r="M923" s="23"/>
      <c r="N923" s="23"/>
      <c r="O923" s="23"/>
      <c r="P923" s="23"/>
      <c r="Q923" s="23"/>
      <c r="R923" s="23"/>
      <c r="S923" s="23"/>
    </row>
    <row r="924" spans="1:19" ht="15.75" customHeight="1" x14ac:dyDescent="0.25">
      <c r="A924" s="92"/>
      <c r="B924" s="22"/>
      <c r="C924" s="23"/>
      <c r="D924" s="23"/>
      <c r="E924" s="23"/>
      <c r="F924" s="23"/>
      <c r="G924" s="23"/>
      <c r="H924" s="23"/>
      <c r="I924" s="23"/>
      <c r="J924" s="23"/>
      <c r="K924" s="23"/>
      <c r="L924" s="23"/>
      <c r="M924" s="23"/>
      <c r="N924" s="23"/>
      <c r="O924" s="23"/>
      <c r="P924" s="23"/>
      <c r="Q924" s="23"/>
      <c r="R924" s="23"/>
      <c r="S924" s="23"/>
    </row>
    <row r="925" spans="1:19" ht="15.75" customHeight="1" x14ac:dyDescent="0.25">
      <c r="A925" s="92"/>
      <c r="B925" s="22"/>
      <c r="C925" s="23"/>
      <c r="D925" s="23"/>
      <c r="E925" s="23"/>
      <c r="F925" s="23"/>
      <c r="G925" s="23"/>
      <c r="H925" s="23"/>
      <c r="I925" s="23"/>
      <c r="J925" s="23"/>
      <c r="K925" s="23"/>
      <c r="L925" s="23"/>
      <c r="M925" s="23"/>
      <c r="N925" s="23"/>
      <c r="O925" s="23"/>
      <c r="P925" s="23"/>
      <c r="Q925" s="23"/>
      <c r="R925" s="23"/>
      <c r="S925" s="23"/>
    </row>
    <row r="926" spans="1:19" ht="15.75" customHeight="1" x14ac:dyDescent="0.25">
      <c r="A926" s="92"/>
      <c r="B926" s="22"/>
      <c r="C926" s="23"/>
      <c r="D926" s="23"/>
      <c r="E926" s="23"/>
      <c r="F926" s="23"/>
      <c r="G926" s="23"/>
      <c r="H926" s="23"/>
      <c r="I926" s="23"/>
      <c r="J926" s="23"/>
      <c r="K926" s="23"/>
      <c r="L926" s="23"/>
      <c r="M926" s="23"/>
      <c r="N926" s="23"/>
      <c r="O926" s="23"/>
      <c r="P926" s="23"/>
      <c r="Q926" s="23"/>
      <c r="R926" s="23"/>
      <c r="S926" s="23"/>
    </row>
    <row r="927" spans="1:19" ht="15.75" customHeight="1" x14ac:dyDescent="0.25">
      <c r="A927" s="92"/>
      <c r="B927" s="22"/>
      <c r="C927" s="23"/>
      <c r="D927" s="23"/>
      <c r="E927" s="23"/>
      <c r="F927" s="23"/>
      <c r="G927" s="23"/>
      <c r="H927" s="23"/>
      <c r="I927" s="23"/>
      <c r="J927" s="23"/>
      <c r="K927" s="23"/>
      <c r="L927" s="23"/>
      <c r="M927" s="23"/>
      <c r="N927" s="23"/>
      <c r="O927" s="23"/>
      <c r="P927" s="23"/>
      <c r="Q927" s="23"/>
      <c r="R927" s="23"/>
      <c r="S927" s="23"/>
    </row>
    <row r="928" spans="1:19" ht="15.75" customHeight="1" x14ac:dyDescent="0.25">
      <c r="A928" s="92"/>
      <c r="B928" s="22"/>
      <c r="C928" s="23"/>
      <c r="D928" s="23"/>
      <c r="E928" s="23"/>
      <c r="F928" s="23"/>
      <c r="G928" s="23"/>
      <c r="H928" s="23"/>
      <c r="I928" s="23"/>
      <c r="J928" s="23"/>
      <c r="K928" s="23"/>
      <c r="L928" s="23"/>
      <c r="M928" s="23"/>
      <c r="N928" s="23"/>
      <c r="O928" s="23"/>
      <c r="P928" s="23"/>
      <c r="Q928" s="23"/>
      <c r="R928" s="23"/>
      <c r="S928" s="23"/>
    </row>
    <row r="929" spans="1:19" ht="15.75" customHeight="1" x14ac:dyDescent="0.25">
      <c r="A929" s="92"/>
      <c r="B929" s="22"/>
      <c r="C929" s="23"/>
      <c r="D929" s="23"/>
      <c r="E929" s="23"/>
      <c r="F929" s="23"/>
      <c r="G929" s="23"/>
      <c r="H929" s="23"/>
      <c r="I929" s="23"/>
      <c r="J929" s="23"/>
      <c r="K929" s="23"/>
      <c r="L929" s="23"/>
      <c r="M929" s="23"/>
      <c r="N929" s="23"/>
      <c r="O929" s="23"/>
      <c r="P929" s="23"/>
      <c r="Q929" s="23"/>
      <c r="R929" s="23"/>
      <c r="S929" s="23"/>
    </row>
    <row r="930" spans="1:19" ht="15.75" customHeight="1" x14ac:dyDescent="0.25">
      <c r="A930" s="92"/>
      <c r="B930" s="22"/>
      <c r="C930" s="23"/>
      <c r="D930" s="23"/>
      <c r="E930" s="23"/>
      <c r="F930" s="23"/>
      <c r="G930" s="23"/>
      <c r="H930" s="23"/>
      <c r="I930" s="23"/>
      <c r="J930" s="23"/>
      <c r="K930" s="23"/>
      <c r="L930" s="23"/>
      <c r="M930" s="23"/>
      <c r="N930" s="23"/>
      <c r="O930" s="23"/>
      <c r="P930" s="23"/>
      <c r="Q930" s="23"/>
      <c r="R930" s="23"/>
      <c r="S930" s="23"/>
    </row>
    <row r="931" spans="1:19" ht="15.75" customHeight="1" x14ac:dyDescent="0.25">
      <c r="A931" s="92"/>
      <c r="B931" s="22"/>
      <c r="C931" s="23"/>
      <c r="D931" s="23"/>
      <c r="E931" s="23"/>
      <c r="F931" s="23"/>
      <c r="G931" s="23"/>
      <c r="H931" s="23"/>
      <c r="I931" s="23"/>
      <c r="J931" s="23"/>
      <c r="K931" s="23"/>
      <c r="L931" s="23"/>
      <c r="M931" s="23"/>
      <c r="N931" s="23"/>
      <c r="O931" s="23"/>
      <c r="P931" s="23"/>
      <c r="Q931" s="23"/>
      <c r="R931" s="23"/>
      <c r="S931" s="23"/>
    </row>
    <row r="932" spans="1:19" ht="15.75" customHeight="1" x14ac:dyDescent="0.25">
      <c r="A932" s="92"/>
      <c r="B932" s="22"/>
      <c r="C932" s="23"/>
      <c r="D932" s="23"/>
      <c r="E932" s="23"/>
      <c r="F932" s="23"/>
      <c r="G932" s="23"/>
      <c r="H932" s="23"/>
      <c r="I932" s="23"/>
      <c r="J932" s="23"/>
      <c r="K932" s="23"/>
      <c r="L932" s="23"/>
      <c r="M932" s="23"/>
      <c r="N932" s="23"/>
      <c r="O932" s="23"/>
      <c r="P932" s="23"/>
      <c r="Q932" s="23"/>
      <c r="R932" s="23"/>
      <c r="S932" s="23"/>
    </row>
    <row r="933" spans="1:19" ht="15.75" customHeight="1" x14ac:dyDescent="0.25">
      <c r="A933" s="92"/>
      <c r="B933" s="22"/>
      <c r="C933" s="23"/>
      <c r="D933" s="23"/>
      <c r="E933" s="23"/>
      <c r="F933" s="23"/>
      <c r="G933" s="23"/>
      <c r="H933" s="23"/>
      <c r="I933" s="23"/>
      <c r="J933" s="23"/>
      <c r="K933" s="23"/>
      <c r="L933" s="23"/>
      <c r="M933" s="23"/>
      <c r="N933" s="23"/>
      <c r="O933" s="23"/>
      <c r="P933" s="23"/>
      <c r="Q933" s="23"/>
      <c r="R933" s="23"/>
      <c r="S933" s="23"/>
    </row>
    <row r="934" spans="1:19" ht="15.75" customHeight="1" x14ac:dyDescent="0.25">
      <c r="A934" s="92"/>
      <c r="B934" s="22"/>
      <c r="C934" s="23"/>
      <c r="D934" s="23"/>
      <c r="E934" s="23"/>
      <c r="F934" s="23"/>
      <c r="G934" s="23"/>
      <c r="H934" s="23"/>
      <c r="I934" s="23"/>
      <c r="J934" s="23"/>
      <c r="K934" s="23"/>
      <c r="L934" s="23"/>
      <c r="M934" s="23"/>
      <c r="N934" s="23"/>
      <c r="O934" s="23"/>
      <c r="P934" s="23"/>
      <c r="Q934" s="23"/>
      <c r="R934" s="23"/>
      <c r="S934" s="23"/>
    </row>
    <row r="935" spans="1:19" ht="15.75" customHeight="1" x14ac:dyDescent="0.25">
      <c r="A935" s="92"/>
      <c r="B935" s="22"/>
      <c r="C935" s="23"/>
      <c r="D935" s="23"/>
      <c r="E935" s="23"/>
      <c r="F935" s="23"/>
      <c r="G935" s="23"/>
      <c r="H935" s="23"/>
      <c r="I935" s="23"/>
      <c r="J935" s="23"/>
      <c r="K935" s="23"/>
      <c r="L935" s="23"/>
      <c r="M935" s="23"/>
      <c r="N935" s="23"/>
      <c r="O935" s="23"/>
      <c r="P935" s="23"/>
      <c r="Q935" s="23"/>
      <c r="R935" s="23"/>
      <c r="S935" s="23"/>
    </row>
    <row r="936" spans="1:19" ht="15.75" customHeight="1" x14ac:dyDescent="0.25">
      <c r="A936" s="92"/>
      <c r="B936" s="22"/>
      <c r="C936" s="23"/>
      <c r="D936" s="23"/>
      <c r="E936" s="23"/>
      <c r="F936" s="23"/>
      <c r="G936" s="23"/>
      <c r="H936" s="23"/>
      <c r="I936" s="23"/>
      <c r="J936" s="23"/>
      <c r="K936" s="23"/>
      <c r="L936" s="23"/>
      <c r="M936" s="23"/>
      <c r="N936" s="23"/>
      <c r="O936" s="23"/>
      <c r="P936" s="23"/>
      <c r="Q936" s="23"/>
      <c r="R936" s="23"/>
      <c r="S936" s="23"/>
    </row>
    <row r="937" spans="1:19" ht="15.75" customHeight="1" x14ac:dyDescent="0.25">
      <c r="A937" s="92"/>
      <c r="B937" s="22"/>
      <c r="C937" s="23"/>
      <c r="D937" s="23"/>
      <c r="E937" s="23"/>
      <c r="F937" s="23"/>
      <c r="G937" s="23"/>
      <c r="H937" s="23"/>
      <c r="I937" s="23"/>
      <c r="J937" s="23"/>
      <c r="K937" s="23"/>
      <c r="L937" s="23"/>
      <c r="M937" s="23"/>
      <c r="N937" s="23"/>
      <c r="O937" s="23"/>
      <c r="P937" s="23"/>
      <c r="Q937" s="23"/>
      <c r="R937" s="23"/>
      <c r="S937" s="23"/>
    </row>
    <row r="938" spans="1:19" ht="15.75" customHeight="1" x14ac:dyDescent="0.25">
      <c r="A938" s="92"/>
      <c r="B938" s="22"/>
      <c r="C938" s="23"/>
      <c r="D938" s="23"/>
      <c r="E938" s="23"/>
      <c r="F938" s="23"/>
      <c r="G938" s="23"/>
      <c r="H938" s="23"/>
      <c r="I938" s="23"/>
      <c r="J938" s="23"/>
      <c r="K938" s="23"/>
      <c r="L938" s="23"/>
      <c r="M938" s="23"/>
      <c r="N938" s="23"/>
      <c r="O938" s="23"/>
      <c r="P938" s="23"/>
      <c r="Q938" s="23"/>
      <c r="R938" s="23"/>
      <c r="S938" s="23"/>
    </row>
    <row r="939" spans="1:19" ht="15.75" customHeight="1" x14ac:dyDescent="0.25">
      <c r="A939" s="92"/>
      <c r="B939" s="22"/>
      <c r="C939" s="23"/>
      <c r="D939" s="23"/>
      <c r="E939" s="23"/>
      <c r="F939" s="23"/>
      <c r="G939" s="23"/>
      <c r="H939" s="23"/>
      <c r="I939" s="23"/>
      <c r="J939" s="23"/>
      <c r="K939" s="23"/>
      <c r="L939" s="23"/>
      <c r="M939" s="23"/>
      <c r="N939" s="23"/>
      <c r="O939" s="23"/>
      <c r="P939" s="23"/>
      <c r="Q939" s="23"/>
      <c r="R939" s="23"/>
      <c r="S939" s="23"/>
    </row>
    <row r="940" spans="1:19" ht="15.75" customHeight="1" x14ac:dyDescent="0.25">
      <c r="A940" s="92"/>
      <c r="B940" s="22"/>
      <c r="C940" s="23"/>
      <c r="D940" s="23"/>
      <c r="E940" s="23"/>
      <c r="F940" s="23"/>
      <c r="G940" s="23"/>
      <c r="H940" s="23"/>
      <c r="I940" s="23"/>
      <c r="J940" s="23"/>
      <c r="K940" s="23"/>
      <c r="L940" s="23"/>
      <c r="M940" s="23"/>
      <c r="N940" s="23"/>
      <c r="O940" s="23"/>
      <c r="P940" s="23"/>
      <c r="Q940" s="23"/>
      <c r="R940" s="23"/>
      <c r="S940" s="23"/>
    </row>
    <row r="941" spans="1:19" ht="15.75" customHeight="1" x14ac:dyDescent="0.25">
      <c r="A941" s="92"/>
      <c r="B941" s="22"/>
      <c r="C941" s="23"/>
      <c r="D941" s="23"/>
      <c r="E941" s="23"/>
      <c r="F941" s="23"/>
      <c r="G941" s="23"/>
      <c r="H941" s="23"/>
      <c r="I941" s="23"/>
      <c r="J941" s="23"/>
      <c r="K941" s="23"/>
      <c r="L941" s="23"/>
      <c r="M941" s="23"/>
      <c r="N941" s="23"/>
      <c r="O941" s="23"/>
      <c r="P941" s="23"/>
      <c r="Q941" s="23"/>
      <c r="R941" s="23"/>
      <c r="S941" s="23"/>
    </row>
    <row r="942" spans="1:19" ht="15.75" customHeight="1" x14ac:dyDescent="0.25">
      <c r="A942" s="92"/>
      <c r="B942" s="22"/>
      <c r="C942" s="23"/>
      <c r="D942" s="23"/>
      <c r="E942" s="23"/>
      <c r="F942" s="23"/>
      <c r="G942" s="23"/>
      <c r="H942" s="23"/>
      <c r="I942" s="23"/>
      <c r="J942" s="23"/>
      <c r="K942" s="23"/>
      <c r="L942" s="23"/>
      <c r="M942" s="23"/>
      <c r="N942" s="23"/>
      <c r="O942" s="23"/>
      <c r="P942" s="23"/>
      <c r="Q942" s="23"/>
      <c r="R942" s="23"/>
      <c r="S942" s="23"/>
    </row>
    <row r="943" spans="1:19" ht="15.75" customHeight="1" x14ac:dyDescent="0.25">
      <c r="A943" s="92"/>
      <c r="B943" s="22"/>
      <c r="C943" s="23"/>
      <c r="D943" s="23"/>
      <c r="E943" s="23"/>
      <c r="F943" s="23"/>
      <c r="G943" s="23"/>
      <c r="H943" s="23"/>
      <c r="I943" s="23"/>
      <c r="J943" s="23"/>
      <c r="K943" s="23"/>
      <c r="L943" s="23"/>
      <c r="M943" s="23"/>
      <c r="N943" s="23"/>
      <c r="O943" s="23"/>
      <c r="P943" s="23"/>
      <c r="Q943" s="23"/>
      <c r="R943" s="23"/>
      <c r="S943" s="23"/>
    </row>
    <row r="944" spans="1:19" ht="15.75" customHeight="1" x14ac:dyDescent="0.25">
      <c r="A944" s="92"/>
      <c r="B944" s="22"/>
      <c r="C944" s="23"/>
      <c r="D944" s="23"/>
      <c r="E944" s="23"/>
      <c r="F944" s="23"/>
      <c r="G944" s="23"/>
      <c r="H944" s="23"/>
      <c r="I944" s="23"/>
      <c r="J944" s="23"/>
      <c r="K944" s="23"/>
      <c r="L944" s="23"/>
      <c r="M944" s="23"/>
      <c r="N944" s="23"/>
      <c r="O944" s="23"/>
      <c r="P944" s="23"/>
      <c r="Q944" s="23"/>
      <c r="R944" s="23"/>
      <c r="S944" s="23"/>
    </row>
    <row r="945" spans="1:19" ht="15.75" customHeight="1" x14ac:dyDescent="0.25">
      <c r="A945" s="92"/>
      <c r="B945" s="22"/>
      <c r="C945" s="23"/>
      <c r="D945" s="23"/>
      <c r="E945" s="23"/>
      <c r="F945" s="23"/>
      <c r="G945" s="23"/>
      <c r="H945" s="23"/>
      <c r="I945" s="23"/>
      <c r="J945" s="23"/>
      <c r="K945" s="23"/>
      <c r="L945" s="23"/>
      <c r="M945" s="23"/>
      <c r="N945" s="23"/>
      <c r="O945" s="23"/>
      <c r="P945" s="23"/>
      <c r="Q945" s="23"/>
      <c r="R945" s="23"/>
      <c r="S945" s="23"/>
    </row>
    <row r="946" spans="1:19" ht="15.75" customHeight="1" x14ac:dyDescent="0.25">
      <c r="A946" s="92"/>
      <c r="B946" s="22"/>
      <c r="C946" s="23"/>
      <c r="D946" s="23"/>
      <c r="E946" s="23"/>
      <c r="F946" s="23"/>
      <c r="G946" s="23"/>
      <c r="H946" s="23"/>
      <c r="I946" s="23"/>
      <c r="J946" s="23"/>
      <c r="K946" s="23"/>
      <c r="L946" s="23"/>
      <c r="M946" s="23"/>
      <c r="N946" s="23"/>
      <c r="O946" s="23"/>
      <c r="P946" s="23"/>
      <c r="Q946" s="23"/>
      <c r="R946" s="23"/>
      <c r="S946" s="23"/>
    </row>
    <row r="947" spans="1:19" ht="15.75" customHeight="1" x14ac:dyDescent="0.25">
      <c r="A947" s="92"/>
      <c r="B947" s="22"/>
      <c r="C947" s="23"/>
      <c r="D947" s="23"/>
      <c r="E947" s="23"/>
      <c r="F947" s="23"/>
      <c r="G947" s="23"/>
      <c r="H947" s="23"/>
      <c r="I947" s="23"/>
      <c r="J947" s="23"/>
      <c r="K947" s="23"/>
      <c r="L947" s="23"/>
      <c r="M947" s="23"/>
      <c r="N947" s="23"/>
      <c r="O947" s="23"/>
      <c r="P947" s="23"/>
      <c r="Q947" s="23"/>
      <c r="R947" s="23"/>
      <c r="S947" s="23"/>
    </row>
    <row r="948" spans="1:19" ht="15.75" customHeight="1" x14ac:dyDescent="0.25">
      <c r="A948" s="92"/>
      <c r="B948" s="22"/>
      <c r="C948" s="23"/>
      <c r="D948" s="23"/>
      <c r="E948" s="23"/>
      <c r="F948" s="23"/>
      <c r="G948" s="23"/>
      <c r="H948" s="23"/>
      <c r="I948" s="23"/>
      <c r="J948" s="23"/>
      <c r="K948" s="23"/>
      <c r="L948" s="23"/>
      <c r="M948" s="23"/>
      <c r="N948" s="23"/>
      <c r="O948" s="23"/>
      <c r="P948" s="23"/>
      <c r="Q948" s="23"/>
      <c r="R948" s="23"/>
      <c r="S948" s="23"/>
    </row>
    <row r="949" spans="1:19" ht="15.75" customHeight="1" x14ac:dyDescent="0.25">
      <c r="A949" s="92"/>
      <c r="B949" s="22"/>
      <c r="C949" s="23"/>
      <c r="D949" s="23"/>
      <c r="E949" s="23"/>
      <c r="F949" s="23"/>
      <c r="G949" s="23"/>
      <c r="H949" s="23"/>
      <c r="I949" s="23"/>
      <c r="J949" s="23"/>
      <c r="K949" s="23"/>
      <c r="L949" s="23"/>
      <c r="M949" s="23"/>
      <c r="N949" s="23"/>
      <c r="O949" s="23"/>
      <c r="P949" s="23"/>
      <c r="Q949" s="23"/>
      <c r="R949" s="23"/>
      <c r="S949" s="23"/>
    </row>
    <row r="950" spans="1:19" ht="15.75" customHeight="1" x14ac:dyDescent="0.25">
      <c r="A950" s="92"/>
      <c r="B950" s="22"/>
      <c r="C950" s="23"/>
      <c r="D950" s="23"/>
      <c r="E950" s="23"/>
      <c r="F950" s="23"/>
      <c r="G950" s="23"/>
      <c r="H950" s="23"/>
      <c r="I950" s="23"/>
      <c r="J950" s="23"/>
      <c r="K950" s="23"/>
      <c r="L950" s="23"/>
      <c r="M950" s="23"/>
      <c r="N950" s="23"/>
      <c r="O950" s="23"/>
      <c r="P950" s="23"/>
      <c r="Q950" s="23"/>
      <c r="R950" s="23"/>
      <c r="S950" s="23"/>
    </row>
    <row r="951" spans="1:19" ht="15.75" customHeight="1" x14ac:dyDescent="0.25">
      <c r="A951" s="92"/>
      <c r="B951" s="22"/>
      <c r="C951" s="23"/>
      <c r="D951" s="23"/>
      <c r="E951" s="23"/>
      <c r="F951" s="23"/>
      <c r="G951" s="23"/>
      <c r="H951" s="23"/>
      <c r="I951" s="23"/>
      <c r="J951" s="23"/>
      <c r="K951" s="23"/>
      <c r="L951" s="23"/>
      <c r="M951" s="23"/>
      <c r="N951" s="23"/>
      <c r="O951" s="23"/>
      <c r="P951" s="23"/>
      <c r="Q951" s="23"/>
      <c r="R951" s="23"/>
      <c r="S951" s="23"/>
    </row>
    <row r="952" spans="1:19" ht="15.75" customHeight="1" x14ac:dyDescent="0.25">
      <c r="A952" s="92"/>
      <c r="B952" s="22"/>
      <c r="C952" s="23"/>
      <c r="D952" s="23"/>
      <c r="E952" s="23"/>
      <c r="F952" s="23"/>
      <c r="G952" s="23"/>
      <c r="H952" s="23"/>
      <c r="I952" s="23"/>
      <c r="J952" s="23"/>
      <c r="K952" s="23"/>
      <c r="L952" s="23"/>
      <c r="M952" s="23"/>
      <c r="N952" s="23"/>
      <c r="O952" s="23"/>
      <c r="P952" s="23"/>
      <c r="Q952" s="23"/>
      <c r="R952" s="23"/>
      <c r="S952" s="23"/>
    </row>
    <row r="953" spans="1:19" ht="15.75" customHeight="1" x14ac:dyDescent="0.25">
      <c r="A953" s="92"/>
      <c r="B953" s="22"/>
      <c r="C953" s="23"/>
      <c r="D953" s="23"/>
      <c r="E953" s="23"/>
      <c r="F953" s="23"/>
      <c r="G953" s="23"/>
      <c r="H953" s="23"/>
      <c r="I953" s="23"/>
      <c r="J953" s="23"/>
      <c r="K953" s="23"/>
      <c r="L953" s="23"/>
      <c r="M953" s="23"/>
      <c r="N953" s="23"/>
      <c r="O953" s="23"/>
      <c r="P953" s="23"/>
      <c r="Q953" s="23"/>
      <c r="R953" s="23"/>
      <c r="S953" s="23"/>
    </row>
    <row r="954" spans="1:19" ht="15.75" customHeight="1" x14ac:dyDescent="0.25">
      <c r="A954" s="92"/>
      <c r="B954" s="22"/>
      <c r="C954" s="23"/>
      <c r="D954" s="23"/>
      <c r="E954" s="23"/>
      <c r="F954" s="23"/>
      <c r="G954" s="23"/>
      <c r="H954" s="23"/>
      <c r="I954" s="23"/>
      <c r="J954" s="23"/>
      <c r="K954" s="23"/>
      <c r="L954" s="23"/>
      <c r="M954" s="23"/>
      <c r="N954" s="23"/>
      <c r="O954" s="23"/>
      <c r="P954" s="23"/>
      <c r="Q954" s="23"/>
      <c r="R954" s="23"/>
      <c r="S954" s="23"/>
    </row>
    <row r="955" spans="1:19" ht="15.75" customHeight="1" x14ac:dyDescent="0.25">
      <c r="A955" s="92"/>
      <c r="B955" s="22"/>
      <c r="C955" s="23"/>
      <c r="D955" s="23"/>
      <c r="E955" s="23"/>
      <c r="F955" s="23"/>
      <c r="G955" s="23"/>
      <c r="H955" s="23"/>
      <c r="I955" s="23"/>
      <c r="J955" s="23"/>
      <c r="K955" s="23"/>
      <c r="L955" s="23"/>
      <c r="M955" s="23"/>
      <c r="N955" s="23"/>
      <c r="O955" s="23"/>
      <c r="P955" s="23"/>
      <c r="Q955" s="23"/>
      <c r="R955" s="23"/>
      <c r="S955" s="23"/>
    </row>
    <row r="956" spans="1:19" ht="15.75" customHeight="1" x14ac:dyDescent="0.25">
      <c r="A956" s="92"/>
      <c r="B956" s="22"/>
      <c r="C956" s="23"/>
      <c r="D956" s="23"/>
      <c r="E956" s="23"/>
      <c r="F956" s="23"/>
      <c r="G956" s="23"/>
      <c r="H956" s="23"/>
      <c r="I956" s="23"/>
      <c r="J956" s="23"/>
      <c r="K956" s="23"/>
      <c r="L956" s="23"/>
      <c r="M956" s="23"/>
      <c r="N956" s="23"/>
      <c r="O956" s="23"/>
      <c r="P956" s="23"/>
      <c r="Q956" s="23"/>
      <c r="R956" s="23"/>
      <c r="S956" s="23"/>
    </row>
    <row r="957" spans="1:19" ht="15.75" customHeight="1" x14ac:dyDescent="0.25">
      <c r="A957" s="92"/>
      <c r="B957" s="22"/>
      <c r="C957" s="23"/>
      <c r="D957" s="23"/>
      <c r="E957" s="23"/>
      <c r="F957" s="23"/>
      <c r="G957" s="23"/>
      <c r="H957" s="23"/>
      <c r="I957" s="23"/>
      <c r="J957" s="23"/>
      <c r="K957" s="23"/>
      <c r="L957" s="23"/>
      <c r="M957" s="23"/>
      <c r="N957" s="23"/>
      <c r="O957" s="23"/>
      <c r="P957" s="23"/>
      <c r="Q957" s="23"/>
      <c r="R957" s="23"/>
      <c r="S957" s="23"/>
    </row>
    <row r="958" spans="1:19" ht="15.75" customHeight="1" x14ac:dyDescent="0.25">
      <c r="A958" s="92"/>
      <c r="B958" s="22"/>
      <c r="C958" s="23"/>
      <c r="D958" s="23"/>
      <c r="E958" s="23"/>
      <c r="F958" s="23"/>
      <c r="G958" s="23"/>
      <c r="H958" s="23"/>
      <c r="I958" s="23"/>
      <c r="J958" s="23"/>
      <c r="K958" s="23"/>
      <c r="L958" s="23"/>
      <c r="M958" s="23"/>
      <c r="N958" s="23"/>
      <c r="O958" s="23"/>
      <c r="P958" s="23"/>
      <c r="Q958" s="23"/>
      <c r="R958" s="23"/>
      <c r="S958" s="23"/>
    </row>
    <row r="959" spans="1:19" ht="15.75" customHeight="1" x14ac:dyDescent="0.25">
      <c r="A959" s="92"/>
      <c r="B959" s="22"/>
      <c r="C959" s="23"/>
      <c r="D959" s="23"/>
      <c r="E959" s="23"/>
      <c r="F959" s="23"/>
      <c r="G959" s="23"/>
      <c r="H959" s="23"/>
      <c r="I959" s="23"/>
      <c r="J959" s="23"/>
      <c r="K959" s="23"/>
      <c r="L959" s="23"/>
      <c r="M959" s="23"/>
      <c r="N959" s="23"/>
      <c r="O959" s="23"/>
      <c r="P959" s="23"/>
      <c r="Q959" s="23"/>
      <c r="R959" s="23"/>
      <c r="S959" s="23"/>
    </row>
    <row r="960" spans="1:19" ht="15.75" customHeight="1" x14ac:dyDescent="0.25">
      <c r="A960" s="92"/>
      <c r="B960" s="22"/>
      <c r="C960" s="23"/>
      <c r="D960" s="23"/>
      <c r="E960" s="23"/>
      <c r="F960" s="23"/>
      <c r="G960" s="23"/>
      <c r="H960" s="23"/>
      <c r="I960" s="23"/>
      <c r="J960" s="23"/>
      <c r="K960" s="23"/>
      <c r="L960" s="23"/>
      <c r="M960" s="23"/>
      <c r="N960" s="23"/>
      <c r="O960" s="23"/>
      <c r="P960" s="23"/>
      <c r="Q960" s="23"/>
      <c r="R960" s="23"/>
      <c r="S960" s="23"/>
    </row>
    <row r="961" spans="1:19" ht="15.75" customHeight="1" x14ac:dyDescent="0.25">
      <c r="A961" s="92"/>
      <c r="B961" s="22"/>
      <c r="C961" s="23"/>
      <c r="D961" s="23"/>
      <c r="E961" s="23"/>
      <c r="F961" s="23"/>
      <c r="G961" s="23"/>
      <c r="H961" s="23"/>
      <c r="I961" s="23"/>
      <c r="J961" s="23"/>
      <c r="K961" s="23"/>
      <c r="L961" s="23"/>
      <c r="M961" s="23"/>
      <c r="N961" s="23"/>
      <c r="O961" s="23"/>
      <c r="P961" s="23"/>
      <c r="Q961" s="23"/>
      <c r="R961" s="23"/>
      <c r="S961" s="23"/>
    </row>
    <row r="962" spans="1:19" ht="15.75" customHeight="1" x14ac:dyDescent="0.25">
      <c r="A962" s="92"/>
      <c r="B962" s="22"/>
      <c r="C962" s="23"/>
      <c r="D962" s="23"/>
      <c r="E962" s="23"/>
      <c r="F962" s="23"/>
      <c r="G962" s="23"/>
      <c r="H962" s="23"/>
      <c r="I962" s="23"/>
      <c r="J962" s="23"/>
      <c r="K962" s="23"/>
      <c r="L962" s="23"/>
      <c r="M962" s="23"/>
      <c r="N962" s="23"/>
      <c r="O962" s="23"/>
      <c r="P962" s="23"/>
      <c r="Q962" s="23"/>
      <c r="R962" s="23"/>
      <c r="S962" s="23"/>
    </row>
    <row r="963" spans="1:19" ht="15.75" customHeight="1" x14ac:dyDescent="0.25">
      <c r="A963" s="92"/>
      <c r="B963" s="22"/>
      <c r="C963" s="23"/>
      <c r="D963" s="23"/>
      <c r="E963" s="23"/>
      <c r="F963" s="23"/>
      <c r="G963" s="23"/>
      <c r="H963" s="23"/>
      <c r="I963" s="23"/>
      <c r="J963" s="23"/>
      <c r="K963" s="23"/>
      <c r="L963" s="23"/>
      <c r="M963" s="23"/>
      <c r="N963" s="23"/>
      <c r="O963" s="23"/>
      <c r="P963" s="23"/>
      <c r="Q963" s="23"/>
      <c r="R963" s="23"/>
      <c r="S963" s="23"/>
    </row>
    <row r="964" spans="1:19" ht="15.75" customHeight="1" x14ac:dyDescent="0.25">
      <c r="A964" s="92"/>
      <c r="B964" s="22"/>
      <c r="C964" s="23"/>
      <c r="D964" s="23"/>
      <c r="E964" s="23"/>
      <c r="F964" s="23"/>
      <c r="G964" s="23"/>
      <c r="H964" s="23"/>
      <c r="I964" s="23"/>
      <c r="J964" s="23"/>
      <c r="K964" s="23"/>
      <c r="L964" s="23"/>
      <c r="M964" s="23"/>
      <c r="N964" s="23"/>
      <c r="O964" s="23"/>
      <c r="P964" s="23"/>
      <c r="Q964" s="23"/>
      <c r="R964" s="23"/>
      <c r="S964" s="23"/>
    </row>
    <row r="965" spans="1:19" ht="15.75" customHeight="1" x14ac:dyDescent="0.25">
      <c r="A965" s="92"/>
      <c r="B965" s="22"/>
      <c r="C965" s="23"/>
      <c r="D965" s="23"/>
      <c r="E965" s="23"/>
      <c r="F965" s="23"/>
      <c r="G965" s="23"/>
      <c r="H965" s="23"/>
      <c r="I965" s="23"/>
      <c r="J965" s="23"/>
      <c r="K965" s="23"/>
      <c r="L965" s="23"/>
      <c r="M965" s="23"/>
      <c r="N965" s="23"/>
      <c r="O965" s="23"/>
      <c r="P965" s="23"/>
      <c r="Q965" s="23"/>
      <c r="R965" s="23"/>
      <c r="S965" s="23"/>
    </row>
    <row r="966" spans="1:19" ht="15.75" customHeight="1" x14ac:dyDescent="0.25">
      <c r="A966" s="92"/>
      <c r="B966" s="22"/>
      <c r="C966" s="23"/>
      <c r="D966" s="23"/>
      <c r="E966" s="23"/>
      <c r="F966" s="23"/>
      <c r="G966" s="23"/>
      <c r="H966" s="23"/>
      <c r="I966" s="23"/>
      <c r="J966" s="23"/>
      <c r="K966" s="23"/>
      <c r="L966" s="23"/>
      <c r="M966" s="23"/>
      <c r="N966" s="23"/>
      <c r="O966" s="23"/>
      <c r="P966" s="23"/>
      <c r="Q966" s="23"/>
      <c r="R966" s="23"/>
      <c r="S966" s="23"/>
    </row>
    <row r="967" spans="1:19" ht="15.75" customHeight="1" x14ac:dyDescent="0.25">
      <c r="A967" s="92"/>
      <c r="B967" s="22"/>
      <c r="C967" s="23"/>
      <c r="D967" s="23"/>
      <c r="E967" s="23"/>
      <c r="F967" s="23"/>
      <c r="G967" s="23"/>
      <c r="H967" s="23"/>
      <c r="I967" s="23"/>
      <c r="J967" s="23"/>
      <c r="K967" s="23"/>
      <c r="L967" s="23"/>
      <c r="M967" s="23"/>
      <c r="N967" s="23"/>
      <c r="O967" s="23"/>
      <c r="P967" s="23"/>
      <c r="Q967" s="23"/>
      <c r="R967" s="23"/>
      <c r="S967" s="23"/>
    </row>
    <row r="968" spans="1:19" ht="15.75" customHeight="1" x14ac:dyDescent="0.25">
      <c r="A968" s="92"/>
      <c r="B968" s="22"/>
      <c r="C968" s="23"/>
      <c r="D968" s="23"/>
      <c r="E968" s="23"/>
      <c r="F968" s="23"/>
      <c r="G968" s="23"/>
      <c r="H968" s="23"/>
      <c r="I968" s="23"/>
      <c r="J968" s="23"/>
      <c r="K968" s="23"/>
      <c r="L968" s="23"/>
      <c r="M968" s="23"/>
      <c r="N968" s="23"/>
      <c r="O968" s="23"/>
      <c r="P968" s="23"/>
      <c r="Q968" s="23"/>
      <c r="R968" s="23"/>
      <c r="S968" s="23"/>
    </row>
    <row r="969" spans="1:19" ht="15.75" customHeight="1" x14ac:dyDescent="0.25">
      <c r="A969" s="92"/>
      <c r="B969" s="22"/>
      <c r="C969" s="23"/>
      <c r="D969" s="23"/>
      <c r="E969" s="23"/>
      <c r="F969" s="23"/>
      <c r="G969" s="23"/>
      <c r="H969" s="23"/>
      <c r="I969" s="23"/>
      <c r="J969" s="23"/>
      <c r="K969" s="23"/>
      <c r="L969" s="23"/>
      <c r="M969" s="23"/>
      <c r="N969" s="23"/>
      <c r="O969" s="23"/>
      <c r="P969" s="23"/>
      <c r="Q969" s="23"/>
      <c r="R969" s="23"/>
      <c r="S969" s="23"/>
    </row>
    <row r="970" spans="1:19" ht="15.75" customHeight="1" x14ac:dyDescent="0.25">
      <c r="A970" s="92"/>
      <c r="B970" s="22"/>
      <c r="C970" s="23"/>
      <c r="D970" s="23"/>
      <c r="E970" s="23"/>
      <c r="F970" s="23"/>
      <c r="G970" s="23"/>
      <c r="H970" s="23"/>
      <c r="I970" s="23"/>
      <c r="J970" s="23"/>
      <c r="K970" s="23"/>
      <c r="L970" s="23"/>
      <c r="M970" s="23"/>
      <c r="N970" s="23"/>
      <c r="O970" s="23"/>
      <c r="P970" s="23"/>
      <c r="Q970" s="23"/>
      <c r="R970" s="23"/>
      <c r="S970" s="23"/>
    </row>
    <row r="971" spans="1:19" ht="15.75" customHeight="1" x14ac:dyDescent="0.25">
      <c r="A971" s="92"/>
      <c r="B971" s="22"/>
      <c r="C971" s="23"/>
      <c r="D971" s="23"/>
      <c r="E971" s="23"/>
      <c r="F971" s="23"/>
      <c r="G971" s="23"/>
      <c r="H971" s="23"/>
      <c r="I971" s="23"/>
      <c r="J971" s="23"/>
      <c r="K971" s="23"/>
      <c r="L971" s="23"/>
      <c r="M971" s="23"/>
      <c r="N971" s="23"/>
      <c r="O971" s="23"/>
      <c r="P971" s="23"/>
      <c r="Q971" s="23"/>
      <c r="R971" s="23"/>
      <c r="S971" s="23"/>
    </row>
    <row r="972" spans="1:19" ht="15.75" customHeight="1" x14ac:dyDescent="0.25">
      <c r="A972" s="92"/>
      <c r="B972" s="22"/>
      <c r="C972" s="23"/>
      <c r="D972" s="23"/>
      <c r="E972" s="23"/>
      <c r="F972" s="23"/>
      <c r="G972" s="23"/>
      <c r="H972" s="23"/>
      <c r="I972" s="23"/>
      <c r="J972" s="23"/>
      <c r="K972" s="23"/>
      <c r="L972" s="23"/>
      <c r="M972" s="23"/>
      <c r="N972" s="23"/>
      <c r="O972" s="23"/>
      <c r="P972" s="23"/>
      <c r="Q972" s="23"/>
      <c r="R972" s="23"/>
      <c r="S972" s="23"/>
    </row>
    <row r="973" spans="1:19" ht="15.75" customHeight="1" x14ac:dyDescent="0.25">
      <c r="A973" s="92"/>
      <c r="B973" s="22"/>
      <c r="C973" s="23"/>
      <c r="D973" s="23"/>
      <c r="E973" s="23"/>
      <c r="F973" s="23"/>
      <c r="G973" s="23"/>
      <c r="H973" s="23"/>
      <c r="I973" s="23"/>
      <c r="J973" s="23"/>
      <c r="K973" s="23"/>
      <c r="L973" s="23"/>
      <c r="M973" s="23"/>
      <c r="N973" s="23"/>
      <c r="O973" s="23"/>
      <c r="P973" s="23"/>
      <c r="Q973" s="23"/>
      <c r="R973" s="23"/>
      <c r="S973" s="23"/>
    </row>
    <row r="974" spans="1:19" ht="15.75" customHeight="1" x14ac:dyDescent="0.25">
      <c r="A974" s="92"/>
      <c r="B974" s="22"/>
      <c r="C974" s="23"/>
      <c r="D974" s="23"/>
      <c r="E974" s="23"/>
      <c r="F974" s="23"/>
      <c r="G974" s="23"/>
      <c r="H974" s="23"/>
      <c r="I974" s="23"/>
      <c r="J974" s="23"/>
      <c r="K974" s="23"/>
      <c r="L974" s="23"/>
      <c r="M974" s="23"/>
      <c r="N974" s="23"/>
      <c r="O974" s="23"/>
      <c r="P974" s="23"/>
      <c r="Q974" s="23"/>
      <c r="R974" s="23"/>
      <c r="S974" s="23"/>
    </row>
    <row r="975" spans="1:19" ht="15.75" customHeight="1" x14ac:dyDescent="0.25">
      <c r="A975" s="92"/>
      <c r="B975" s="22"/>
      <c r="C975" s="23"/>
      <c r="D975" s="23"/>
      <c r="E975" s="23"/>
      <c r="F975" s="23"/>
      <c r="G975" s="23"/>
      <c r="H975" s="23"/>
      <c r="I975" s="23"/>
      <c r="J975" s="23"/>
      <c r="K975" s="23"/>
      <c r="L975" s="23"/>
      <c r="M975" s="23"/>
      <c r="N975" s="23"/>
      <c r="O975" s="23"/>
      <c r="P975" s="23"/>
      <c r="Q975" s="23"/>
      <c r="R975" s="23"/>
      <c r="S975" s="23"/>
    </row>
    <row r="976" spans="1:19" ht="15.75" customHeight="1" x14ac:dyDescent="0.25">
      <c r="A976" s="92"/>
      <c r="B976" s="22"/>
      <c r="C976" s="23"/>
      <c r="D976" s="23"/>
      <c r="E976" s="23"/>
      <c r="F976" s="23"/>
      <c r="G976" s="23"/>
      <c r="H976" s="23"/>
      <c r="I976" s="23"/>
      <c r="J976" s="23"/>
      <c r="K976" s="23"/>
      <c r="L976" s="23"/>
      <c r="M976" s="23"/>
      <c r="N976" s="23"/>
      <c r="O976" s="23"/>
      <c r="P976" s="23"/>
      <c r="Q976" s="23"/>
      <c r="R976" s="23"/>
      <c r="S976" s="23"/>
    </row>
    <row r="977" spans="1:19" ht="15.75" customHeight="1" x14ac:dyDescent="0.25">
      <c r="A977" s="92"/>
      <c r="B977" s="22"/>
      <c r="C977" s="23"/>
      <c r="D977" s="23"/>
      <c r="E977" s="23"/>
      <c r="F977" s="23"/>
      <c r="G977" s="23"/>
      <c r="H977" s="23"/>
      <c r="I977" s="23"/>
      <c r="J977" s="23"/>
      <c r="K977" s="23"/>
      <c r="L977" s="23"/>
      <c r="M977" s="23"/>
      <c r="N977" s="23"/>
      <c r="O977" s="23"/>
      <c r="P977" s="23"/>
      <c r="Q977" s="23"/>
      <c r="R977" s="23"/>
      <c r="S977" s="23"/>
    </row>
    <row r="978" spans="1:19" ht="15.75" customHeight="1" x14ac:dyDescent="0.25">
      <c r="A978" s="92"/>
      <c r="B978" s="22"/>
      <c r="C978" s="23"/>
      <c r="D978" s="23"/>
      <c r="E978" s="23"/>
      <c r="F978" s="23"/>
      <c r="G978" s="23"/>
      <c r="H978" s="23"/>
      <c r="I978" s="23"/>
      <c r="J978" s="23"/>
      <c r="K978" s="23"/>
      <c r="L978" s="23"/>
      <c r="M978" s="23"/>
      <c r="N978" s="23"/>
      <c r="O978" s="23"/>
      <c r="P978" s="23"/>
      <c r="Q978" s="23"/>
      <c r="R978" s="23"/>
      <c r="S978" s="23"/>
    </row>
    <row r="979" spans="1:19" ht="15.75" customHeight="1" x14ac:dyDescent="0.25">
      <c r="A979" s="92"/>
      <c r="B979" s="22"/>
      <c r="C979" s="23"/>
      <c r="D979" s="23"/>
      <c r="E979" s="23"/>
      <c r="F979" s="23"/>
      <c r="G979" s="23"/>
      <c r="H979" s="23"/>
      <c r="I979" s="23"/>
      <c r="J979" s="23"/>
      <c r="K979" s="23"/>
      <c r="L979" s="23"/>
      <c r="M979" s="23"/>
      <c r="N979" s="23"/>
      <c r="O979" s="23"/>
      <c r="P979" s="23"/>
      <c r="Q979" s="23"/>
      <c r="R979" s="23"/>
      <c r="S979" s="23"/>
    </row>
    <row r="980" spans="1:19" ht="15.75" customHeight="1" x14ac:dyDescent="0.25">
      <c r="A980" s="92"/>
      <c r="B980" s="22"/>
      <c r="C980" s="23"/>
      <c r="D980" s="23"/>
      <c r="E980" s="23"/>
      <c r="F980" s="23"/>
      <c r="G980" s="23"/>
      <c r="H980" s="23"/>
      <c r="I980" s="23"/>
      <c r="J980" s="23"/>
      <c r="K980" s="23"/>
      <c r="L980" s="23"/>
      <c r="M980" s="23"/>
      <c r="N980" s="23"/>
      <c r="O980" s="23"/>
      <c r="P980" s="23"/>
      <c r="Q980" s="23"/>
      <c r="R980" s="23"/>
      <c r="S980" s="23"/>
    </row>
    <row r="981" spans="1:19" ht="15.75" customHeight="1" x14ac:dyDescent="0.25">
      <c r="A981" s="92"/>
      <c r="B981" s="22"/>
      <c r="C981" s="23"/>
      <c r="D981" s="23"/>
      <c r="E981" s="23"/>
      <c r="F981" s="23"/>
      <c r="G981" s="23"/>
      <c r="H981" s="23"/>
      <c r="I981" s="23"/>
      <c r="J981" s="23"/>
      <c r="K981" s="23"/>
      <c r="L981" s="23"/>
      <c r="M981" s="23"/>
      <c r="N981" s="23"/>
      <c r="O981" s="23"/>
      <c r="P981" s="23"/>
      <c r="Q981" s="23"/>
      <c r="R981" s="23"/>
      <c r="S981" s="23"/>
    </row>
    <row r="982" spans="1:19" ht="15.75" customHeight="1" x14ac:dyDescent="0.25">
      <c r="A982" s="92"/>
      <c r="B982" s="22"/>
      <c r="C982" s="23"/>
      <c r="D982" s="23"/>
      <c r="E982" s="23"/>
      <c r="F982" s="23"/>
      <c r="G982" s="23"/>
      <c r="H982" s="23"/>
      <c r="I982" s="23"/>
      <c r="J982" s="23"/>
      <c r="K982" s="23"/>
      <c r="L982" s="23"/>
      <c r="M982" s="23"/>
      <c r="N982" s="23"/>
      <c r="O982" s="23"/>
      <c r="P982" s="23"/>
      <c r="Q982" s="23"/>
      <c r="R982" s="23"/>
      <c r="S982" s="23"/>
    </row>
    <row r="983" spans="1:19" ht="15.75" customHeight="1" x14ac:dyDescent="0.25">
      <c r="A983" s="92"/>
      <c r="B983" s="22"/>
      <c r="C983" s="23"/>
      <c r="D983" s="23"/>
      <c r="E983" s="23"/>
      <c r="F983" s="23"/>
      <c r="G983" s="23"/>
      <c r="H983" s="23"/>
      <c r="I983" s="23"/>
      <c r="J983" s="23"/>
      <c r="K983" s="23"/>
      <c r="L983" s="23"/>
      <c r="M983" s="23"/>
      <c r="N983" s="23"/>
      <c r="O983" s="23"/>
      <c r="P983" s="23"/>
      <c r="Q983" s="23"/>
      <c r="R983" s="23"/>
      <c r="S983" s="23"/>
    </row>
    <row r="984" spans="1:19" ht="15.75" customHeight="1" x14ac:dyDescent="0.25">
      <c r="A984" s="92"/>
      <c r="B984" s="22"/>
      <c r="C984" s="23"/>
      <c r="D984" s="23"/>
      <c r="E984" s="23"/>
      <c r="F984" s="23"/>
      <c r="G984" s="23"/>
      <c r="H984" s="23"/>
      <c r="I984" s="23"/>
      <c r="J984" s="23"/>
      <c r="K984" s="23"/>
      <c r="L984" s="23"/>
      <c r="M984" s="23"/>
      <c r="N984" s="23"/>
      <c r="O984" s="23"/>
      <c r="P984" s="23"/>
      <c r="Q984" s="23"/>
      <c r="R984" s="23"/>
      <c r="S984" s="23"/>
    </row>
    <row r="985" spans="1:19" ht="15.75" customHeight="1" x14ac:dyDescent="0.25">
      <c r="A985" s="92"/>
      <c r="B985" s="22"/>
      <c r="C985" s="23"/>
      <c r="D985" s="23"/>
      <c r="E985" s="23"/>
      <c r="F985" s="23"/>
      <c r="G985" s="23"/>
      <c r="H985" s="23"/>
      <c r="I985" s="23"/>
      <c r="J985" s="23"/>
      <c r="K985" s="23"/>
      <c r="L985" s="23"/>
      <c r="M985" s="23"/>
      <c r="N985" s="23"/>
      <c r="O985" s="23"/>
      <c r="P985" s="23"/>
      <c r="Q985" s="23"/>
      <c r="R985" s="23"/>
      <c r="S985" s="23"/>
    </row>
    <row r="986" spans="1:19" ht="15.75" customHeight="1" x14ac:dyDescent="0.25">
      <c r="A986" s="92"/>
      <c r="B986" s="22"/>
      <c r="C986" s="23"/>
      <c r="D986" s="23"/>
      <c r="E986" s="23"/>
      <c r="F986" s="23"/>
      <c r="G986" s="23"/>
      <c r="H986" s="23"/>
      <c r="I986" s="23"/>
      <c r="J986" s="23"/>
      <c r="K986" s="23"/>
      <c r="L986" s="23"/>
      <c r="M986" s="23"/>
      <c r="N986" s="23"/>
      <c r="O986" s="23"/>
      <c r="P986" s="23"/>
      <c r="Q986" s="23"/>
      <c r="R986" s="23"/>
      <c r="S986" s="23"/>
    </row>
    <row r="987" spans="1:19" ht="15.75" customHeight="1" x14ac:dyDescent="0.25">
      <c r="A987" s="92"/>
      <c r="B987" s="22"/>
      <c r="C987" s="23"/>
      <c r="D987" s="23"/>
      <c r="E987" s="23"/>
      <c r="F987" s="23"/>
      <c r="G987" s="23"/>
      <c r="H987" s="23"/>
      <c r="I987" s="23"/>
      <c r="J987" s="23"/>
      <c r="K987" s="23"/>
      <c r="L987" s="23"/>
      <c r="M987" s="23"/>
      <c r="N987" s="23"/>
      <c r="O987" s="23"/>
      <c r="P987" s="23"/>
      <c r="Q987" s="23"/>
      <c r="R987" s="23"/>
      <c r="S987" s="23"/>
    </row>
    <row r="988" spans="1:19" ht="15.75" customHeight="1" x14ac:dyDescent="0.25">
      <c r="A988" s="92"/>
      <c r="B988" s="22"/>
      <c r="C988" s="23"/>
      <c r="D988" s="23"/>
      <c r="E988" s="23"/>
      <c r="F988" s="23"/>
      <c r="G988" s="23"/>
      <c r="H988" s="23"/>
      <c r="I988" s="23"/>
      <c r="J988" s="23"/>
      <c r="K988" s="23"/>
      <c r="L988" s="23"/>
      <c r="M988" s="23"/>
      <c r="N988" s="23"/>
      <c r="O988" s="23"/>
      <c r="P988" s="23"/>
      <c r="Q988" s="23"/>
      <c r="R988" s="23"/>
      <c r="S988" s="23"/>
    </row>
    <row r="989" spans="1:19" ht="15.75" customHeight="1" x14ac:dyDescent="0.25">
      <c r="A989" s="92"/>
      <c r="B989" s="22"/>
      <c r="C989" s="23"/>
      <c r="D989" s="23"/>
      <c r="E989" s="23"/>
      <c r="F989" s="23"/>
      <c r="G989" s="23"/>
      <c r="H989" s="23"/>
      <c r="I989" s="23"/>
      <c r="J989" s="23"/>
      <c r="K989" s="23"/>
      <c r="L989" s="23"/>
      <c r="M989" s="23"/>
      <c r="N989" s="23"/>
      <c r="O989" s="23"/>
      <c r="P989" s="23"/>
      <c r="Q989" s="23"/>
      <c r="R989" s="23"/>
      <c r="S989" s="23"/>
    </row>
    <row r="990" spans="1:19" ht="15.75" customHeight="1" x14ac:dyDescent="0.25">
      <c r="A990" s="92"/>
      <c r="B990" s="22"/>
      <c r="C990" s="23"/>
      <c r="D990" s="23"/>
      <c r="E990" s="23"/>
      <c r="F990" s="23"/>
      <c r="G990" s="23"/>
      <c r="H990" s="23"/>
      <c r="I990" s="23"/>
      <c r="J990" s="23"/>
      <c r="K990" s="23"/>
      <c r="L990" s="23"/>
      <c r="M990" s="23"/>
      <c r="N990" s="23"/>
      <c r="O990" s="23"/>
      <c r="P990" s="23"/>
      <c r="Q990" s="23"/>
      <c r="R990" s="23"/>
      <c r="S990" s="23"/>
    </row>
    <row r="991" spans="1:19" ht="15.75" customHeight="1" x14ac:dyDescent="0.25">
      <c r="A991" s="92"/>
      <c r="B991" s="22"/>
      <c r="C991" s="23"/>
      <c r="D991" s="23"/>
      <c r="E991" s="23"/>
      <c r="F991" s="23"/>
      <c r="G991" s="23"/>
      <c r="H991" s="23"/>
      <c r="I991" s="23"/>
      <c r="J991" s="23"/>
      <c r="K991" s="23"/>
      <c r="L991" s="23"/>
      <c r="M991" s="23"/>
      <c r="N991" s="23"/>
      <c r="O991" s="23"/>
      <c r="P991" s="23"/>
      <c r="Q991" s="23"/>
      <c r="R991" s="23"/>
      <c r="S991" s="23"/>
    </row>
    <row r="992" spans="1:19" ht="15.75" customHeight="1" x14ac:dyDescent="0.25">
      <c r="A992" s="92"/>
      <c r="B992" s="22"/>
      <c r="C992" s="23"/>
      <c r="D992" s="23"/>
      <c r="E992" s="23"/>
      <c r="F992" s="23"/>
      <c r="G992" s="23"/>
      <c r="H992" s="23"/>
      <c r="I992" s="23"/>
      <c r="J992" s="23"/>
      <c r="K992" s="23"/>
      <c r="L992" s="23"/>
      <c r="M992" s="23"/>
      <c r="N992" s="23"/>
      <c r="O992" s="23"/>
      <c r="P992" s="23"/>
      <c r="Q992" s="23"/>
      <c r="R992" s="23"/>
      <c r="S992" s="23"/>
    </row>
    <row r="993" spans="1:19" ht="15.75" customHeight="1" x14ac:dyDescent="0.25">
      <c r="A993" s="92"/>
      <c r="B993" s="22"/>
      <c r="C993" s="23"/>
      <c r="D993" s="23"/>
      <c r="E993" s="23"/>
      <c r="F993" s="23"/>
      <c r="G993" s="23"/>
      <c r="H993" s="23"/>
      <c r="I993" s="23"/>
      <c r="J993" s="23"/>
      <c r="K993" s="23"/>
      <c r="L993" s="23"/>
      <c r="M993" s="23"/>
      <c r="N993" s="23"/>
      <c r="O993" s="23"/>
      <c r="P993" s="23"/>
      <c r="Q993" s="23"/>
      <c r="R993" s="23"/>
      <c r="S993" s="23"/>
    </row>
    <row r="994" spans="1:19" ht="15.75" customHeight="1" x14ac:dyDescent="0.25">
      <c r="A994" s="92"/>
      <c r="B994" s="22"/>
      <c r="C994" s="23"/>
      <c r="D994" s="23"/>
      <c r="E994" s="23"/>
      <c r="F994" s="23"/>
      <c r="G994" s="23"/>
      <c r="H994" s="23"/>
      <c r="I994" s="23"/>
      <c r="J994" s="23"/>
      <c r="K994" s="23"/>
      <c r="L994" s="23"/>
      <c r="M994" s="23"/>
      <c r="N994" s="23"/>
      <c r="O994" s="23"/>
      <c r="P994" s="23"/>
      <c r="Q994" s="23"/>
      <c r="R994" s="23"/>
      <c r="S994" s="23"/>
    </row>
    <row r="995" spans="1:19" ht="15.75" customHeight="1" x14ac:dyDescent="0.25">
      <c r="A995" s="92"/>
      <c r="B995" s="22"/>
      <c r="C995" s="23"/>
      <c r="D995" s="23"/>
      <c r="E995" s="23"/>
      <c r="F995" s="23"/>
      <c r="G995" s="23"/>
      <c r="H995" s="23"/>
      <c r="I995" s="23"/>
      <c r="J995" s="23"/>
      <c r="K995" s="23"/>
      <c r="L995" s="23"/>
      <c r="M995" s="23"/>
      <c r="N995" s="23"/>
      <c r="O995" s="23"/>
      <c r="P995" s="23"/>
      <c r="Q995" s="23"/>
      <c r="R995" s="23"/>
      <c r="S995" s="23"/>
    </row>
    <row r="996" spans="1:19" ht="15.75" customHeight="1" x14ac:dyDescent="0.25">
      <c r="A996" s="92"/>
      <c r="B996" s="22"/>
      <c r="C996" s="23"/>
      <c r="D996" s="23"/>
      <c r="E996" s="23"/>
      <c r="F996" s="23"/>
      <c r="G996" s="23"/>
      <c r="H996" s="23"/>
      <c r="I996" s="23"/>
      <c r="J996" s="23"/>
      <c r="K996" s="23"/>
      <c r="L996" s="23"/>
      <c r="M996" s="23"/>
      <c r="N996" s="23"/>
      <c r="O996" s="23"/>
      <c r="P996" s="23"/>
      <c r="Q996" s="23"/>
      <c r="R996" s="23"/>
      <c r="S996" s="23"/>
    </row>
    <row r="997" spans="1:19" ht="15.75" customHeight="1" x14ac:dyDescent="0.25">
      <c r="A997" s="92"/>
      <c r="B997" s="22"/>
      <c r="C997" s="23"/>
      <c r="D997" s="23"/>
      <c r="E997" s="23"/>
      <c r="F997" s="23"/>
      <c r="G997" s="23"/>
      <c r="H997" s="23"/>
      <c r="I997" s="23"/>
      <c r="J997" s="23"/>
      <c r="K997" s="23"/>
      <c r="L997" s="23"/>
      <c r="M997" s="23"/>
      <c r="N997" s="23"/>
      <c r="O997" s="23"/>
      <c r="P997" s="23"/>
      <c r="Q997" s="23"/>
      <c r="R997" s="23"/>
      <c r="S997" s="23"/>
    </row>
    <row r="998" spans="1:19" ht="15.75" customHeight="1" x14ac:dyDescent="0.25">
      <c r="A998" s="92"/>
      <c r="B998" s="22"/>
      <c r="C998" s="23"/>
      <c r="D998" s="23"/>
      <c r="E998" s="23"/>
      <c r="F998" s="23"/>
      <c r="G998" s="23"/>
      <c r="H998" s="23"/>
      <c r="I998" s="23"/>
      <c r="J998" s="23"/>
      <c r="K998" s="23"/>
      <c r="L998" s="23"/>
      <c r="M998" s="23"/>
      <c r="N998" s="23"/>
      <c r="O998" s="23"/>
      <c r="P998" s="23"/>
      <c r="Q998" s="23"/>
      <c r="R998" s="23"/>
      <c r="S998" s="23"/>
    </row>
    <row r="999" spans="1:19" ht="15.75" customHeight="1" x14ac:dyDescent="0.25">
      <c r="A999" s="92"/>
      <c r="B999" s="22"/>
      <c r="C999" s="23"/>
      <c r="D999" s="23"/>
      <c r="E999" s="23"/>
      <c r="F999" s="23"/>
      <c r="G999" s="23"/>
      <c r="H999" s="23"/>
      <c r="I999" s="23"/>
      <c r="J999" s="23"/>
      <c r="K999" s="23"/>
      <c r="L999" s="23"/>
      <c r="M999" s="23"/>
      <c r="N999" s="23"/>
      <c r="O999" s="23"/>
      <c r="P999" s="23"/>
      <c r="Q999" s="23"/>
      <c r="R999" s="23"/>
      <c r="S999" s="23"/>
    </row>
    <row r="1000" spans="1:19" ht="15.75" customHeight="1" x14ac:dyDescent="0.25">
      <c r="A1000" s="92"/>
      <c r="B1000" s="22"/>
      <c r="C1000" s="23"/>
      <c r="D1000" s="23"/>
      <c r="E1000" s="23"/>
      <c r="F1000" s="23"/>
      <c r="G1000" s="23"/>
      <c r="H1000" s="23"/>
      <c r="I1000" s="23"/>
      <c r="J1000" s="23"/>
      <c r="K1000" s="23"/>
      <c r="L1000" s="23"/>
      <c r="M1000" s="23"/>
      <c r="N1000" s="23"/>
      <c r="O1000" s="23"/>
      <c r="P1000" s="23"/>
      <c r="Q1000" s="23"/>
      <c r="R1000" s="23"/>
      <c r="S1000" s="23"/>
    </row>
  </sheetData>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92D050"/>
  </sheetPr>
  <dimension ref="A1:I1000"/>
  <sheetViews>
    <sheetView workbookViewId="0">
      <selection activeCell="F7" sqref="F7"/>
    </sheetView>
  </sheetViews>
  <sheetFormatPr defaultColWidth="14.42578125" defaultRowHeight="15" customHeight="1" x14ac:dyDescent="0.25"/>
  <cols>
    <col min="1" max="1" width="5.5703125" customWidth="1"/>
    <col min="2" max="2" width="11.28515625" customWidth="1"/>
    <col min="3" max="3" width="15.5703125" customWidth="1"/>
    <col min="4" max="4" width="9.140625" customWidth="1"/>
    <col min="5" max="5" width="20.42578125" customWidth="1"/>
    <col min="6" max="6" width="7.7109375" customWidth="1"/>
    <col min="7" max="7" width="5.5703125" customWidth="1"/>
    <col min="8" max="8" width="19.7109375" customWidth="1"/>
    <col min="9" max="9" width="9.7109375" customWidth="1"/>
    <col min="10" max="26" width="8.7109375" customWidth="1"/>
  </cols>
  <sheetData>
    <row r="1" spans="1:9" x14ac:dyDescent="0.25">
      <c r="A1" s="93" t="s">
        <v>16</v>
      </c>
      <c r="B1" s="192" t="s">
        <v>3695</v>
      </c>
      <c r="C1" s="191" t="s">
        <v>3696</v>
      </c>
      <c r="D1" s="80"/>
      <c r="E1" s="94" t="s">
        <v>3697</v>
      </c>
      <c r="F1" s="95"/>
    </row>
    <row r="2" spans="1:9" x14ac:dyDescent="0.25">
      <c r="A2" s="93">
        <v>1</v>
      </c>
      <c r="B2" s="194">
        <v>0</v>
      </c>
      <c r="C2" s="195">
        <f t="shared" ref="C2:C100" si="0">10*A2</f>
        <v>10</v>
      </c>
      <c r="D2" s="80"/>
      <c r="E2" s="196"/>
      <c r="F2" s="9"/>
    </row>
    <row r="3" spans="1:9" x14ac:dyDescent="0.25">
      <c r="A3" s="93">
        <v>2</v>
      </c>
      <c r="B3" s="197">
        <f t="shared" ref="B3:B101" si="1">B2+C2</f>
        <v>10</v>
      </c>
      <c r="C3" s="195">
        <f t="shared" si="0"/>
        <v>20</v>
      </c>
      <c r="D3" s="80"/>
      <c r="E3" s="196"/>
      <c r="F3" s="9"/>
      <c r="H3" s="198" t="s">
        <v>3698</v>
      </c>
      <c r="I3" s="96" t="s">
        <v>3699</v>
      </c>
    </row>
    <row r="4" spans="1:9" x14ac:dyDescent="0.25">
      <c r="A4" s="93">
        <v>3</v>
      </c>
      <c r="B4" s="194">
        <f t="shared" si="1"/>
        <v>30</v>
      </c>
      <c r="C4" s="195">
        <f t="shared" si="0"/>
        <v>30</v>
      </c>
      <c r="D4" s="80"/>
      <c r="E4" s="196" t="s">
        <v>3700</v>
      </c>
      <c r="F4" s="97"/>
      <c r="H4" s="189" t="s">
        <v>3701</v>
      </c>
      <c r="I4" s="93">
        <v>1</v>
      </c>
    </row>
    <row r="5" spans="1:9" x14ac:dyDescent="0.25">
      <c r="A5" s="93">
        <v>4</v>
      </c>
      <c r="B5" s="194">
        <f t="shared" si="1"/>
        <v>60</v>
      </c>
      <c r="C5" s="195">
        <f t="shared" si="0"/>
        <v>40</v>
      </c>
      <c r="D5" s="80"/>
      <c r="E5" s="196" t="s">
        <v>3698</v>
      </c>
      <c r="F5" s="97"/>
      <c r="H5" s="189" t="s">
        <v>3702</v>
      </c>
      <c r="I5" s="93">
        <v>2</v>
      </c>
    </row>
    <row r="6" spans="1:9" x14ac:dyDescent="0.25">
      <c r="A6" s="93">
        <v>5</v>
      </c>
      <c r="B6" s="194">
        <f t="shared" si="1"/>
        <v>100</v>
      </c>
      <c r="C6" s="195">
        <f t="shared" si="0"/>
        <v>50</v>
      </c>
      <c r="D6" s="80"/>
      <c r="E6" s="196" t="s">
        <v>3703</v>
      </c>
      <c r="F6" s="97"/>
      <c r="H6" s="189" t="s">
        <v>3704</v>
      </c>
      <c r="I6" s="93">
        <v>3</v>
      </c>
    </row>
    <row r="7" spans="1:9" x14ac:dyDescent="0.25">
      <c r="A7" s="93">
        <v>6</v>
      </c>
      <c r="B7" s="194">
        <f t="shared" si="1"/>
        <v>150</v>
      </c>
      <c r="C7" s="195">
        <f t="shared" si="0"/>
        <v>60</v>
      </c>
      <c r="D7" s="80"/>
      <c r="E7" s="196" t="s">
        <v>3705</v>
      </c>
      <c r="F7" s="97"/>
      <c r="H7" s="189" t="s">
        <v>3706</v>
      </c>
      <c r="I7" s="93">
        <v>4</v>
      </c>
    </row>
    <row r="8" spans="1:9" x14ac:dyDescent="0.25">
      <c r="A8" s="93">
        <v>7</v>
      </c>
      <c r="B8" s="194">
        <f t="shared" si="1"/>
        <v>210</v>
      </c>
      <c r="C8" s="195">
        <f t="shared" si="0"/>
        <v>70</v>
      </c>
      <c r="D8" s="80"/>
      <c r="E8" s="196"/>
      <c r="F8" s="97"/>
      <c r="H8" s="189" t="s">
        <v>3707</v>
      </c>
      <c r="I8" s="93">
        <v>5</v>
      </c>
    </row>
    <row r="9" spans="1:9" x14ac:dyDescent="0.25">
      <c r="A9" s="93">
        <v>8</v>
      </c>
      <c r="B9" s="194">
        <f t="shared" si="1"/>
        <v>280</v>
      </c>
      <c r="C9" s="195">
        <f t="shared" si="0"/>
        <v>80</v>
      </c>
      <c r="D9" s="80"/>
      <c r="E9" s="147" t="s">
        <v>3708</v>
      </c>
      <c r="F9" s="97" t="str">
        <f>IFERROR(((F4*F5/F6)+F7)*3," ")</f>
        <v xml:space="preserve"> </v>
      </c>
      <c r="H9" s="199" t="s">
        <v>3709</v>
      </c>
      <c r="I9" s="200">
        <v>6</v>
      </c>
    </row>
    <row r="10" spans="1:9" x14ac:dyDescent="0.25">
      <c r="A10" s="93">
        <v>9</v>
      </c>
      <c r="B10" s="194">
        <f t="shared" si="1"/>
        <v>360</v>
      </c>
      <c r="C10" s="195">
        <f t="shared" si="0"/>
        <v>90</v>
      </c>
      <c r="D10" s="80"/>
    </row>
    <row r="11" spans="1:9" x14ac:dyDescent="0.25">
      <c r="A11" s="93">
        <v>10</v>
      </c>
      <c r="B11" s="194">
        <f t="shared" si="1"/>
        <v>450</v>
      </c>
      <c r="C11" s="195">
        <f t="shared" si="0"/>
        <v>100</v>
      </c>
      <c r="D11" s="80"/>
    </row>
    <row r="12" spans="1:9" x14ac:dyDescent="0.25">
      <c r="A12" s="93">
        <v>11</v>
      </c>
      <c r="B12" s="194">
        <f t="shared" si="1"/>
        <v>550</v>
      </c>
      <c r="C12" s="195">
        <f t="shared" si="0"/>
        <v>110</v>
      </c>
      <c r="D12" s="80"/>
    </row>
    <row r="13" spans="1:9" x14ac:dyDescent="0.25">
      <c r="A13" s="93">
        <v>12</v>
      </c>
      <c r="B13" s="194">
        <f t="shared" si="1"/>
        <v>660</v>
      </c>
      <c r="C13" s="195">
        <f t="shared" si="0"/>
        <v>120</v>
      </c>
      <c r="D13" s="80"/>
    </row>
    <row r="14" spans="1:9" x14ac:dyDescent="0.25">
      <c r="A14" s="93">
        <v>13</v>
      </c>
      <c r="B14" s="194">
        <f t="shared" si="1"/>
        <v>780</v>
      </c>
      <c r="C14" s="195">
        <f t="shared" si="0"/>
        <v>130</v>
      </c>
      <c r="D14" s="80"/>
    </row>
    <row r="15" spans="1:9" x14ac:dyDescent="0.25">
      <c r="A15" s="93">
        <v>14</v>
      </c>
      <c r="B15" s="194">
        <f t="shared" si="1"/>
        <v>910</v>
      </c>
      <c r="C15" s="195">
        <f t="shared" si="0"/>
        <v>140</v>
      </c>
      <c r="D15" s="80"/>
    </row>
    <row r="16" spans="1:9" x14ac:dyDescent="0.25">
      <c r="A16" s="93">
        <v>15</v>
      </c>
      <c r="B16" s="194">
        <f t="shared" si="1"/>
        <v>1050</v>
      </c>
      <c r="C16" s="195">
        <f t="shared" si="0"/>
        <v>150</v>
      </c>
      <c r="D16" s="80"/>
    </row>
    <row r="17" spans="1:4" x14ac:dyDescent="0.25">
      <c r="A17" s="93">
        <v>16</v>
      </c>
      <c r="B17" s="194">
        <f t="shared" si="1"/>
        <v>1200</v>
      </c>
      <c r="C17" s="195">
        <f t="shared" si="0"/>
        <v>160</v>
      </c>
      <c r="D17" s="80"/>
    </row>
    <row r="18" spans="1:4" x14ac:dyDescent="0.25">
      <c r="A18" s="93">
        <v>17</v>
      </c>
      <c r="B18" s="194">
        <f t="shared" si="1"/>
        <v>1360</v>
      </c>
      <c r="C18" s="195">
        <f t="shared" si="0"/>
        <v>170</v>
      </c>
      <c r="D18" s="80"/>
    </row>
    <row r="19" spans="1:4" x14ac:dyDescent="0.25">
      <c r="A19" s="93">
        <v>18</v>
      </c>
      <c r="B19" s="194">
        <f t="shared" si="1"/>
        <v>1530</v>
      </c>
      <c r="C19" s="195">
        <f t="shared" si="0"/>
        <v>180</v>
      </c>
      <c r="D19" s="80"/>
    </row>
    <row r="20" spans="1:4" x14ac:dyDescent="0.25">
      <c r="A20" s="93">
        <v>19</v>
      </c>
      <c r="B20" s="194">
        <f t="shared" si="1"/>
        <v>1710</v>
      </c>
      <c r="C20" s="195">
        <f t="shared" si="0"/>
        <v>190</v>
      </c>
      <c r="D20" s="80"/>
    </row>
    <row r="21" spans="1:4" ht="15.75" customHeight="1" x14ac:dyDescent="0.25">
      <c r="A21" s="93">
        <v>20</v>
      </c>
      <c r="B21" s="194">
        <f t="shared" si="1"/>
        <v>1900</v>
      </c>
      <c r="C21" s="195">
        <f t="shared" si="0"/>
        <v>200</v>
      </c>
      <c r="D21" s="80"/>
    </row>
    <row r="22" spans="1:4" ht="15.75" customHeight="1" x14ac:dyDescent="0.25">
      <c r="A22" s="93">
        <v>21</v>
      </c>
      <c r="B22" s="194">
        <f t="shared" si="1"/>
        <v>2100</v>
      </c>
      <c r="C22" s="195">
        <f t="shared" si="0"/>
        <v>210</v>
      </c>
      <c r="D22" s="80"/>
    </row>
    <row r="23" spans="1:4" ht="15.75" customHeight="1" x14ac:dyDescent="0.25">
      <c r="A23" s="93">
        <v>22</v>
      </c>
      <c r="B23" s="194">
        <f t="shared" si="1"/>
        <v>2310</v>
      </c>
      <c r="C23" s="195">
        <f t="shared" si="0"/>
        <v>220</v>
      </c>
      <c r="D23" s="80"/>
    </row>
    <row r="24" spans="1:4" ht="15.75" customHeight="1" x14ac:dyDescent="0.25">
      <c r="A24" s="93">
        <v>23</v>
      </c>
      <c r="B24" s="194">
        <f t="shared" si="1"/>
        <v>2530</v>
      </c>
      <c r="C24" s="195">
        <f t="shared" si="0"/>
        <v>230</v>
      </c>
      <c r="D24" s="80"/>
    </row>
    <row r="25" spans="1:4" ht="15.75" customHeight="1" x14ac:dyDescent="0.25">
      <c r="A25" s="93">
        <v>24</v>
      </c>
      <c r="B25" s="194">
        <f t="shared" si="1"/>
        <v>2760</v>
      </c>
      <c r="C25" s="195">
        <f t="shared" si="0"/>
        <v>240</v>
      </c>
      <c r="D25" s="80"/>
    </row>
    <row r="26" spans="1:4" ht="15.75" customHeight="1" x14ac:dyDescent="0.25">
      <c r="A26" s="93">
        <v>25</v>
      </c>
      <c r="B26" s="194">
        <f t="shared" si="1"/>
        <v>3000</v>
      </c>
      <c r="C26" s="195">
        <f t="shared" si="0"/>
        <v>250</v>
      </c>
      <c r="D26" s="80"/>
    </row>
    <row r="27" spans="1:4" ht="15.75" customHeight="1" x14ac:dyDescent="0.25">
      <c r="A27" s="93">
        <v>26</v>
      </c>
      <c r="B27" s="194">
        <f t="shared" si="1"/>
        <v>3250</v>
      </c>
      <c r="C27" s="195">
        <f t="shared" si="0"/>
        <v>260</v>
      </c>
      <c r="D27" s="80"/>
    </row>
    <row r="28" spans="1:4" ht="15.75" customHeight="1" x14ac:dyDescent="0.25">
      <c r="A28" s="93">
        <v>27</v>
      </c>
      <c r="B28" s="194">
        <f t="shared" si="1"/>
        <v>3510</v>
      </c>
      <c r="C28" s="195">
        <f t="shared" si="0"/>
        <v>270</v>
      </c>
      <c r="D28" s="80"/>
    </row>
    <row r="29" spans="1:4" ht="15.75" customHeight="1" x14ac:dyDescent="0.25">
      <c r="A29" s="93">
        <v>28</v>
      </c>
      <c r="B29" s="194">
        <f t="shared" si="1"/>
        <v>3780</v>
      </c>
      <c r="C29" s="195">
        <f t="shared" si="0"/>
        <v>280</v>
      </c>
      <c r="D29" s="80"/>
    </row>
    <row r="30" spans="1:4" ht="15.75" customHeight="1" x14ac:dyDescent="0.25">
      <c r="A30" s="93">
        <v>29</v>
      </c>
      <c r="B30" s="194">
        <f t="shared" si="1"/>
        <v>4060</v>
      </c>
      <c r="C30" s="195">
        <f t="shared" si="0"/>
        <v>290</v>
      </c>
      <c r="D30" s="80"/>
    </row>
    <row r="31" spans="1:4" ht="15.75" customHeight="1" x14ac:dyDescent="0.25">
      <c r="A31" s="93">
        <v>30</v>
      </c>
      <c r="B31" s="194">
        <f t="shared" si="1"/>
        <v>4350</v>
      </c>
      <c r="C31" s="195">
        <f t="shared" si="0"/>
        <v>300</v>
      </c>
      <c r="D31" s="80"/>
    </row>
    <row r="32" spans="1:4" ht="15.75" customHeight="1" x14ac:dyDescent="0.25">
      <c r="A32" s="93">
        <v>31</v>
      </c>
      <c r="B32" s="194">
        <f t="shared" si="1"/>
        <v>4650</v>
      </c>
      <c r="C32" s="195">
        <f t="shared" si="0"/>
        <v>310</v>
      </c>
      <c r="D32" s="80"/>
    </row>
    <row r="33" spans="1:4" ht="15.75" customHeight="1" x14ac:dyDescent="0.25">
      <c r="A33" s="93">
        <v>32</v>
      </c>
      <c r="B33" s="194">
        <f t="shared" si="1"/>
        <v>4960</v>
      </c>
      <c r="C33" s="195">
        <f t="shared" si="0"/>
        <v>320</v>
      </c>
      <c r="D33" s="80"/>
    </row>
    <row r="34" spans="1:4" ht="15.75" customHeight="1" x14ac:dyDescent="0.25">
      <c r="A34" s="93">
        <v>33</v>
      </c>
      <c r="B34" s="194">
        <f t="shared" si="1"/>
        <v>5280</v>
      </c>
      <c r="C34" s="195">
        <f t="shared" si="0"/>
        <v>330</v>
      </c>
      <c r="D34" s="80"/>
    </row>
    <row r="35" spans="1:4" ht="15.75" customHeight="1" x14ac:dyDescent="0.25">
      <c r="A35" s="93">
        <v>34</v>
      </c>
      <c r="B35" s="194">
        <f t="shared" si="1"/>
        <v>5610</v>
      </c>
      <c r="C35" s="195">
        <f t="shared" si="0"/>
        <v>340</v>
      </c>
      <c r="D35" s="80"/>
    </row>
    <row r="36" spans="1:4" ht="15.75" customHeight="1" x14ac:dyDescent="0.25">
      <c r="A36" s="93">
        <v>35</v>
      </c>
      <c r="B36" s="194">
        <f t="shared" si="1"/>
        <v>5950</v>
      </c>
      <c r="C36" s="195">
        <f t="shared" si="0"/>
        <v>350</v>
      </c>
      <c r="D36" s="80"/>
    </row>
    <row r="37" spans="1:4" ht="15.75" customHeight="1" x14ac:dyDescent="0.25">
      <c r="A37" s="93">
        <v>36</v>
      </c>
      <c r="B37" s="194">
        <f t="shared" si="1"/>
        <v>6300</v>
      </c>
      <c r="C37" s="195">
        <f t="shared" si="0"/>
        <v>360</v>
      </c>
      <c r="D37" s="80"/>
    </row>
    <row r="38" spans="1:4" ht="15.75" customHeight="1" x14ac:dyDescent="0.25">
      <c r="A38" s="93">
        <v>37</v>
      </c>
      <c r="B38" s="194">
        <f t="shared" si="1"/>
        <v>6660</v>
      </c>
      <c r="C38" s="195">
        <f t="shared" si="0"/>
        <v>370</v>
      </c>
      <c r="D38" s="80"/>
    </row>
    <row r="39" spans="1:4" ht="15.75" customHeight="1" x14ac:dyDescent="0.25">
      <c r="A39" s="93">
        <v>38</v>
      </c>
      <c r="B39" s="194">
        <f t="shared" si="1"/>
        <v>7030</v>
      </c>
      <c r="C39" s="195">
        <f t="shared" si="0"/>
        <v>380</v>
      </c>
      <c r="D39" s="80"/>
    </row>
    <row r="40" spans="1:4" ht="15.75" customHeight="1" x14ac:dyDescent="0.25">
      <c r="A40" s="93">
        <v>39</v>
      </c>
      <c r="B40" s="194">
        <f t="shared" si="1"/>
        <v>7410</v>
      </c>
      <c r="C40" s="195">
        <f t="shared" si="0"/>
        <v>390</v>
      </c>
      <c r="D40" s="80"/>
    </row>
    <row r="41" spans="1:4" ht="15.75" customHeight="1" x14ac:dyDescent="0.25">
      <c r="A41" s="93">
        <v>40</v>
      </c>
      <c r="B41" s="194">
        <f t="shared" si="1"/>
        <v>7800</v>
      </c>
      <c r="C41" s="195">
        <f t="shared" si="0"/>
        <v>400</v>
      </c>
      <c r="D41" s="80"/>
    </row>
    <row r="42" spans="1:4" ht="15.75" customHeight="1" x14ac:dyDescent="0.25">
      <c r="A42" s="93">
        <v>41</v>
      </c>
      <c r="B42" s="194">
        <f t="shared" si="1"/>
        <v>8200</v>
      </c>
      <c r="C42" s="195">
        <f t="shared" si="0"/>
        <v>410</v>
      </c>
      <c r="D42" s="80"/>
    </row>
    <row r="43" spans="1:4" ht="15.75" customHeight="1" x14ac:dyDescent="0.25">
      <c r="A43" s="93">
        <v>42</v>
      </c>
      <c r="B43" s="194">
        <f t="shared" si="1"/>
        <v>8610</v>
      </c>
      <c r="C43" s="195">
        <f t="shared" si="0"/>
        <v>420</v>
      </c>
      <c r="D43" s="80"/>
    </row>
    <row r="44" spans="1:4" ht="15.75" customHeight="1" x14ac:dyDescent="0.25">
      <c r="A44" s="93">
        <v>43</v>
      </c>
      <c r="B44" s="194">
        <f t="shared" si="1"/>
        <v>9030</v>
      </c>
      <c r="C44" s="195">
        <f t="shared" si="0"/>
        <v>430</v>
      </c>
      <c r="D44" s="80"/>
    </row>
    <row r="45" spans="1:4" ht="15.75" customHeight="1" x14ac:dyDescent="0.25">
      <c r="A45" s="93">
        <v>44</v>
      </c>
      <c r="B45" s="194">
        <f t="shared" si="1"/>
        <v>9460</v>
      </c>
      <c r="C45" s="195">
        <f t="shared" si="0"/>
        <v>440</v>
      </c>
      <c r="D45" s="80"/>
    </row>
    <row r="46" spans="1:4" ht="15.75" customHeight="1" x14ac:dyDescent="0.25">
      <c r="A46" s="93">
        <v>45</v>
      </c>
      <c r="B46" s="194">
        <f t="shared" si="1"/>
        <v>9900</v>
      </c>
      <c r="C46" s="195">
        <f t="shared" si="0"/>
        <v>450</v>
      </c>
      <c r="D46" s="80"/>
    </row>
    <row r="47" spans="1:4" ht="15.75" customHeight="1" x14ac:dyDescent="0.25">
      <c r="A47" s="93">
        <v>46</v>
      </c>
      <c r="B47" s="194">
        <f t="shared" si="1"/>
        <v>10350</v>
      </c>
      <c r="C47" s="195">
        <f t="shared" si="0"/>
        <v>460</v>
      </c>
      <c r="D47" s="80"/>
    </row>
    <row r="48" spans="1:4" ht="15.75" customHeight="1" x14ac:dyDescent="0.25">
      <c r="A48" s="93">
        <v>47</v>
      </c>
      <c r="B48" s="194">
        <f t="shared" si="1"/>
        <v>10810</v>
      </c>
      <c r="C48" s="195">
        <f t="shared" si="0"/>
        <v>470</v>
      </c>
      <c r="D48" s="80"/>
    </row>
    <row r="49" spans="1:4" ht="15.75" customHeight="1" x14ac:dyDescent="0.25">
      <c r="A49" s="93">
        <v>48</v>
      </c>
      <c r="B49" s="194">
        <f t="shared" si="1"/>
        <v>11280</v>
      </c>
      <c r="C49" s="195">
        <f t="shared" si="0"/>
        <v>480</v>
      </c>
      <c r="D49" s="80"/>
    </row>
    <row r="50" spans="1:4" ht="15.75" customHeight="1" x14ac:dyDescent="0.25">
      <c r="A50" s="93">
        <v>49</v>
      </c>
      <c r="B50" s="194">
        <f t="shared" si="1"/>
        <v>11760</v>
      </c>
      <c r="C50" s="195">
        <f t="shared" si="0"/>
        <v>490</v>
      </c>
      <c r="D50" s="80"/>
    </row>
    <row r="51" spans="1:4" ht="15.75" customHeight="1" x14ac:dyDescent="0.25">
      <c r="A51" s="93">
        <v>50</v>
      </c>
      <c r="B51" s="194">
        <f t="shared" si="1"/>
        <v>12250</v>
      </c>
      <c r="C51" s="195">
        <f t="shared" si="0"/>
        <v>500</v>
      </c>
      <c r="D51" s="80"/>
    </row>
    <row r="52" spans="1:4" ht="15.75" customHeight="1" x14ac:dyDescent="0.25">
      <c r="A52" s="93">
        <v>51</v>
      </c>
      <c r="B52" s="194">
        <f t="shared" si="1"/>
        <v>12750</v>
      </c>
      <c r="C52" s="195">
        <f t="shared" si="0"/>
        <v>510</v>
      </c>
      <c r="D52" s="80"/>
    </row>
    <row r="53" spans="1:4" ht="15.75" customHeight="1" x14ac:dyDescent="0.25">
      <c r="A53" s="93">
        <v>52</v>
      </c>
      <c r="B53" s="194">
        <f t="shared" si="1"/>
        <v>13260</v>
      </c>
      <c r="C53" s="195">
        <f t="shared" si="0"/>
        <v>520</v>
      </c>
      <c r="D53" s="80"/>
    </row>
    <row r="54" spans="1:4" ht="15.75" customHeight="1" x14ac:dyDescent="0.25">
      <c r="A54" s="93">
        <v>53</v>
      </c>
      <c r="B54" s="194">
        <f t="shared" si="1"/>
        <v>13780</v>
      </c>
      <c r="C54" s="195">
        <f t="shared" si="0"/>
        <v>530</v>
      </c>
      <c r="D54" s="80"/>
    </row>
    <row r="55" spans="1:4" ht="15.75" customHeight="1" x14ac:dyDescent="0.25">
      <c r="A55" s="93">
        <v>54</v>
      </c>
      <c r="B55" s="194">
        <f t="shared" si="1"/>
        <v>14310</v>
      </c>
      <c r="C55" s="195">
        <f t="shared" si="0"/>
        <v>540</v>
      </c>
      <c r="D55" s="80"/>
    </row>
    <row r="56" spans="1:4" ht="15.75" customHeight="1" x14ac:dyDescent="0.25">
      <c r="A56" s="93">
        <v>55</v>
      </c>
      <c r="B56" s="194">
        <f t="shared" si="1"/>
        <v>14850</v>
      </c>
      <c r="C56" s="195">
        <f t="shared" si="0"/>
        <v>550</v>
      </c>
      <c r="D56" s="80"/>
    </row>
    <row r="57" spans="1:4" ht="15.75" customHeight="1" x14ac:dyDescent="0.25">
      <c r="A57" s="93">
        <v>56</v>
      </c>
      <c r="B57" s="194">
        <f t="shared" si="1"/>
        <v>15400</v>
      </c>
      <c r="C57" s="195">
        <f t="shared" si="0"/>
        <v>560</v>
      </c>
      <c r="D57" s="80"/>
    </row>
    <row r="58" spans="1:4" ht="15.75" customHeight="1" x14ac:dyDescent="0.25">
      <c r="A58" s="93">
        <v>57</v>
      </c>
      <c r="B58" s="194">
        <f t="shared" si="1"/>
        <v>15960</v>
      </c>
      <c r="C58" s="195">
        <f t="shared" si="0"/>
        <v>570</v>
      </c>
      <c r="D58" s="80"/>
    </row>
    <row r="59" spans="1:4" ht="15.75" customHeight="1" x14ac:dyDescent="0.25">
      <c r="A59" s="93">
        <v>58</v>
      </c>
      <c r="B59" s="194">
        <f t="shared" si="1"/>
        <v>16530</v>
      </c>
      <c r="C59" s="195">
        <f t="shared" si="0"/>
        <v>580</v>
      </c>
      <c r="D59" s="80"/>
    </row>
    <row r="60" spans="1:4" ht="15.75" customHeight="1" x14ac:dyDescent="0.25">
      <c r="A60" s="93">
        <v>59</v>
      </c>
      <c r="B60" s="194">
        <f t="shared" si="1"/>
        <v>17110</v>
      </c>
      <c r="C60" s="195">
        <f t="shared" si="0"/>
        <v>590</v>
      </c>
      <c r="D60" s="80"/>
    </row>
    <row r="61" spans="1:4" ht="15.75" customHeight="1" x14ac:dyDescent="0.25">
      <c r="A61" s="93">
        <v>60</v>
      </c>
      <c r="B61" s="194">
        <f t="shared" si="1"/>
        <v>17700</v>
      </c>
      <c r="C61" s="195">
        <f t="shared" si="0"/>
        <v>600</v>
      </c>
      <c r="D61" s="80"/>
    </row>
    <row r="62" spans="1:4" ht="15.75" customHeight="1" x14ac:dyDescent="0.25">
      <c r="A62" s="93">
        <v>61</v>
      </c>
      <c r="B62" s="194">
        <f t="shared" si="1"/>
        <v>18300</v>
      </c>
      <c r="C62" s="195">
        <f t="shared" si="0"/>
        <v>610</v>
      </c>
      <c r="D62" s="80"/>
    </row>
    <row r="63" spans="1:4" ht="15.75" customHeight="1" x14ac:dyDescent="0.25">
      <c r="A63" s="93">
        <v>62</v>
      </c>
      <c r="B63" s="194">
        <f t="shared" si="1"/>
        <v>18910</v>
      </c>
      <c r="C63" s="195">
        <f t="shared" si="0"/>
        <v>620</v>
      </c>
      <c r="D63" s="80"/>
    </row>
    <row r="64" spans="1:4" ht="15.75" customHeight="1" x14ac:dyDescent="0.25">
      <c r="A64" s="93">
        <v>63</v>
      </c>
      <c r="B64" s="194">
        <f t="shared" si="1"/>
        <v>19530</v>
      </c>
      <c r="C64" s="195">
        <f t="shared" si="0"/>
        <v>630</v>
      </c>
      <c r="D64" s="80"/>
    </row>
    <row r="65" spans="1:4" ht="15.75" customHeight="1" x14ac:dyDescent="0.25">
      <c r="A65" s="93">
        <v>64</v>
      </c>
      <c r="B65" s="194">
        <f t="shared" si="1"/>
        <v>20160</v>
      </c>
      <c r="C65" s="195">
        <f t="shared" si="0"/>
        <v>640</v>
      </c>
      <c r="D65" s="80"/>
    </row>
    <row r="66" spans="1:4" ht="15.75" customHeight="1" x14ac:dyDescent="0.25">
      <c r="A66" s="93">
        <v>65</v>
      </c>
      <c r="B66" s="194">
        <f t="shared" si="1"/>
        <v>20800</v>
      </c>
      <c r="C66" s="195">
        <f t="shared" si="0"/>
        <v>650</v>
      </c>
      <c r="D66" s="80"/>
    </row>
    <row r="67" spans="1:4" ht="15.75" customHeight="1" x14ac:dyDescent="0.25">
      <c r="A67" s="93">
        <v>66</v>
      </c>
      <c r="B67" s="194">
        <f t="shared" si="1"/>
        <v>21450</v>
      </c>
      <c r="C67" s="195">
        <f t="shared" si="0"/>
        <v>660</v>
      </c>
      <c r="D67" s="80"/>
    </row>
    <row r="68" spans="1:4" ht="15.75" customHeight="1" x14ac:dyDescent="0.25">
      <c r="A68" s="93">
        <v>67</v>
      </c>
      <c r="B68" s="194">
        <f t="shared" si="1"/>
        <v>22110</v>
      </c>
      <c r="C68" s="195">
        <f t="shared" si="0"/>
        <v>670</v>
      </c>
      <c r="D68" s="80"/>
    </row>
    <row r="69" spans="1:4" ht="15.75" customHeight="1" x14ac:dyDescent="0.25">
      <c r="A69" s="93">
        <v>68</v>
      </c>
      <c r="B69" s="194">
        <f t="shared" si="1"/>
        <v>22780</v>
      </c>
      <c r="C69" s="195">
        <f t="shared" si="0"/>
        <v>680</v>
      </c>
      <c r="D69" s="80"/>
    </row>
    <row r="70" spans="1:4" ht="15.75" customHeight="1" x14ac:dyDescent="0.25">
      <c r="A70" s="93">
        <v>69</v>
      </c>
      <c r="B70" s="194">
        <f t="shared" si="1"/>
        <v>23460</v>
      </c>
      <c r="C70" s="195">
        <f t="shared" si="0"/>
        <v>690</v>
      </c>
      <c r="D70" s="80"/>
    </row>
    <row r="71" spans="1:4" ht="15.75" customHeight="1" x14ac:dyDescent="0.25">
      <c r="A71" s="93">
        <v>70</v>
      </c>
      <c r="B71" s="194">
        <f t="shared" si="1"/>
        <v>24150</v>
      </c>
      <c r="C71" s="195">
        <f t="shared" si="0"/>
        <v>700</v>
      </c>
      <c r="D71" s="80"/>
    </row>
    <row r="72" spans="1:4" ht="15.75" customHeight="1" x14ac:dyDescent="0.25">
      <c r="A72" s="93">
        <v>71</v>
      </c>
      <c r="B72" s="194">
        <f t="shared" si="1"/>
        <v>24850</v>
      </c>
      <c r="C72" s="195">
        <f t="shared" si="0"/>
        <v>710</v>
      </c>
      <c r="D72" s="80"/>
    </row>
    <row r="73" spans="1:4" ht="15.75" customHeight="1" x14ac:dyDescent="0.25">
      <c r="A73" s="93">
        <v>72</v>
      </c>
      <c r="B73" s="194">
        <f t="shared" si="1"/>
        <v>25560</v>
      </c>
      <c r="C73" s="195">
        <f t="shared" si="0"/>
        <v>720</v>
      </c>
      <c r="D73" s="80"/>
    </row>
    <row r="74" spans="1:4" ht="15.75" customHeight="1" x14ac:dyDescent="0.25">
      <c r="A74" s="93">
        <v>73</v>
      </c>
      <c r="B74" s="194">
        <f t="shared" si="1"/>
        <v>26280</v>
      </c>
      <c r="C74" s="195">
        <f t="shared" si="0"/>
        <v>730</v>
      </c>
      <c r="D74" s="80"/>
    </row>
    <row r="75" spans="1:4" ht="15.75" customHeight="1" x14ac:dyDescent="0.25">
      <c r="A75" s="93">
        <v>74</v>
      </c>
      <c r="B75" s="194">
        <f t="shared" si="1"/>
        <v>27010</v>
      </c>
      <c r="C75" s="195">
        <f t="shared" si="0"/>
        <v>740</v>
      </c>
      <c r="D75" s="80"/>
    </row>
    <row r="76" spans="1:4" ht="15.75" customHeight="1" x14ac:dyDescent="0.25">
      <c r="A76" s="93">
        <v>75</v>
      </c>
      <c r="B76" s="194">
        <f t="shared" si="1"/>
        <v>27750</v>
      </c>
      <c r="C76" s="195">
        <f t="shared" si="0"/>
        <v>750</v>
      </c>
      <c r="D76" s="80"/>
    </row>
    <row r="77" spans="1:4" ht="15.75" customHeight="1" x14ac:dyDescent="0.25">
      <c r="A77" s="93">
        <v>76</v>
      </c>
      <c r="B77" s="194">
        <f t="shared" si="1"/>
        <v>28500</v>
      </c>
      <c r="C77" s="195">
        <f t="shared" si="0"/>
        <v>760</v>
      </c>
      <c r="D77" s="80"/>
    </row>
    <row r="78" spans="1:4" ht="15.75" customHeight="1" x14ac:dyDescent="0.25">
      <c r="A78" s="93">
        <v>77</v>
      </c>
      <c r="B78" s="194">
        <f t="shared" si="1"/>
        <v>29260</v>
      </c>
      <c r="C78" s="195">
        <f t="shared" si="0"/>
        <v>770</v>
      </c>
      <c r="D78" s="80"/>
    </row>
    <row r="79" spans="1:4" ht="15.75" customHeight="1" x14ac:dyDescent="0.25">
      <c r="A79" s="93">
        <v>78</v>
      </c>
      <c r="B79" s="194">
        <f t="shared" si="1"/>
        <v>30030</v>
      </c>
      <c r="C79" s="195">
        <f t="shared" si="0"/>
        <v>780</v>
      </c>
      <c r="D79" s="80"/>
    </row>
    <row r="80" spans="1:4" ht="15.75" customHeight="1" x14ac:dyDescent="0.25">
      <c r="A80" s="93">
        <v>79</v>
      </c>
      <c r="B80" s="194">
        <f t="shared" si="1"/>
        <v>30810</v>
      </c>
      <c r="C80" s="195">
        <f t="shared" si="0"/>
        <v>790</v>
      </c>
      <c r="D80" s="80"/>
    </row>
    <row r="81" spans="1:4" ht="15.75" customHeight="1" x14ac:dyDescent="0.25">
      <c r="A81" s="93">
        <v>80</v>
      </c>
      <c r="B81" s="194">
        <f t="shared" si="1"/>
        <v>31600</v>
      </c>
      <c r="C81" s="195">
        <f t="shared" si="0"/>
        <v>800</v>
      </c>
      <c r="D81" s="80"/>
    </row>
    <row r="82" spans="1:4" ht="15.75" customHeight="1" x14ac:dyDescent="0.25">
      <c r="A82" s="93">
        <v>81</v>
      </c>
      <c r="B82" s="194">
        <f t="shared" si="1"/>
        <v>32400</v>
      </c>
      <c r="C82" s="195">
        <f t="shared" si="0"/>
        <v>810</v>
      </c>
      <c r="D82" s="80"/>
    </row>
    <row r="83" spans="1:4" ht="15.75" customHeight="1" x14ac:dyDescent="0.25">
      <c r="A83" s="93">
        <v>82</v>
      </c>
      <c r="B83" s="194">
        <f t="shared" si="1"/>
        <v>33210</v>
      </c>
      <c r="C83" s="195">
        <f t="shared" si="0"/>
        <v>820</v>
      </c>
      <c r="D83" s="80"/>
    </row>
    <row r="84" spans="1:4" ht="15.75" customHeight="1" x14ac:dyDescent="0.25">
      <c r="A84" s="93">
        <v>83</v>
      </c>
      <c r="B84" s="194">
        <f t="shared" si="1"/>
        <v>34030</v>
      </c>
      <c r="C84" s="195">
        <f t="shared" si="0"/>
        <v>830</v>
      </c>
      <c r="D84" s="80"/>
    </row>
    <row r="85" spans="1:4" ht="15.75" customHeight="1" x14ac:dyDescent="0.25">
      <c r="A85" s="93">
        <v>84</v>
      </c>
      <c r="B85" s="194">
        <f t="shared" si="1"/>
        <v>34860</v>
      </c>
      <c r="C85" s="195">
        <f t="shared" si="0"/>
        <v>840</v>
      </c>
      <c r="D85" s="80"/>
    </row>
    <row r="86" spans="1:4" ht="15.75" customHeight="1" x14ac:dyDescent="0.25">
      <c r="A86" s="93">
        <v>85</v>
      </c>
      <c r="B86" s="194">
        <f t="shared" si="1"/>
        <v>35700</v>
      </c>
      <c r="C86" s="195">
        <f t="shared" si="0"/>
        <v>850</v>
      </c>
      <c r="D86" s="80"/>
    </row>
    <row r="87" spans="1:4" ht="15.75" customHeight="1" x14ac:dyDescent="0.25">
      <c r="A87" s="93">
        <v>86</v>
      </c>
      <c r="B87" s="194">
        <f t="shared" si="1"/>
        <v>36550</v>
      </c>
      <c r="C87" s="195">
        <f t="shared" si="0"/>
        <v>860</v>
      </c>
      <c r="D87" s="80"/>
    </row>
    <row r="88" spans="1:4" ht="15.75" customHeight="1" x14ac:dyDescent="0.25">
      <c r="A88" s="93">
        <v>87</v>
      </c>
      <c r="B88" s="194">
        <f t="shared" si="1"/>
        <v>37410</v>
      </c>
      <c r="C88" s="195">
        <f t="shared" si="0"/>
        <v>870</v>
      </c>
      <c r="D88" s="80"/>
    </row>
    <row r="89" spans="1:4" ht="15.75" customHeight="1" x14ac:dyDescent="0.25">
      <c r="A89" s="93">
        <v>88</v>
      </c>
      <c r="B89" s="194">
        <f t="shared" si="1"/>
        <v>38280</v>
      </c>
      <c r="C89" s="195">
        <f t="shared" si="0"/>
        <v>880</v>
      </c>
      <c r="D89" s="80"/>
    </row>
    <row r="90" spans="1:4" ht="15.75" customHeight="1" x14ac:dyDescent="0.25">
      <c r="A90" s="93">
        <v>89</v>
      </c>
      <c r="B90" s="194">
        <f t="shared" si="1"/>
        <v>39160</v>
      </c>
      <c r="C90" s="195">
        <f t="shared" si="0"/>
        <v>890</v>
      </c>
      <c r="D90" s="80"/>
    </row>
    <row r="91" spans="1:4" ht="15.75" customHeight="1" x14ac:dyDescent="0.25">
      <c r="A91" s="93">
        <v>90</v>
      </c>
      <c r="B91" s="194">
        <f t="shared" si="1"/>
        <v>40050</v>
      </c>
      <c r="C91" s="195">
        <f t="shared" si="0"/>
        <v>900</v>
      </c>
      <c r="D91" s="80"/>
    </row>
    <row r="92" spans="1:4" ht="15.75" customHeight="1" x14ac:dyDescent="0.25">
      <c r="A92" s="93">
        <v>91</v>
      </c>
      <c r="B92" s="194">
        <f t="shared" si="1"/>
        <v>40950</v>
      </c>
      <c r="C92" s="195">
        <f t="shared" si="0"/>
        <v>910</v>
      </c>
      <c r="D92" s="80"/>
    </row>
    <row r="93" spans="1:4" ht="15.75" customHeight="1" x14ac:dyDescent="0.25">
      <c r="A93" s="93">
        <v>92</v>
      </c>
      <c r="B93" s="194">
        <f t="shared" si="1"/>
        <v>41860</v>
      </c>
      <c r="C93" s="195">
        <f t="shared" si="0"/>
        <v>920</v>
      </c>
      <c r="D93" s="80"/>
    </row>
    <row r="94" spans="1:4" ht="15.75" customHeight="1" x14ac:dyDescent="0.25">
      <c r="A94" s="93">
        <v>93</v>
      </c>
      <c r="B94" s="194">
        <f t="shared" si="1"/>
        <v>42780</v>
      </c>
      <c r="C94" s="195">
        <f t="shared" si="0"/>
        <v>930</v>
      </c>
      <c r="D94" s="80"/>
    </row>
    <row r="95" spans="1:4" ht="15.75" customHeight="1" x14ac:dyDescent="0.25">
      <c r="A95" s="93">
        <v>94</v>
      </c>
      <c r="B95" s="194">
        <f t="shared" si="1"/>
        <v>43710</v>
      </c>
      <c r="C95" s="195">
        <f t="shared" si="0"/>
        <v>940</v>
      </c>
      <c r="D95" s="80"/>
    </row>
    <row r="96" spans="1:4" ht="15.75" customHeight="1" x14ac:dyDescent="0.25">
      <c r="A96" s="93">
        <v>95</v>
      </c>
      <c r="B96" s="194">
        <f t="shared" si="1"/>
        <v>44650</v>
      </c>
      <c r="C96" s="195">
        <f t="shared" si="0"/>
        <v>950</v>
      </c>
      <c r="D96" s="80"/>
    </row>
    <row r="97" spans="1:4" ht="15.75" customHeight="1" x14ac:dyDescent="0.25">
      <c r="A97" s="93">
        <v>96</v>
      </c>
      <c r="B97" s="194">
        <f t="shared" si="1"/>
        <v>45600</v>
      </c>
      <c r="C97" s="195">
        <f t="shared" si="0"/>
        <v>960</v>
      </c>
      <c r="D97" s="80"/>
    </row>
    <row r="98" spans="1:4" ht="15.75" customHeight="1" x14ac:dyDescent="0.25">
      <c r="A98" s="93">
        <v>97</v>
      </c>
      <c r="B98" s="194">
        <f t="shared" si="1"/>
        <v>46560</v>
      </c>
      <c r="C98" s="195">
        <f t="shared" si="0"/>
        <v>970</v>
      </c>
      <c r="D98" s="80"/>
    </row>
    <row r="99" spans="1:4" ht="15.75" customHeight="1" x14ac:dyDescent="0.25">
      <c r="A99" s="93">
        <v>98</v>
      </c>
      <c r="B99" s="194">
        <f t="shared" si="1"/>
        <v>47530</v>
      </c>
      <c r="C99" s="195">
        <f t="shared" si="0"/>
        <v>980</v>
      </c>
      <c r="D99" s="80"/>
    </row>
    <row r="100" spans="1:4" ht="15.75" customHeight="1" x14ac:dyDescent="0.25">
      <c r="A100" s="93">
        <v>99</v>
      </c>
      <c r="B100" s="194">
        <f t="shared" si="1"/>
        <v>48510</v>
      </c>
      <c r="C100" s="195">
        <f t="shared" si="0"/>
        <v>990</v>
      </c>
      <c r="D100" s="80"/>
    </row>
    <row r="101" spans="1:4" ht="15.75" customHeight="1" x14ac:dyDescent="0.25">
      <c r="A101" s="93">
        <v>100</v>
      </c>
      <c r="B101" s="194">
        <f t="shared" si="1"/>
        <v>49500</v>
      </c>
      <c r="C101" s="191"/>
      <c r="D101" s="80"/>
    </row>
    <row r="102" spans="1:4" ht="15.75" customHeight="1" x14ac:dyDescent="0.25">
      <c r="A102" s="93"/>
      <c r="B102" s="194"/>
      <c r="C102" s="191"/>
      <c r="D102" s="80"/>
    </row>
    <row r="103" spans="1:4" ht="15.75" customHeight="1" x14ac:dyDescent="0.25">
      <c r="A103" s="93"/>
      <c r="B103" s="194"/>
      <c r="C103" s="191"/>
      <c r="D103" s="80"/>
    </row>
    <row r="104" spans="1:4" ht="15.75" customHeight="1" x14ac:dyDescent="0.25">
      <c r="A104" s="93"/>
      <c r="B104" s="194"/>
      <c r="C104" s="191"/>
      <c r="D104" s="80"/>
    </row>
    <row r="105" spans="1:4" ht="15.75" customHeight="1" x14ac:dyDescent="0.25">
      <c r="A105" s="93"/>
      <c r="B105" s="194"/>
      <c r="C105" s="191"/>
      <c r="D105" s="80"/>
    </row>
    <row r="106" spans="1:4" ht="15.75" customHeight="1" x14ac:dyDescent="0.25">
      <c r="A106" s="93"/>
      <c r="B106" s="194"/>
      <c r="C106" s="191"/>
      <c r="D106" s="80"/>
    </row>
    <row r="107" spans="1:4" ht="15.75" customHeight="1" x14ac:dyDescent="0.25">
      <c r="A107" s="93"/>
      <c r="B107" s="194"/>
      <c r="C107" s="191"/>
      <c r="D107" s="80"/>
    </row>
    <row r="108" spans="1:4" ht="15.75" customHeight="1" x14ac:dyDescent="0.25">
      <c r="A108" s="93"/>
      <c r="B108" s="194"/>
      <c r="C108" s="191"/>
      <c r="D108" s="80"/>
    </row>
    <row r="109" spans="1:4" ht="15.75" customHeight="1" x14ac:dyDescent="0.25">
      <c r="A109" s="93"/>
      <c r="B109" s="194"/>
      <c r="C109" s="191"/>
      <c r="D109" s="80"/>
    </row>
    <row r="110" spans="1:4" ht="15.75" customHeight="1" x14ac:dyDescent="0.25">
      <c r="A110" s="93"/>
      <c r="B110" s="194"/>
      <c r="C110" s="191"/>
      <c r="D110" s="80"/>
    </row>
    <row r="111" spans="1:4" ht="15.75" customHeight="1" x14ac:dyDescent="0.25">
      <c r="A111" s="93"/>
      <c r="B111" s="194"/>
      <c r="C111" s="191"/>
      <c r="D111" s="80"/>
    </row>
    <row r="112" spans="1:4" ht="15.75" customHeight="1" x14ac:dyDescent="0.25">
      <c r="A112" s="93"/>
      <c r="B112" s="194"/>
      <c r="C112" s="191"/>
      <c r="D112" s="80"/>
    </row>
    <row r="113" spans="1:4" ht="15.75" customHeight="1" x14ac:dyDescent="0.25">
      <c r="A113" s="93"/>
      <c r="B113" s="194"/>
      <c r="C113" s="191"/>
      <c r="D113" s="80"/>
    </row>
    <row r="114" spans="1:4" ht="15.75" customHeight="1" x14ac:dyDescent="0.25">
      <c r="A114" s="93"/>
      <c r="B114" s="194"/>
      <c r="C114" s="191"/>
      <c r="D114" s="80"/>
    </row>
    <row r="115" spans="1:4" ht="15.75" customHeight="1" x14ac:dyDescent="0.25">
      <c r="A115" s="93"/>
      <c r="B115" s="194"/>
      <c r="C115" s="191"/>
      <c r="D115" s="80"/>
    </row>
    <row r="116" spans="1:4" ht="15.75" customHeight="1" x14ac:dyDescent="0.25">
      <c r="A116" s="93"/>
      <c r="B116" s="194"/>
      <c r="C116" s="191"/>
      <c r="D116" s="80"/>
    </row>
    <row r="117" spans="1:4" ht="15.75" customHeight="1" x14ac:dyDescent="0.25">
      <c r="A117" s="93"/>
      <c r="B117" s="194"/>
      <c r="C117" s="191"/>
      <c r="D117" s="80"/>
    </row>
    <row r="118" spans="1:4" ht="15.75" customHeight="1" x14ac:dyDescent="0.25">
      <c r="A118" s="93"/>
      <c r="B118" s="194"/>
      <c r="C118" s="191"/>
      <c r="D118" s="80"/>
    </row>
    <row r="119" spans="1:4" ht="15.75" customHeight="1" x14ac:dyDescent="0.25">
      <c r="A119" s="93"/>
      <c r="B119" s="194"/>
      <c r="C119" s="191"/>
      <c r="D119" s="80"/>
    </row>
    <row r="120" spans="1:4" ht="15.75" customHeight="1" x14ac:dyDescent="0.25">
      <c r="A120" s="93"/>
      <c r="B120" s="194"/>
      <c r="C120" s="191"/>
      <c r="D120" s="80"/>
    </row>
    <row r="121" spans="1:4" ht="15.75" customHeight="1" x14ac:dyDescent="0.25">
      <c r="A121" s="93"/>
      <c r="B121" s="194"/>
      <c r="C121" s="191"/>
      <c r="D121" s="80"/>
    </row>
    <row r="122" spans="1:4" ht="15.75" customHeight="1" x14ac:dyDescent="0.25">
      <c r="A122" s="93"/>
      <c r="B122" s="194"/>
      <c r="C122" s="191"/>
      <c r="D122" s="80"/>
    </row>
    <row r="123" spans="1:4" ht="15.75" customHeight="1" x14ac:dyDescent="0.25">
      <c r="A123" s="93"/>
      <c r="B123" s="194"/>
      <c r="C123" s="191"/>
      <c r="D123" s="80"/>
    </row>
    <row r="124" spans="1:4" ht="15.75" customHeight="1" x14ac:dyDescent="0.25">
      <c r="A124" s="93"/>
      <c r="B124" s="194"/>
      <c r="C124" s="191"/>
      <c r="D124" s="80"/>
    </row>
    <row r="125" spans="1:4" ht="15.75" customHeight="1" x14ac:dyDescent="0.25">
      <c r="A125" s="93"/>
      <c r="B125" s="194"/>
      <c r="C125" s="191"/>
      <c r="D125" s="80"/>
    </row>
    <row r="126" spans="1:4" ht="15.75" customHeight="1" x14ac:dyDescent="0.25">
      <c r="A126" s="93"/>
      <c r="B126" s="194"/>
      <c r="C126" s="191"/>
      <c r="D126" s="80"/>
    </row>
    <row r="127" spans="1:4" ht="15.75" customHeight="1" x14ac:dyDescent="0.25">
      <c r="A127" s="93"/>
      <c r="B127" s="194"/>
      <c r="C127" s="191"/>
      <c r="D127" s="80"/>
    </row>
    <row r="128" spans="1:4" ht="15.75" customHeight="1" x14ac:dyDescent="0.25">
      <c r="A128" s="93"/>
      <c r="B128" s="194"/>
      <c r="C128" s="191"/>
      <c r="D128" s="80"/>
    </row>
    <row r="129" spans="1:4" ht="15.75" customHeight="1" x14ac:dyDescent="0.25">
      <c r="A129" s="93"/>
      <c r="B129" s="194"/>
      <c r="C129" s="191"/>
      <c r="D129" s="80"/>
    </row>
    <row r="130" spans="1:4" ht="15.75" customHeight="1" x14ac:dyDescent="0.25">
      <c r="A130" s="93"/>
      <c r="B130" s="194"/>
      <c r="C130" s="191"/>
      <c r="D130" s="80"/>
    </row>
    <row r="131" spans="1:4" ht="15.75" customHeight="1" x14ac:dyDescent="0.25">
      <c r="A131" s="93"/>
      <c r="B131" s="194"/>
      <c r="C131" s="191"/>
      <c r="D131" s="80"/>
    </row>
    <row r="132" spans="1:4" ht="15.75" customHeight="1" x14ac:dyDescent="0.25">
      <c r="A132" s="93"/>
      <c r="B132" s="194"/>
      <c r="C132" s="191"/>
      <c r="D132" s="80"/>
    </row>
    <row r="133" spans="1:4" ht="15.75" customHeight="1" x14ac:dyDescent="0.25">
      <c r="A133" s="93"/>
      <c r="B133" s="194"/>
      <c r="C133" s="191"/>
      <c r="D133" s="80"/>
    </row>
    <row r="134" spans="1:4" ht="15.75" customHeight="1" x14ac:dyDescent="0.25">
      <c r="A134" s="93"/>
      <c r="B134" s="194"/>
      <c r="C134" s="191"/>
      <c r="D134" s="80"/>
    </row>
    <row r="135" spans="1:4" ht="15.75" customHeight="1" x14ac:dyDescent="0.25">
      <c r="A135" s="93"/>
      <c r="B135" s="194"/>
      <c r="C135" s="191"/>
      <c r="D135" s="80"/>
    </row>
    <row r="136" spans="1:4" ht="15.75" customHeight="1" x14ac:dyDescent="0.25">
      <c r="A136" s="93"/>
      <c r="B136" s="194"/>
      <c r="C136" s="191"/>
      <c r="D136" s="80"/>
    </row>
    <row r="137" spans="1:4" ht="15.75" customHeight="1" x14ac:dyDescent="0.25">
      <c r="A137" s="93"/>
      <c r="B137" s="194"/>
      <c r="C137" s="191"/>
      <c r="D137" s="80"/>
    </row>
    <row r="138" spans="1:4" ht="15.75" customHeight="1" x14ac:dyDescent="0.25">
      <c r="A138" s="93"/>
      <c r="B138" s="194"/>
      <c r="C138" s="191"/>
      <c r="D138" s="80"/>
    </row>
    <row r="139" spans="1:4" ht="15.75" customHeight="1" x14ac:dyDescent="0.25">
      <c r="A139" s="93"/>
      <c r="B139" s="194"/>
      <c r="C139" s="191"/>
      <c r="D139" s="80"/>
    </row>
    <row r="140" spans="1:4" ht="15.75" customHeight="1" x14ac:dyDescent="0.25">
      <c r="A140" s="93"/>
      <c r="B140" s="194"/>
      <c r="C140" s="191"/>
      <c r="D140" s="80"/>
    </row>
    <row r="141" spans="1:4" ht="15.75" customHeight="1" x14ac:dyDescent="0.25">
      <c r="A141" s="93"/>
      <c r="B141" s="194"/>
      <c r="C141" s="191"/>
      <c r="D141" s="80"/>
    </row>
    <row r="142" spans="1:4" ht="15.75" customHeight="1" x14ac:dyDescent="0.25">
      <c r="A142" s="93"/>
      <c r="B142" s="194"/>
      <c r="C142" s="191"/>
      <c r="D142" s="80"/>
    </row>
    <row r="143" spans="1:4" ht="15.75" customHeight="1" x14ac:dyDescent="0.25">
      <c r="A143" s="93"/>
      <c r="B143" s="194"/>
      <c r="C143" s="191"/>
      <c r="D143" s="80"/>
    </row>
    <row r="144" spans="1:4" ht="15.75" customHeight="1" x14ac:dyDescent="0.25">
      <c r="A144" s="93"/>
      <c r="B144" s="194"/>
      <c r="C144" s="191"/>
      <c r="D144" s="80"/>
    </row>
    <row r="145" spans="1:4" ht="15.75" customHeight="1" x14ac:dyDescent="0.25">
      <c r="A145" s="93"/>
      <c r="B145" s="194"/>
      <c r="C145" s="191"/>
      <c r="D145" s="80"/>
    </row>
    <row r="146" spans="1:4" ht="15.75" customHeight="1" x14ac:dyDescent="0.25">
      <c r="A146" s="93"/>
      <c r="B146" s="194"/>
      <c r="C146" s="191"/>
      <c r="D146" s="80"/>
    </row>
    <row r="147" spans="1:4" ht="15.75" customHeight="1" x14ac:dyDescent="0.25">
      <c r="A147" s="93"/>
      <c r="B147" s="194"/>
      <c r="C147" s="191"/>
      <c r="D147" s="80"/>
    </row>
    <row r="148" spans="1:4" ht="15.75" customHeight="1" x14ac:dyDescent="0.25">
      <c r="A148" s="93"/>
      <c r="B148" s="194"/>
      <c r="C148" s="191"/>
      <c r="D148" s="80"/>
    </row>
    <row r="149" spans="1:4" ht="15.75" customHeight="1" x14ac:dyDescent="0.25">
      <c r="A149" s="93"/>
      <c r="B149" s="194"/>
      <c r="C149" s="191"/>
      <c r="D149" s="80"/>
    </row>
    <row r="150" spans="1:4" ht="15.75" customHeight="1" x14ac:dyDescent="0.25">
      <c r="A150" s="93"/>
      <c r="B150" s="194"/>
      <c r="C150" s="191"/>
      <c r="D150" s="80"/>
    </row>
    <row r="151" spans="1:4" ht="15.75" customHeight="1" x14ac:dyDescent="0.25">
      <c r="A151" s="93"/>
      <c r="B151" s="194"/>
      <c r="C151" s="191"/>
      <c r="D151" s="80"/>
    </row>
    <row r="152" spans="1:4" ht="15.75" customHeight="1" x14ac:dyDescent="0.25">
      <c r="A152" s="93"/>
      <c r="B152" s="194"/>
      <c r="C152" s="191"/>
      <c r="D152" s="80"/>
    </row>
    <row r="153" spans="1:4" ht="15.75" customHeight="1" x14ac:dyDescent="0.25">
      <c r="A153" s="93"/>
      <c r="B153" s="194"/>
      <c r="C153" s="191"/>
      <c r="D153" s="80"/>
    </row>
    <row r="154" spans="1:4" ht="15.75" customHeight="1" x14ac:dyDescent="0.25">
      <c r="A154" s="93"/>
      <c r="B154" s="194"/>
      <c r="C154" s="191"/>
      <c r="D154" s="80"/>
    </row>
    <row r="155" spans="1:4" ht="15.75" customHeight="1" x14ac:dyDescent="0.25">
      <c r="A155" s="93"/>
      <c r="B155" s="194"/>
      <c r="C155" s="191"/>
      <c r="D155" s="80"/>
    </row>
    <row r="156" spans="1:4" ht="15.75" customHeight="1" x14ac:dyDescent="0.25">
      <c r="A156" s="93"/>
      <c r="B156" s="194"/>
      <c r="C156" s="191"/>
      <c r="D156" s="80"/>
    </row>
    <row r="157" spans="1:4" ht="15.75" customHeight="1" x14ac:dyDescent="0.25">
      <c r="A157" s="93"/>
      <c r="B157" s="194"/>
      <c r="C157" s="191"/>
      <c r="D157" s="80"/>
    </row>
    <row r="158" spans="1:4" ht="15.75" customHeight="1" x14ac:dyDescent="0.25">
      <c r="A158" s="93"/>
      <c r="B158" s="194"/>
      <c r="C158" s="191"/>
      <c r="D158" s="80"/>
    </row>
    <row r="159" spans="1:4" ht="15.75" customHeight="1" x14ac:dyDescent="0.25">
      <c r="A159" s="93"/>
      <c r="B159" s="194"/>
      <c r="C159" s="191"/>
      <c r="D159" s="80"/>
    </row>
    <row r="160" spans="1:4" ht="15.75" customHeight="1" x14ac:dyDescent="0.25">
      <c r="A160" s="93"/>
      <c r="B160" s="194"/>
      <c r="C160" s="191"/>
      <c r="D160" s="80"/>
    </row>
    <row r="161" spans="1:4" ht="15.75" customHeight="1" x14ac:dyDescent="0.25">
      <c r="A161" s="93"/>
      <c r="B161" s="194"/>
      <c r="C161" s="191"/>
      <c r="D161" s="80"/>
    </row>
    <row r="162" spans="1:4" ht="15.75" customHeight="1" x14ac:dyDescent="0.25">
      <c r="A162" s="93"/>
      <c r="B162" s="194"/>
      <c r="C162" s="191"/>
      <c r="D162" s="80"/>
    </row>
    <row r="163" spans="1:4" ht="15.75" customHeight="1" x14ac:dyDescent="0.25">
      <c r="A163" s="93"/>
      <c r="B163" s="194"/>
      <c r="C163" s="191"/>
      <c r="D163" s="80"/>
    </row>
    <row r="164" spans="1:4" ht="15.75" customHeight="1" x14ac:dyDescent="0.25">
      <c r="A164" s="93"/>
      <c r="B164" s="194"/>
      <c r="C164" s="191"/>
      <c r="D164" s="80"/>
    </row>
    <row r="165" spans="1:4" ht="15.75" customHeight="1" x14ac:dyDescent="0.25">
      <c r="A165" s="93"/>
      <c r="B165" s="194"/>
      <c r="C165" s="191"/>
      <c r="D165" s="80"/>
    </row>
    <row r="166" spans="1:4" ht="15.75" customHeight="1" x14ac:dyDescent="0.25">
      <c r="A166" s="93"/>
      <c r="B166" s="194"/>
      <c r="C166" s="191"/>
      <c r="D166" s="80"/>
    </row>
    <row r="167" spans="1:4" ht="15.75" customHeight="1" x14ac:dyDescent="0.25">
      <c r="A167" s="93"/>
      <c r="B167" s="194"/>
      <c r="C167" s="191"/>
      <c r="D167" s="80"/>
    </row>
    <row r="168" spans="1:4" ht="15.75" customHeight="1" x14ac:dyDescent="0.25">
      <c r="A168" s="93"/>
      <c r="B168" s="194"/>
      <c r="C168" s="191"/>
      <c r="D168" s="80"/>
    </row>
    <row r="169" spans="1:4" ht="15.75" customHeight="1" x14ac:dyDescent="0.25">
      <c r="A169" s="93"/>
      <c r="B169" s="194"/>
      <c r="C169" s="191"/>
      <c r="D169" s="80"/>
    </row>
    <row r="170" spans="1:4" ht="15.75" customHeight="1" x14ac:dyDescent="0.25">
      <c r="A170" s="93"/>
      <c r="B170" s="194"/>
      <c r="C170" s="191"/>
      <c r="D170" s="80"/>
    </row>
    <row r="171" spans="1:4" ht="15.75" customHeight="1" x14ac:dyDescent="0.25">
      <c r="A171" s="93"/>
      <c r="B171" s="194"/>
      <c r="C171" s="191"/>
      <c r="D171" s="80"/>
    </row>
    <row r="172" spans="1:4" ht="15.75" customHeight="1" x14ac:dyDescent="0.25">
      <c r="A172" s="93"/>
      <c r="B172" s="194"/>
      <c r="C172" s="191"/>
      <c r="D172" s="80"/>
    </row>
    <row r="173" spans="1:4" ht="15.75" customHeight="1" x14ac:dyDescent="0.25">
      <c r="A173" s="93"/>
      <c r="B173" s="194"/>
      <c r="C173" s="191"/>
      <c r="D173" s="80"/>
    </row>
    <row r="174" spans="1:4" ht="15.75" customHeight="1" x14ac:dyDescent="0.25">
      <c r="A174" s="93"/>
      <c r="B174" s="194"/>
      <c r="C174" s="191"/>
      <c r="D174" s="80"/>
    </row>
    <row r="175" spans="1:4" ht="15.75" customHeight="1" x14ac:dyDescent="0.25">
      <c r="A175" s="93"/>
      <c r="B175" s="194"/>
      <c r="C175" s="191"/>
      <c r="D175" s="80"/>
    </row>
    <row r="176" spans="1:4" ht="15.75" customHeight="1" x14ac:dyDescent="0.25">
      <c r="A176" s="93"/>
      <c r="B176" s="194"/>
      <c r="C176" s="191"/>
      <c r="D176" s="80"/>
    </row>
    <row r="177" spans="1:4" ht="15.75" customHeight="1" x14ac:dyDescent="0.25">
      <c r="A177" s="93"/>
      <c r="B177" s="194"/>
      <c r="C177" s="191"/>
      <c r="D177" s="80"/>
    </row>
    <row r="178" spans="1:4" ht="15.75" customHeight="1" x14ac:dyDescent="0.25">
      <c r="A178" s="93"/>
      <c r="B178" s="194"/>
      <c r="C178" s="191"/>
      <c r="D178" s="80"/>
    </row>
    <row r="179" spans="1:4" ht="15.75" customHeight="1" x14ac:dyDescent="0.25">
      <c r="A179" s="93"/>
      <c r="B179" s="194"/>
      <c r="C179" s="191"/>
      <c r="D179" s="80"/>
    </row>
    <row r="180" spans="1:4" ht="15.75" customHeight="1" x14ac:dyDescent="0.25">
      <c r="A180" s="93"/>
      <c r="B180" s="194"/>
      <c r="C180" s="191"/>
      <c r="D180" s="80"/>
    </row>
    <row r="181" spans="1:4" ht="15.75" customHeight="1" x14ac:dyDescent="0.25">
      <c r="A181" s="93"/>
      <c r="B181" s="194"/>
      <c r="C181" s="191"/>
      <c r="D181" s="80"/>
    </row>
    <row r="182" spans="1:4" ht="15.75" customHeight="1" x14ac:dyDescent="0.25">
      <c r="A182" s="93"/>
      <c r="B182" s="194"/>
      <c r="C182" s="191"/>
      <c r="D182" s="80"/>
    </row>
    <row r="183" spans="1:4" ht="15.75" customHeight="1" x14ac:dyDescent="0.25">
      <c r="A183" s="93"/>
      <c r="B183" s="194"/>
      <c r="C183" s="191"/>
      <c r="D183" s="80"/>
    </row>
    <row r="184" spans="1:4" ht="15.75" customHeight="1" x14ac:dyDescent="0.25">
      <c r="A184" s="93"/>
      <c r="B184" s="194"/>
      <c r="C184" s="191"/>
      <c r="D184" s="80"/>
    </row>
    <row r="185" spans="1:4" ht="15.75" customHeight="1" x14ac:dyDescent="0.25">
      <c r="A185" s="93"/>
      <c r="B185" s="194"/>
      <c r="C185" s="191"/>
      <c r="D185" s="80"/>
    </row>
    <row r="186" spans="1:4" ht="15.75" customHeight="1" x14ac:dyDescent="0.25">
      <c r="A186" s="93"/>
      <c r="B186" s="194"/>
      <c r="C186" s="191"/>
      <c r="D186" s="80"/>
    </row>
    <row r="187" spans="1:4" ht="15.75" customHeight="1" x14ac:dyDescent="0.25">
      <c r="A187" s="93"/>
      <c r="B187" s="194"/>
      <c r="C187" s="191"/>
      <c r="D187" s="80"/>
    </row>
    <row r="188" spans="1:4" ht="15.75" customHeight="1" x14ac:dyDescent="0.25">
      <c r="A188" s="93"/>
      <c r="B188" s="194"/>
      <c r="C188" s="191"/>
      <c r="D188" s="80"/>
    </row>
    <row r="189" spans="1:4" ht="15.75" customHeight="1" x14ac:dyDescent="0.25">
      <c r="A189" s="93"/>
      <c r="B189" s="194"/>
      <c r="C189" s="191"/>
      <c r="D189" s="80"/>
    </row>
    <row r="190" spans="1:4" ht="15.75" customHeight="1" x14ac:dyDescent="0.25">
      <c r="A190" s="93"/>
      <c r="B190" s="194"/>
      <c r="C190" s="191"/>
      <c r="D190" s="80"/>
    </row>
    <row r="191" spans="1:4" ht="15.75" customHeight="1" x14ac:dyDescent="0.25">
      <c r="A191" s="93"/>
      <c r="B191" s="194"/>
      <c r="C191" s="191"/>
      <c r="D191" s="80"/>
    </row>
    <row r="192" spans="1:4" ht="15.75" customHeight="1" x14ac:dyDescent="0.25">
      <c r="A192" s="93"/>
      <c r="B192" s="194"/>
      <c r="C192" s="191"/>
      <c r="D192" s="80"/>
    </row>
    <row r="193" spans="1:4" ht="15.75" customHeight="1" x14ac:dyDescent="0.25">
      <c r="A193" s="93"/>
      <c r="B193" s="194"/>
      <c r="C193" s="191"/>
      <c r="D193" s="80"/>
    </row>
    <row r="194" spans="1:4" ht="15.75" customHeight="1" x14ac:dyDescent="0.25">
      <c r="A194" s="93"/>
      <c r="B194" s="194"/>
      <c r="C194" s="191"/>
      <c r="D194" s="80"/>
    </row>
    <row r="195" spans="1:4" ht="15.75" customHeight="1" x14ac:dyDescent="0.25">
      <c r="A195" s="93"/>
      <c r="B195" s="194"/>
      <c r="C195" s="191"/>
      <c r="D195" s="80"/>
    </row>
    <row r="196" spans="1:4" ht="15.75" customHeight="1" x14ac:dyDescent="0.25">
      <c r="A196" s="93"/>
      <c r="B196" s="194"/>
      <c r="C196" s="191"/>
      <c r="D196" s="80"/>
    </row>
    <row r="197" spans="1:4" ht="15.75" customHeight="1" x14ac:dyDescent="0.25">
      <c r="A197" s="93"/>
      <c r="B197" s="194"/>
      <c r="C197" s="191"/>
      <c r="D197" s="80"/>
    </row>
    <row r="198" spans="1:4" ht="15.75" customHeight="1" x14ac:dyDescent="0.25">
      <c r="A198" s="93"/>
      <c r="B198" s="194"/>
      <c r="C198" s="191"/>
      <c r="D198" s="80"/>
    </row>
    <row r="199" spans="1:4" ht="15.75" customHeight="1" x14ac:dyDescent="0.25">
      <c r="A199" s="93"/>
      <c r="B199" s="194"/>
      <c r="C199" s="191"/>
      <c r="D199" s="80"/>
    </row>
    <row r="200" spans="1:4" ht="15.75" customHeight="1" x14ac:dyDescent="0.25">
      <c r="A200" s="93"/>
      <c r="B200" s="194"/>
      <c r="C200" s="191"/>
      <c r="D200" s="80"/>
    </row>
    <row r="201" spans="1:4" ht="15.75" customHeight="1" x14ac:dyDescent="0.25">
      <c r="A201" s="93"/>
      <c r="B201" s="194"/>
      <c r="C201" s="191"/>
      <c r="D201" s="80"/>
    </row>
    <row r="202" spans="1:4" ht="15.75" customHeight="1" x14ac:dyDescent="0.25">
      <c r="A202" s="93"/>
      <c r="B202" s="194"/>
      <c r="C202" s="191"/>
      <c r="D202" s="80"/>
    </row>
    <row r="203" spans="1:4" ht="15.75" customHeight="1" x14ac:dyDescent="0.25">
      <c r="A203" s="93"/>
      <c r="B203" s="194"/>
      <c r="C203" s="191"/>
      <c r="D203" s="80"/>
    </row>
    <row r="204" spans="1:4" ht="15.75" customHeight="1" x14ac:dyDescent="0.25">
      <c r="A204" s="93"/>
      <c r="B204" s="194"/>
      <c r="C204" s="191"/>
      <c r="D204" s="80"/>
    </row>
    <row r="205" spans="1:4" ht="15.75" customHeight="1" x14ac:dyDescent="0.25">
      <c r="A205" s="93"/>
      <c r="B205" s="194"/>
      <c r="C205" s="191"/>
      <c r="D205" s="80"/>
    </row>
    <row r="206" spans="1:4" ht="15.75" customHeight="1" x14ac:dyDescent="0.25">
      <c r="A206" s="93"/>
      <c r="B206" s="194"/>
      <c r="C206" s="191"/>
      <c r="D206" s="80"/>
    </row>
    <row r="207" spans="1:4" ht="15.75" customHeight="1" x14ac:dyDescent="0.25">
      <c r="A207" s="93"/>
      <c r="B207" s="194"/>
      <c r="C207" s="191"/>
      <c r="D207" s="80"/>
    </row>
    <row r="208" spans="1:4" ht="15.75" customHeight="1" x14ac:dyDescent="0.25">
      <c r="A208" s="93"/>
      <c r="B208" s="194"/>
      <c r="C208" s="191"/>
      <c r="D208" s="80"/>
    </row>
    <row r="209" spans="1:4" ht="15.75" customHeight="1" x14ac:dyDescent="0.25">
      <c r="A209" s="93"/>
      <c r="B209" s="194"/>
      <c r="C209" s="191"/>
      <c r="D209" s="80"/>
    </row>
    <row r="210" spans="1:4" ht="15.75" customHeight="1" x14ac:dyDescent="0.25">
      <c r="A210" s="93"/>
      <c r="B210" s="194"/>
      <c r="C210" s="191"/>
      <c r="D210" s="80"/>
    </row>
    <row r="211" spans="1:4" ht="15.75" customHeight="1" x14ac:dyDescent="0.25">
      <c r="A211" s="93"/>
      <c r="B211" s="194"/>
      <c r="C211" s="191"/>
      <c r="D211" s="80"/>
    </row>
    <row r="212" spans="1:4" ht="15.75" customHeight="1" x14ac:dyDescent="0.25">
      <c r="A212" s="93"/>
      <c r="B212" s="194"/>
      <c r="C212" s="191"/>
      <c r="D212" s="80"/>
    </row>
    <row r="213" spans="1:4" ht="15.75" customHeight="1" x14ac:dyDescent="0.25">
      <c r="A213" s="93"/>
      <c r="B213" s="194"/>
      <c r="C213" s="191"/>
      <c r="D213" s="80"/>
    </row>
    <row r="214" spans="1:4" ht="15.75" customHeight="1" x14ac:dyDescent="0.25">
      <c r="A214" s="93"/>
      <c r="B214" s="194"/>
      <c r="C214" s="191"/>
      <c r="D214" s="80"/>
    </row>
    <row r="215" spans="1:4" ht="15.75" customHeight="1" x14ac:dyDescent="0.25">
      <c r="A215" s="93"/>
      <c r="B215" s="194"/>
      <c r="C215" s="191"/>
      <c r="D215" s="80"/>
    </row>
    <row r="216" spans="1:4" ht="15.75" customHeight="1" x14ac:dyDescent="0.25">
      <c r="A216" s="93"/>
      <c r="B216" s="194"/>
      <c r="C216" s="191"/>
      <c r="D216" s="80"/>
    </row>
    <row r="217" spans="1:4" ht="15.75" customHeight="1" x14ac:dyDescent="0.25">
      <c r="A217" s="93"/>
      <c r="B217" s="194"/>
      <c r="C217" s="191"/>
      <c r="D217" s="80"/>
    </row>
    <row r="218" spans="1:4" ht="15.75" customHeight="1" x14ac:dyDescent="0.25">
      <c r="A218" s="93"/>
      <c r="B218" s="194"/>
      <c r="C218" s="191"/>
      <c r="D218" s="80"/>
    </row>
    <row r="219" spans="1:4" ht="15.75" customHeight="1" x14ac:dyDescent="0.25">
      <c r="A219" s="93"/>
      <c r="B219" s="194"/>
      <c r="C219" s="191"/>
      <c r="D219" s="80"/>
    </row>
    <row r="220" spans="1:4" ht="15.75" customHeight="1" x14ac:dyDescent="0.25">
      <c r="A220" s="93"/>
      <c r="B220" s="194"/>
      <c r="C220" s="191"/>
      <c r="D220" s="80"/>
    </row>
    <row r="221" spans="1:4" ht="15.75" customHeight="1" x14ac:dyDescent="0.25">
      <c r="A221" s="93"/>
      <c r="B221" s="194"/>
      <c r="C221" s="191"/>
      <c r="D221" s="80"/>
    </row>
    <row r="222" spans="1:4" ht="15.75" customHeight="1" x14ac:dyDescent="0.25">
      <c r="A222" s="93"/>
      <c r="B222" s="194"/>
      <c r="C222" s="191"/>
      <c r="D222" s="80"/>
    </row>
    <row r="223" spans="1:4" ht="15.75" customHeight="1" x14ac:dyDescent="0.25">
      <c r="A223" s="93"/>
      <c r="B223" s="194"/>
      <c r="C223" s="191"/>
      <c r="D223" s="80"/>
    </row>
    <row r="224" spans="1:4" ht="15.75" customHeight="1" x14ac:dyDescent="0.25">
      <c r="A224" s="93"/>
      <c r="B224" s="194"/>
      <c r="C224" s="191"/>
      <c r="D224" s="80"/>
    </row>
    <row r="225" spans="1:4" ht="15.75" customHeight="1" x14ac:dyDescent="0.25">
      <c r="A225" s="93"/>
      <c r="B225" s="194"/>
      <c r="C225" s="191"/>
      <c r="D225" s="80"/>
    </row>
    <row r="226" spans="1:4" ht="15.75" customHeight="1" x14ac:dyDescent="0.25">
      <c r="A226" s="93"/>
      <c r="B226" s="194"/>
      <c r="C226" s="191"/>
      <c r="D226" s="80"/>
    </row>
    <row r="227" spans="1:4" ht="15.75" customHeight="1" x14ac:dyDescent="0.25">
      <c r="A227" s="93"/>
      <c r="B227" s="194"/>
      <c r="C227" s="191"/>
      <c r="D227" s="80"/>
    </row>
    <row r="228" spans="1:4" ht="15.75" customHeight="1" x14ac:dyDescent="0.25">
      <c r="A228" s="93"/>
      <c r="B228" s="194"/>
      <c r="C228" s="191"/>
      <c r="D228" s="80"/>
    </row>
    <row r="229" spans="1:4" ht="15.75" customHeight="1" x14ac:dyDescent="0.25">
      <c r="A229" s="93"/>
      <c r="B229" s="194"/>
      <c r="C229" s="191"/>
      <c r="D229" s="80"/>
    </row>
    <row r="230" spans="1:4" ht="15.75" customHeight="1" x14ac:dyDescent="0.25">
      <c r="A230" s="93"/>
      <c r="B230" s="194"/>
      <c r="C230" s="191"/>
      <c r="D230" s="80"/>
    </row>
    <row r="231" spans="1:4" ht="15.75" customHeight="1" x14ac:dyDescent="0.25">
      <c r="A231" s="93"/>
      <c r="B231" s="194"/>
      <c r="C231" s="191"/>
      <c r="D231" s="80"/>
    </row>
    <row r="232" spans="1:4" ht="15.75" customHeight="1" x14ac:dyDescent="0.25">
      <c r="A232" s="93"/>
      <c r="B232" s="194"/>
      <c r="C232" s="191"/>
      <c r="D232" s="80"/>
    </row>
    <row r="233" spans="1:4" ht="15.75" customHeight="1" x14ac:dyDescent="0.25">
      <c r="A233" s="93"/>
      <c r="B233" s="194"/>
      <c r="C233" s="191"/>
      <c r="D233" s="80"/>
    </row>
    <row r="234" spans="1:4" ht="15.75" customHeight="1" x14ac:dyDescent="0.25">
      <c r="A234" s="93"/>
      <c r="B234" s="194"/>
      <c r="C234" s="191"/>
      <c r="D234" s="80"/>
    </row>
    <row r="235" spans="1:4" ht="15.75" customHeight="1" x14ac:dyDescent="0.25">
      <c r="A235" s="93"/>
      <c r="B235" s="194"/>
      <c r="C235" s="191"/>
      <c r="D235" s="80"/>
    </row>
    <row r="236" spans="1:4" ht="15.75" customHeight="1" x14ac:dyDescent="0.25">
      <c r="A236" s="93"/>
      <c r="B236" s="194"/>
      <c r="C236" s="191"/>
      <c r="D236" s="80"/>
    </row>
    <row r="237" spans="1:4" ht="15.75" customHeight="1" x14ac:dyDescent="0.25">
      <c r="A237" s="93"/>
      <c r="B237" s="194"/>
      <c r="C237" s="191"/>
      <c r="D237" s="80"/>
    </row>
    <row r="238" spans="1:4" ht="15.75" customHeight="1" x14ac:dyDescent="0.25">
      <c r="A238" s="93"/>
      <c r="B238" s="194"/>
      <c r="C238" s="191"/>
      <c r="D238" s="80"/>
    </row>
    <row r="239" spans="1:4" ht="15.75" customHeight="1" x14ac:dyDescent="0.25">
      <c r="A239" s="93"/>
      <c r="B239" s="194"/>
      <c r="C239" s="191"/>
      <c r="D239" s="80"/>
    </row>
    <row r="240" spans="1:4" ht="15.75" customHeight="1" x14ac:dyDescent="0.25">
      <c r="A240" s="93"/>
      <c r="B240" s="194"/>
      <c r="C240" s="191"/>
      <c r="D240" s="80"/>
    </row>
    <row r="241" spans="1:4" ht="15.75" customHeight="1" x14ac:dyDescent="0.25">
      <c r="A241" s="93"/>
      <c r="B241" s="194"/>
      <c r="C241" s="191"/>
      <c r="D241" s="80"/>
    </row>
    <row r="242" spans="1:4" ht="15.75" customHeight="1" x14ac:dyDescent="0.25">
      <c r="A242" s="93"/>
      <c r="B242" s="194"/>
      <c r="C242" s="191"/>
      <c r="D242" s="80"/>
    </row>
    <row r="243" spans="1:4" ht="15.75" customHeight="1" x14ac:dyDescent="0.25">
      <c r="A243" s="93"/>
      <c r="B243" s="194"/>
      <c r="C243" s="191"/>
      <c r="D243" s="80"/>
    </row>
    <row r="244" spans="1:4" ht="15.75" customHeight="1" x14ac:dyDescent="0.25">
      <c r="A244" s="93"/>
      <c r="B244" s="194"/>
      <c r="C244" s="191"/>
      <c r="D244" s="80"/>
    </row>
    <row r="245" spans="1:4" ht="15.75" customHeight="1" x14ac:dyDescent="0.25">
      <c r="A245" s="93"/>
      <c r="B245" s="194"/>
      <c r="C245" s="191"/>
      <c r="D245" s="80"/>
    </row>
    <row r="246" spans="1:4" ht="15.75" customHeight="1" x14ac:dyDescent="0.25">
      <c r="A246" s="93"/>
      <c r="B246" s="194"/>
      <c r="C246" s="191"/>
      <c r="D246" s="80"/>
    </row>
    <row r="247" spans="1:4" ht="15.75" customHeight="1" x14ac:dyDescent="0.25">
      <c r="A247" s="93"/>
      <c r="B247" s="194"/>
      <c r="C247" s="191"/>
      <c r="D247" s="80"/>
    </row>
    <row r="248" spans="1:4" ht="15.75" customHeight="1" x14ac:dyDescent="0.25">
      <c r="A248" s="93"/>
      <c r="B248" s="194"/>
      <c r="C248" s="191"/>
      <c r="D248" s="80"/>
    </row>
    <row r="249" spans="1:4" ht="15.75" customHeight="1" x14ac:dyDescent="0.25">
      <c r="A249" s="93"/>
      <c r="B249" s="194"/>
      <c r="C249" s="191"/>
      <c r="D249" s="80"/>
    </row>
    <row r="250" spans="1:4" ht="15.75" customHeight="1" x14ac:dyDescent="0.25">
      <c r="A250" s="93"/>
      <c r="B250" s="194"/>
      <c r="C250" s="191"/>
      <c r="D250" s="80"/>
    </row>
    <row r="251" spans="1:4" ht="15.75" customHeight="1" x14ac:dyDescent="0.25">
      <c r="A251" s="93"/>
      <c r="B251" s="194"/>
      <c r="C251" s="191"/>
      <c r="D251" s="80"/>
    </row>
    <row r="252" spans="1:4" ht="15.75" customHeight="1" x14ac:dyDescent="0.25">
      <c r="A252" s="93"/>
      <c r="B252" s="194"/>
      <c r="C252" s="191"/>
      <c r="D252" s="80"/>
    </row>
    <row r="253" spans="1:4" ht="15.75" customHeight="1" x14ac:dyDescent="0.25">
      <c r="A253" s="93"/>
      <c r="B253" s="194"/>
      <c r="C253" s="191"/>
      <c r="D253" s="80"/>
    </row>
    <row r="254" spans="1:4" ht="15.75" customHeight="1" x14ac:dyDescent="0.25">
      <c r="A254" s="93"/>
      <c r="B254" s="194"/>
      <c r="C254" s="191"/>
      <c r="D254" s="80"/>
    </row>
    <row r="255" spans="1:4" ht="15.75" customHeight="1" x14ac:dyDescent="0.25">
      <c r="A255" s="93"/>
      <c r="B255" s="194"/>
      <c r="C255" s="191"/>
      <c r="D255" s="80"/>
    </row>
    <row r="256" spans="1:4" ht="15.75" customHeight="1" x14ac:dyDescent="0.25">
      <c r="A256" s="93"/>
      <c r="B256" s="194"/>
      <c r="C256" s="191"/>
      <c r="D256" s="80"/>
    </row>
    <row r="257" spans="1:4" ht="15.75" customHeight="1" x14ac:dyDescent="0.25">
      <c r="A257" s="93"/>
      <c r="B257" s="194"/>
      <c r="C257" s="191"/>
      <c r="D257" s="80"/>
    </row>
    <row r="258" spans="1:4" ht="15.75" customHeight="1" x14ac:dyDescent="0.25">
      <c r="A258" s="93"/>
      <c r="B258" s="194"/>
      <c r="C258" s="191"/>
      <c r="D258" s="80"/>
    </row>
    <row r="259" spans="1:4" ht="15.75" customHeight="1" x14ac:dyDescent="0.25">
      <c r="A259" s="93"/>
      <c r="B259" s="194"/>
      <c r="C259" s="191"/>
      <c r="D259" s="80"/>
    </row>
    <row r="260" spans="1:4" ht="15.75" customHeight="1" x14ac:dyDescent="0.25">
      <c r="A260" s="93"/>
      <c r="B260" s="194"/>
      <c r="C260" s="191"/>
      <c r="D260" s="80"/>
    </row>
    <row r="261" spans="1:4" ht="15.75" customHeight="1" x14ac:dyDescent="0.25">
      <c r="A261" s="93"/>
      <c r="B261" s="194"/>
      <c r="C261" s="191"/>
      <c r="D261" s="80"/>
    </row>
    <row r="262" spans="1:4" ht="15.75" customHeight="1" x14ac:dyDescent="0.25">
      <c r="A262" s="93"/>
      <c r="B262" s="194"/>
      <c r="C262" s="191"/>
      <c r="D262" s="80"/>
    </row>
    <row r="263" spans="1:4" ht="15.75" customHeight="1" x14ac:dyDescent="0.25">
      <c r="A263" s="93"/>
      <c r="B263" s="194"/>
      <c r="C263" s="191"/>
      <c r="D263" s="80"/>
    </row>
    <row r="264" spans="1:4" ht="15.75" customHeight="1" x14ac:dyDescent="0.25">
      <c r="A264" s="93"/>
      <c r="B264" s="194"/>
      <c r="C264" s="191"/>
      <c r="D264" s="80"/>
    </row>
    <row r="265" spans="1:4" ht="15.75" customHeight="1" x14ac:dyDescent="0.25">
      <c r="A265" s="93"/>
      <c r="B265" s="194"/>
      <c r="C265" s="191"/>
      <c r="D265" s="80"/>
    </row>
    <row r="266" spans="1:4" ht="15.75" customHeight="1" x14ac:dyDescent="0.25">
      <c r="A266" s="93"/>
      <c r="B266" s="194"/>
      <c r="C266" s="191"/>
      <c r="D266" s="80"/>
    </row>
    <row r="267" spans="1:4" ht="15.75" customHeight="1" x14ac:dyDescent="0.25">
      <c r="A267" s="93"/>
      <c r="B267" s="194"/>
      <c r="C267" s="191"/>
      <c r="D267" s="80"/>
    </row>
    <row r="268" spans="1:4" ht="15.75" customHeight="1" x14ac:dyDescent="0.25">
      <c r="A268" s="93"/>
      <c r="B268" s="194"/>
      <c r="C268" s="191"/>
      <c r="D268" s="80"/>
    </row>
    <row r="269" spans="1:4" ht="15.75" customHeight="1" x14ac:dyDescent="0.25">
      <c r="A269" s="93"/>
      <c r="B269" s="194"/>
      <c r="C269" s="191"/>
      <c r="D269" s="80"/>
    </row>
    <row r="270" spans="1:4" ht="15.75" customHeight="1" x14ac:dyDescent="0.25">
      <c r="A270" s="93"/>
      <c r="B270" s="194"/>
      <c r="C270" s="191"/>
      <c r="D270" s="80"/>
    </row>
    <row r="271" spans="1:4" ht="15.75" customHeight="1" x14ac:dyDescent="0.25">
      <c r="A271" s="93"/>
      <c r="B271" s="194"/>
      <c r="C271" s="191"/>
      <c r="D271" s="80"/>
    </row>
    <row r="272" spans="1:4" ht="15.75" customHeight="1" x14ac:dyDescent="0.25">
      <c r="A272" s="93"/>
      <c r="B272" s="194"/>
      <c r="C272" s="191"/>
      <c r="D272" s="80"/>
    </row>
    <row r="273" spans="1:4" ht="15.75" customHeight="1" x14ac:dyDescent="0.25">
      <c r="A273" s="93"/>
      <c r="B273" s="194"/>
      <c r="C273" s="191"/>
      <c r="D273" s="80"/>
    </row>
    <row r="274" spans="1:4" ht="15.75" customHeight="1" x14ac:dyDescent="0.25">
      <c r="A274" s="93"/>
      <c r="B274" s="194"/>
      <c r="C274" s="191"/>
      <c r="D274" s="80"/>
    </row>
    <row r="275" spans="1:4" ht="15.75" customHeight="1" x14ac:dyDescent="0.25">
      <c r="A275" s="93"/>
      <c r="B275" s="194"/>
      <c r="C275" s="191"/>
      <c r="D275" s="80"/>
    </row>
    <row r="276" spans="1:4" ht="15.75" customHeight="1" x14ac:dyDescent="0.25">
      <c r="A276" s="93"/>
      <c r="B276" s="194"/>
      <c r="C276" s="191"/>
      <c r="D276" s="80"/>
    </row>
    <row r="277" spans="1:4" ht="15.75" customHeight="1" x14ac:dyDescent="0.25">
      <c r="A277" s="93"/>
      <c r="B277" s="194"/>
      <c r="C277" s="191"/>
      <c r="D277" s="80"/>
    </row>
    <row r="278" spans="1:4" ht="15.75" customHeight="1" x14ac:dyDescent="0.25">
      <c r="A278" s="93"/>
      <c r="B278" s="194"/>
      <c r="C278" s="191"/>
      <c r="D278" s="80"/>
    </row>
    <row r="279" spans="1:4" ht="15.75" customHeight="1" x14ac:dyDescent="0.25">
      <c r="A279" s="93"/>
      <c r="B279" s="194"/>
      <c r="C279" s="191"/>
      <c r="D279" s="80"/>
    </row>
    <row r="280" spans="1:4" ht="15.75" customHeight="1" x14ac:dyDescent="0.25">
      <c r="A280" s="93"/>
      <c r="B280" s="194"/>
      <c r="C280" s="191"/>
      <c r="D280" s="80"/>
    </row>
    <row r="281" spans="1:4" ht="15.75" customHeight="1" x14ac:dyDescent="0.25">
      <c r="A281" s="93"/>
      <c r="B281" s="194"/>
      <c r="C281" s="191"/>
      <c r="D281" s="80"/>
    </row>
    <row r="282" spans="1:4" ht="15.75" customHeight="1" x14ac:dyDescent="0.25">
      <c r="A282" s="93"/>
      <c r="B282" s="194"/>
      <c r="C282" s="191"/>
      <c r="D282" s="80"/>
    </row>
    <row r="283" spans="1:4" ht="15.75" customHeight="1" x14ac:dyDescent="0.25">
      <c r="A283" s="93"/>
      <c r="B283" s="194"/>
      <c r="C283" s="191"/>
      <c r="D283" s="80"/>
    </row>
    <row r="284" spans="1:4" ht="15.75" customHeight="1" x14ac:dyDescent="0.25">
      <c r="A284" s="93"/>
      <c r="B284" s="194"/>
      <c r="C284" s="191"/>
      <c r="D284" s="80"/>
    </row>
    <row r="285" spans="1:4" ht="15.75" customHeight="1" x14ac:dyDescent="0.25">
      <c r="A285" s="93"/>
      <c r="B285" s="194"/>
      <c r="C285" s="191"/>
      <c r="D285" s="80"/>
    </row>
    <row r="286" spans="1:4" ht="15.75" customHeight="1" x14ac:dyDescent="0.25">
      <c r="A286" s="93"/>
      <c r="B286" s="194"/>
      <c r="C286" s="191"/>
      <c r="D286" s="80"/>
    </row>
    <row r="287" spans="1:4" ht="15.75" customHeight="1" x14ac:dyDescent="0.25">
      <c r="A287" s="93"/>
      <c r="B287" s="194"/>
      <c r="C287" s="191"/>
      <c r="D287" s="80"/>
    </row>
    <row r="288" spans="1:4" ht="15.75" customHeight="1" x14ac:dyDescent="0.25">
      <c r="A288" s="93"/>
      <c r="B288" s="194"/>
      <c r="C288" s="191"/>
      <c r="D288" s="80"/>
    </row>
    <row r="289" spans="1:4" ht="15.75" customHeight="1" x14ac:dyDescent="0.25">
      <c r="A289" s="93"/>
      <c r="B289" s="194"/>
      <c r="C289" s="191"/>
      <c r="D289" s="80"/>
    </row>
    <row r="290" spans="1:4" ht="15.75" customHeight="1" x14ac:dyDescent="0.25">
      <c r="A290" s="93"/>
      <c r="B290" s="194"/>
      <c r="C290" s="191"/>
      <c r="D290" s="80"/>
    </row>
    <row r="291" spans="1:4" ht="15.75" customHeight="1" x14ac:dyDescent="0.25">
      <c r="A291" s="93"/>
      <c r="B291" s="194"/>
      <c r="C291" s="191"/>
      <c r="D291" s="80"/>
    </row>
    <row r="292" spans="1:4" ht="15.75" customHeight="1" x14ac:dyDescent="0.25">
      <c r="A292" s="93"/>
      <c r="B292" s="194"/>
      <c r="C292" s="191"/>
      <c r="D292" s="80"/>
    </row>
    <row r="293" spans="1:4" ht="15.75" customHeight="1" x14ac:dyDescent="0.25">
      <c r="A293" s="93"/>
      <c r="B293" s="194"/>
      <c r="C293" s="191"/>
      <c r="D293" s="80"/>
    </row>
    <row r="294" spans="1:4" ht="15.75" customHeight="1" x14ac:dyDescent="0.25">
      <c r="A294" s="93"/>
      <c r="B294" s="194"/>
      <c r="C294" s="191"/>
      <c r="D294" s="80"/>
    </row>
    <row r="295" spans="1:4" ht="15.75" customHeight="1" x14ac:dyDescent="0.25">
      <c r="A295" s="93"/>
      <c r="B295" s="194"/>
      <c r="C295" s="191"/>
      <c r="D295" s="80"/>
    </row>
    <row r="296" spans="1:4" ht="15.75" customHeight="1" x14ac:dyDescent="0.25">
      <c r="A296" s="93"/>
      <c r="B296" s="194"/>
      <c r="C296" s="191"/>
      <c r="D296" s="80"/>
    </row>
    <row r="297" spans="1:4" ht="15.75" customHeight="1" x14ac:dyDescent="0.25">
      <c r="A297" s="93"/>
      <c r="B297" s="194"/>
      <c r="C297" s="191"/>
      <c r="D297" s="80"/>
    </row>
    <row r="298" spans="1:4" ht="15.75" customHeight="1" x14ac:dyDescent="0.25">
      <c r="A298" s="93"/>
      <c r="B298" s="194"/>
      <c r="C298" s="191"/>
      <c r="D298" s="80"/>
    </row>
    <row r="299" spans="1:4" ht="15.75" customHeight="1" x14ac:dyDescent="0.25">
      <c r="A299" s="93"/>
      <c r="B299" s="194"/>
      <c r="C299" s="191"/>
      <c r="D299" s="80"/>
    </row>
    <row r="300" spans="1:4" ht="15.75" customHeight="1" x14ac:dyDescent="0.25">
      <c r="A300" s="93"/>
      <c r="B300" s="194"/>
      <c r="C300" s="191"/>
      <c r="D300" s="80"/>
    </row>
    <row r="301" spans="1:4" ht="15.75" customHeight="1" x14ac:dyDescent="0.25">
      <c r="A301" s="93"/>
      <c r="B301" s="194"/>
      <c r="C301" s="191"/>
      <c r="D301" s="80"/>
    </row>
    <row r="302" spans="1:4" ht="15.75" customHeight="1" x14ac:dyDescent="0.25">
      <c r="A302" s="93"/>
      <c r="B302" s="194"/>
      <c r="C302" s="191"/>
      <c r="D302" s="80"/>
    </row>
    <row r="303" spans="1:4" ht="15.75" customHeight="1" x14ac:dyDescent="0.25">
      <c r="A303" s="93"/>
      <c r="B303" s="194"/>
      <c r="C303" s="191"/>
      <c r="D303" s="80"/>
    </row>
    <row r="304" spans="1:4" ht="15.75" customHeight="1" x14ac:dyDescent="0.25">
      <c r="A304" s="93"/>
      <c r="B304" s="194"/>
      <c r="C304" s="191"/>
      <c r="D304" s="80"/>
    </row>
    <row r="305" spans="1:4" ht="15.75" customHeight="1" x14ac:dyDescent="0.25">
      <c r="A305" s="93"/>
      <c r="B305" s="194"/>
      <c r="C305" s="191"/>
      <c r="D305" s="80"/>
    </row>
    <row r="306" spans="1:4" ht="15.75" customHeight="1" x14ac:dyDescent="0.25">
      <c r="A306" s="93"/>
      <c r="B306" s="194"/>
      <c r="C306" s="191"/>
      <c r="D306" s="80"/>
    </row>
    <row r="307" spans="1:4" ht="15.75" customHeight="1" x14ac:dyDescent="0.25">
      <c r="A307" s="93"/>
      <c r="B307" s="194"/>
      <c r="C307" s="191"/>
      <c r="D307" s="80"/>
    </row>
    <row r="308" spans="1:4" ht="15.75" customHeight="1" x14ac:dyDescent="0.25">
      <c r="A308" s="93"/>
      <c r="B308" s="194"/>
      <c r="C308" s="191"/>
      <c r="D308" s="80"/>
    </row>
    <row r="309" spans="1:4" ht="15.75" customHeight="1" x14ac:dyDescent="0.25">
      <c r="A309" s="93"/>
      <c r="B309" s="194"/>
      <c r="C309" s="191"/>
      <c r="D309" s="80"/>
    </row>
    <row r="310" spans="1:4" ht="15.75" customHeight="1" x14ac:dyDescent="0.25">
      <c r="A310" s="93"/>
      <c r="B310" s="194"/>
      <c r="C310" s="191"/>
      <c r="D310" s="80"/>
    </row>
    <row r="311" spans="1:4" ht="15.75" customHeight="1" x14ac:dyDescent="0.25">
      <c r="A311" s="93"/>
      <c r="B311" s="194"/>
      <c r="C311" s="191"/>
      <c r="D311" s="80"/>
    </row>
    <row r="312" spans="1:4" ht="15.75" customHeight="1" x14ac:dyDescent="0.25">
      <c r="A312" s="93"/>
      <c r="B312" s="194"/>
      <c r="C312" s="191"/>
      <c r="D312" s="80"/>
    </row>
    <row r="313" spans="1:4" ht="15.75" customHeight="1" x14ac:dyDescent="0.25">
      <c r="A313" s="93"/>
      <c r="B313" s="194"/>
      <c r="C313" s="191"/>
      <c r="D313" s="80"/>
    </row>
    <row r="314" spans="1:4" ht="15.75" customHeight="1" x14ac:dyDescent="0.25">
      <c r="A314" s="93"/>
      <c r="B314" s="194"/>
      <c r="C314" s="191"/>
      <c r="D314" s="80"/>
    </row>
    <row r="315" spans="1:4" ht="15.75" customHeight="1" x14ac:dyDescent="0.25">
      <c r="A315" s="93"/>
      <c r="B315" s="194"/>
      <c r="C315" s="191"/>
      <c r="D315" s="80"/>
    </row>
    <row r="316" spans="1:4" ht="15.75" customHeight="1" x14ac:dyDescent="0.25">
      <c r="A316" s="93"/>
      <c r="B316" s="194"/>
      <c r="C316" s="191"/>
      <c r="D316" s="80"/>
    </row>
    <row r="317" spans="1:4" ht="15.75" customHeight="1" x14ac:dyDescent="0.25">
      <c r="A317" s="93"/>
      <c r="B317" s="194"/>
      <c r="C317" s="191"/>
      <c r="D317" s="80"/>
    </row>
    <row r="318" spans="1:4" ht="15.75" customHeight="1" x14ac:dyDescent="0.25">
      <c r="A318" s="93"/>
      <c r="B318" s="194"/>
      <c r="C318" s="191"/>
      <c r="D318" s="80"/>
    </row>
    <row r="319" spans="1:4" ht="15.75" customHeight="1" x14ac:dyDescent="0.25">
      <c r="A319" s="93"/>
      <c r="B319" s="194"/>
      <c r="C319" s="191"/>
      <c r="D319" s="80"/>
    </row>
    <row r="320" spans="1:4" ht="15.75" customHeight="1" x14ac:dyDescent="0.25">
      <c r="A320" s="93"/>
      <c r="B320" s="194"/>
      <c r="C320" s="191"/>
      <c r="D320" s="80"/>
    </row>
    <row r="321" spans="1:4" ht="15.75" customHeight="1" x14ac:dyDescent="0.25">
      <c r="A321" s="93"/>
      <c r="B321" s="194"/>
      <c r="C321" s="191"/>
      <c r="D321" s="80"/>
    </row>
    <row r="322" spans="1:4" ht="15.75" customHeight="1" x14ac:dyDescent="0.25">
      <c r="A322" s="93"/>
      <c r="B322" s="194"/>
      <c r="C322" s="191"/>
      <c r="D322" s="80"/>
    </row>
    <row r="323" spans="1:4" ht="15.75" customHeight="1" x14ac:dyDescent="0.25">
      <c r="A323" s="93"/>
      <c r="B323" s="194"/>
      <c r="C323" s="191"/>
      <c r="D323" s="80"/>
    </row>
    <row r="324" spans="1:4" ht="15.75" customHeight="1" x14ac:dyDescent="0.25">
      <c r="A324" s="93"/>
      <c r="B324" s="194"/>
      <c r="C324" s="191"/>
      <c r="D324" s="80"/>
    </row>
    <row r="325" spans="1:4" ht="15.75" customHeight="1" x14ac:dyDescent="0.25">
      <c r="A325" s="93"/>
      <c r="B325" s="194"/>
      <c r="C325" s="191"/>
      <c r="D325" s="80"/>
    </row>
    <row r="326" spans="1:4" ht="15.75" customHeight="1" x14ac:dyDescent="0.25">
      <c r="A326" s="93"/>
      <c r="B326" s="194"/>
      <c r="C326" s="191"/>
      <c r="D326" s="80"/>
    </row>
    <row r="327" spans="1:4" ht="15.75" customHeight="1" x14ac:dyDescent="0.25">
      <c r="A327" s="93"/>
      <c r="B327" s="194"/>
      <c r="C327" s="191"/>
      <c r="D327" s="80"/>
    </row>
    <row r="328" spans="1:4" ht="15.75" customHeight="1" x14ac:dyDescent="0.25">
      <c r="A328" s="93"/>
      <c r="B328" s="194"/>
      <c r="C328" s="191"/>
      <c r="D328" s="80"/>
    </row>
    <row r="329" spans="1:4" ht="15.75" customHeight="1" x14ac:dyDescent="0.25">
      <c r="A329" s="93"/>
      <c r="B329" s="194"/>
      <c r="C329" s="191"/>
      <c r="D329" s="80"/>
    </row>
    <row r="330" spans="1:4" ht="15.75" customHeight="1" x14ac:dyDescent="0.25">
      <c r="A330" s="93"/>
      <c r="B330" s="194"/>
      <c r="C330" s="191"/>
      <c r="D330" s="80"/>
    </row>
    <row r="331" spans="1:4" ht="15.75" customHeight="1" x14ac:dyDescent="0.25">
      <c r="A331" s="93"/>
      <c r="B331" s="194"/>
      <c r="C331" s="191"/>
      <c r="D331" s="80"/>
    </row>
    <row r="332" spans="1:4" ht="15.75" customHeight="1" x14ac:dyDescent="0.25">
      <c r="A332" s="93"/>
      <c r="B332" s="194"/>
      <c r="C332" s="191"/>
      <c r="D332" s="80"/>
    </row>
    <row r="333" spans="1:4" ht="15.75" customHeight="1" x14ac:dyDescent="0.25">
      <c r="A333" s="93"/>
      <c r="B333" s="194"/>
      <c r="C333" s="191"/>
      <c r="D333" s="80"/>
    </row>
    <row r="334" spans="1:4" ht="15.75" customHeight="1" x14ac:dyDescent="0.25">
      <c r="A334" s="93"/>
      <c r="B334" s="194"/>
      <c r="C334" s="191"/>
      <c r="D334" s="80"/>
    </row>
    <row r="335" spans="1:4" ht="15.75" customHeight="1" x14ac:dyDescent="0.25">
      <c r="A335" s="93"/>
      <c r="B335" s="194"/>
      <c r="C335" s="191"/>
      <c r="D335" s="80"/>
    </row>
    <row r="336" spans="1:4" ht="15.75" customHeight="1" x14ac:dyDescent="0.25">
      <c r="A336" s="93"/>
      <c r="B336" s="194"/>
      <c r="C336" s="191"/>
      <c r="D336" s="80"/>
    </row>
    <row r="337" spans="1:4" ht="15.75" customHeight="1" x14ac:dyDescent="0.25">
      <c r="A337" s="93"/>
      <c r="B337" s="194"/>
      <c r="C337" s="191"/>
      <c r="D337" s="80"/>
    </row>
    <row r="338" spans="1:4" ht="15.75" customHeight="1" x14ac:dyDescent="0.25">
      <c r="A338" s="93"/>
      <c r="B338" s="194"/>
      <c r="C338" s="191"/>
      <c r="D338" s="80"/>
    </row>
    <row r="339" spans="1:4" ht="15.75" customHeight="1" x14ac:dyDescent="0.25">
      <c r="A339" s="93"/>
      <c r="B339" s="194"/>
      <c r="C339" s="191"/>
      <c r="D339" s="80"/>
    </row>
    <row r="340" spans="1:4" ht="15.75" customHeight="1" x14ac:dyDescent="0.25">
      <c r="A340" s="93"/>
      <c r="B340" s="194"/>
      <c r="C340" s="191"/>
      <c r="D340" s="80"/>
    </row>
    <row r="341" spans="1:4" ht="15.75" customHeight="1" x14ac:dyDescent="0.25">
      <c r="A341" s="93"/>
      <c r="B341" s="194"/>
      <c r="C341" s="191"/>
      <c r="D341" s="80"/>
    </row>
    <row r="342" spans="1:4" ht="15.75" customHeight="1" x14ac:dyDescent="0.25">
      <c r="A342" s="93"/>
      <c r="B342" s="194"/>
      <c r="C342" s="191"/>
      <c r="D342" s="80"/>
    </row>
    <row r="343" spans="1:4" ht="15.75" customHeight="1" x14ac:dyDescent="0.25">
      <c r="A343" s="93"/>
      <c r="B343" s="194"/>
      <c r="C343" s="191"/>
      <c r="D343" s="80"/>
    </row>
    <row r="344" spans="1:4" ht="15.75" customHeight="1" x14ac:dyDescent="0.25">
      <c r="A344" s="93"/>
      <c r="B344" s="194"/>
      <c r="C344" s="191"/>
      <c r="D344" s="80"/>
    </row>
    <row r="345" spans="1:4" ht="15.75" customHeight="1" x14ac:dyDescent="0.25">
      <c r="A345" s="93"/>
      <c r="B345" s="194"/>
      <c r="C345" s="191"/>
      <c r="D345" s="80"/>
    </row>
    <row r="346" spans="1:4" ht="15.75" customHeight="1" x14ac:dyDescent="0.25">
      <c r="A346" s="93"/>
      <c r="B346" s="194"/>
      <c r="C346" s="191"/>
      <c r="D346" s="80"/>
    </row>
    <row r="347" spans="1:4" ht="15.75" customHeight="1" x14ac:dyDescent="0.25">
      <c r="A347" s="93"/>
      <c r="B347" s="194"/>
      <c r="C347" s="191"/>
      <c r="D347" s="80"/>
    </row>
    <row r="348" spans="1:4" ht="15.75" customHeight="1" x14ac:dyDescent="0.25">
      <c r="A348" s="93"/>
      <c r="B348" s="194"/>
      <c r="C348" s="191"/>
      <c r="D348" s="80"/>
    </row>
    <row r="349" spans="1:4" ht="15.75" customHeight="1" x14ac:dyDescent="0.25">
      <c r="A349" s="93"/>
      <c r="B349" s="194"/>
      <c r="C349" s="191"/>
      <c r="D349" s="80"/>
    </row>
    <row r="350" spans="1:4" ht="15.75" customHeight="1" x14ac:dyDescent="0.25">
      <c r="A350" s="93"/>
      <c r="B350" s="194"/>
      <c r="C350" s="191"/>
      <c r="D350" s="80"/>
    </row>
    <row r="351" spans="1:4" ht="15.75" customHeight="1" x14ac:dyDescent="0.25">
      <c r="A351" s="93"/>
      <c r="B351" s="194"/>
      <c r="C351" s="191"/>
      <c r="D351" s="80"/>
    </row>
    <row r="352" spans="1:4" ht="15.75" customHeight="1" x14ac:dyDescent="0.25">
      <c r="A352" s="93"/>
      <c r="B352" s="194"/>
      <c r="C352" s="191"/>
      <c r="D352" s="80"/>
    </row>
    <row r="353" spans="1:4" ht="15.75" customHeight="1" x14ac:dyDescent="0.25">
      <c r="A353" s="93"/>
      <c r="B353" s="194"/>
      <c r="C353" s="191"/>
      <c r="D353" s="80"/>
    </row>
    <row r="354" spans="1:4" ht="15.75" customHeight="1" x14ac:dyDescent="0.25">
      <c r="A354" s="93"/>
      <c r="B354" s="194"/>
      <c r="C354" s="191"/>
      <c r="D354" s="80"/>
    </row>
    <row r="355" spans="1:4" ht="15.75" customHeight="1" x14ac:dyDescent="0.25">
      <c r="A355" s="93"/>
      <c r="B355" s="194"/>
      <c r="C355" s="191"/>
      <c r="D355" s="80"/>
    </row>
    <row r="356" spans="1:4" ht="15.75" customHeight="1" x14ac:dyDescent="0.25">
      <c r="A356" s="93"/>
      <c r="B356" s="194"/>
      <c r="C356" s="191"/>
      <c r="D356" s="80"/>
    </row>
    <row r="357" spans="1:4" ht="15.75" customHeight="1" x14ac:dyDescent="0.25">
      <c r="A357" s="93"/>
      <c r="B357" s="194"/>
      <c r="C357" s="191"/>
      <c r="D357" s="80"/>
    </row>
    <row r="358" spans="1:4" ht="15.75" customHeight="1" x14ac:dyDescent="0.25">
      <c r="A358" s="93"/>
      <c r="B358" s="194"/>
      <c r="C358" s="191"/>
      <c r="D358" s="80"/>
    </row>
    <row r="359" spans="1:4" ht="15.75" customHeight="1" x14ac:dyDescent="0.25">
      <c r="A359" s="93"/>
      <c r="B359" s="194"/>
      <c r="C359" s="191"/>
      <c r="D359" s="80"/>
    </row>
    <row r="360" spans="1:4" ht="15.75" customHeight="1" x14ac:dyDescent="0.25">
      <c r="A360" s="93"/>
      <c r="B360" s="194"/>
      <c r="C360" s="191"/>
      <c r="D360" s="80"/>
    </row>
    <row r="361" spans="1:4" ht="15.75" customHeight="1" x14ac:dyDescent="0.25">
      <c r="A361" s="93"/>
      <c r="B361" s="194"/>
      <c r="C361" s="191"/>
      <c r="D361" s="80"/>
    </row>
    <row r="362" spans="1:4" ht="15.75" customHeight="1" x14ac:dyDescent="0.25">
      <c r="A362" s="93"/>
      <c r="B362" s="194"/>
      <c r="C362" s="191"/>
      <c r="D362" s="80"/>
    </row>
    <row r="363" spans="1:4" ht="15.75" customHeight="1" x14ac:dyDescent="0.25">
      <c r="A363" s="93"/>
      <c r="B363" s="194"/>
      <c r="C363" s="191"/>
      <c r="D363" s="80"/>
    </row>
    <row r="364" spans="1:4" ht="15.75" customHeight="1" x14ac:dyDescent="0.25">
      <c r="A364" s="93"/>
      <c r="B364" s="194"/>
      <c r="C364" s="191"/>
      <c r="D364" s="80"/>
    </row>
    <row r="365" spans="1:4" ht="15.75" customHeight="1" x14ac:dyDescent="0.25">
      <c r="A365" s="93"/>
      <c r="B365" s="194"/>
      <c r="C365" s="191"/>
      <c r="D365" s="80"/>
    </row>
    <row r="366" spans="1:4" ht="15.75" customHeight="1" x14ac:dyDescent="0.25">
      <c r="A366" s="93"/>
      <c r="B366" s="194"/>
      <c r="C366" s="191"/>
      <c r="D366" s="80"/>
    </row>
    <row r="367" spans="1:4" ht="15.75" customHeight="1" x14ac:dyDescent="0.25">
      <c r="A367" s="93"/>
      <c r="B367" s="194"/>
      <c r="C367" s="191"/>
      <c r="D367" s="80"/>
    </row>
    <row r="368" spans="1:4" ht="15.75" customHeight="1" x14ac:dyDescent="0.25">
      <c r="A368" s="93"/>
      <c r="B368" s="194"/>
      <c r="C368" s="191"/>
      <c r="D368" s="80"/>
    </row>
    <row r="369" spans="1:4" ht="15.75" customHeight="1" x14ac:dyDescent="0.25">
      <c r="A369" s="93"/>
      <c r="B369" s="194"/>
      <c r="C369" s="191"/>
      <c r="D369" s="80"/>
    </row>
    <row r="370" spans="1:4" ht="15.75" customHeight="1" x14ac:dyDescent="0.25">
      <c r="A370" s="93"/>
      <c r="B370" s="194"/>
      <c r="C370" s="191"/>
      <c r="D370" s="80"/>
    </row>
    <row r="371" spans="1:4" ht="15.75" customHeight="1" x14ac:dyDescent="0.25">
      <c r="A371" s="93"/>
      <c r="B371" s="194"/>
      <c r="C371" s="191"/>
      <c r="D371" s="80"/>
    </row>
    <row r="372" spans="1:4" ht="15.75" customHeight="1" x14ac:dyDescent="0.25">
      <c r="A372" s="93"/>
      <c r="B372" s="194"/>
      <c r="C372" s="191"/>
      <c r="D372" s="80"/>
    </row>
    <row r="373" spans="1:4" ht="15.75" customHeight="1" x14ac:dyDescent="0.25">
      <c r="A373" s="93"/>
      <c r="B373" s="194"/>
      <c r="C373" s="191"/>
      <c r="D373" s="80"/>
    </row>
    <row r="374" spans="1:4" ht="15.75" customHeight="1" x14ac:dyDescent="0.25">
      <c r="A374" s="93"/>
      <c r="B374" s="194"/>
      <c r="C374" s="191"/>
      <c r="D374" s="80"/>
    </row>
    <row r="375" spans="1:4" ht="15.75" customHeight="1" x14ac:dyDescent="0.25">
      <c r="A375" s="93"/>
      <c r="B375" s="194"/>
      <c r="C375" s="191"/>
      <c r="D375" s="80"/>
    </row>
    <row r="376" spans="1:4" ht="15.75" customHeight="1" x14ac:dyDescent="0.25">
      <c r="A376" s="93"/>
      <c r="B376" s="194"/>
      <c r="C376" s="191"/>
      <c r="D376" s="80"/>
    </row>
    <row r="377" spans="1:4" ht="15.75" customHeight="1" x14ac:dyDescent="0.25">
      <c r="A377" s="93"/>
      <c r="B377" s="194"/>
      <c r="C377" s="191"/>
      <c r="D377" s="80"/>
    </row>
    <row r="378" spans="1:4" ht="15.75" customHeight="1" x14ac:dyDescent="0.25">
      <c r="A378" s="93"/>
      <c r="B378" s="194"/>
      <c r="C378" s="191"/>
      <c r="D378" s="80"/>
    </row>
    <row r="379" spans="1:4" ht="15.75" customHeight="1" x14ac:dyDescent="0.25">
      <c r="A379" s="93"/>
      <c r="B379" s="194"/>
      <c r="C379" s="191"/>
      <c r="D379" s="80"/>
    </row>
    <row r="380" spans="1:4" ht="15.75" customHeight="1" x14ac:dyDescent="0.25">
      <c r="A380" s="93"/>
      <c r="B380" s="194"/>
      <c r="C380" s="191"/>
      <c r="D380" s="80"/>
    </row>
    <row r="381" spans="1:4" ht="15.75" customHeight="1" x14ac:dyDescent="0.25">
      <c r="A381" s="93"/>
      <c r="B381" s="194"/>
      <c r="C381" s="191"/>
      <c r="D381" s="80"/>
    </row>
    <row r="382" spans="1:4" ht="15.75" customHeight="1" x14ac:dyDescent="0.25">
      <c r="A382" s="93"/>
      <c r="B382" s="194"/>
      <c r="C382" s="191"/>
      <c r="D382" s="80"/>
    </row>
    <row r="383" spans="1:4" ht="15.75" customHeight="1" x14ac:dyDescent="0.25">
      <c r="A383" s="93"/>
      <c r="B383" s="194"/>
      <c r="C383" s="191"/>
      <c r="D383" s="80"/>
    </row>
    <row r="384" spans="1:4" ht="15.75" customHeight="1" x14ac:dyDescent="0.25">
      <c r="A384" s="93"/>
      <c r="B384" s="194"/>
      <c r="C384" s="191"/>
      <c r="D384" s="80"/>
    </row>
    <row r="385" spans="1:4" ht="15.75" customHeight="1" x14ac:dyDescent="0.25">
      <c r="A385" s="93"/>
      <c r="B385" s="194"/>
      <c r="C385" s="191"/>
      <c r="D385" s="80"/>
    </row>
    <row r="386" spans="1:4" ht="15.75" customHeight="1" x14ac:dyDescent="0.25">
      <c r="A386" s="93"/>
      <c r="B386" s="194"/>
      <c r="C386" s="191"/>
      <c r="D386" s="80"/>
    </row>
    <row r="387" spans="1:4" ht="15.75" customHeight="1" x14ac:dyDescent="0.25">
      <c r="A387" s="93"/>
      <c r="B387" s="194"/>
      <c r="C387" s="191"/>
      <c r="D387" s="80"/>
    </row>
    <row r="388" spans="1:4" ht="15.75" customHeight="1" x14ac:dyDescent="0.25">
      <c r="A388" s="93"/>
      <c r="B388" s="194"/>
      <c r="C388" s="191"/>
      <c r="D388" s="80"/>
    </row>
    <row r="389" spans="1:4" ht="15.75" customHeight="1" x14ac:dyDescent="0.25">
      <c r="A389" s="93"/>
      <c r="B389" s="194"/>
      <c r="C389" s="191"/>
      <c r="D389" s="80"/>
    </row>
    <row r="390" spans="1:4" ht="15.75" customHeight="1" x14ac:dyDescent="0.25">
      <c r="A390" s="93"/>
      <c r="B390" s="194"/>
      <c r="C390" s="191"/>
      <c r="D390" s="80"/>
    </row>
    <row r="391" spans="1:4" ht="15.75" customHeight="1" x14ac:dyDescent="0.25">
      <c r="A391" s="93"/>
      <c r="B391" s="194"/>
      <c r="C391" s="191"/>
      <c r="D391" s="80"/>
    </row>
    <row r="392" spans="1:4" ht="15.75" customHeight="1" x14ac:dyDescent="0.25">
      <c r="A392" s="93"/>
      <c r="B392" s="194"/>
      <c r="C392" s="191"/>
      <c r="D392" s="80"/>
    </row>
    <row r="393" spans="1:4" ht="15.75" customHeight="1" x14ac:dyDescent="0.25">
      <c r="A393" s="93"/>
      <c r="B393" s="194"/>
      <c r="C393" s="191"/>
      <c r="D393" s="80"/>
    </row>
    <row r="394" spans="1:4" ht="15.75" customHeight="1" x14ac:dyDescent="0.25">
      <c r="A394" s="93"/>
      <c r="B394" s="194"/>
      <c r="C394" s="191"/>
      <c r="D394" s="80"/>
    </row>
    <row r="395" spans="1:4" ht="15.75" customHeight="1" x14ac:dyDescent="0.25">
      <c r="A395" s="93"/>
      <c r="B395" s="194"/>
      <c r="C395" s="191"/>
      <c r="D395" s="80"/>
    </row>
    <row r="396" spans="1:4" ht="15.75" customHeight="1" x14ac:dyDescent="0.25">
      <c r="A396" s="93"/>
      <c r="B396" s="194"/>
      <c r="C396" s="191"/>
      <c r="D396" s="80"/>
    </row>
    <row r="397" spans="1:4" ht="15.75" customHeight="1" x14ac:dyDescent="0.25">
      <c r="A397" s="93"/>
      <c r="B397" s="194"/>
      <c r="C397" s="191"/>
      <c r="D397" s="80"/>
    </row>
    <row r="398" spans="1:4" ht="15.75" customHeight="1" x14ac:dyDescent="0.25">
      <c r="A398" s="93"/>
      <c r="B398" s="194"/>
      <c r="C398" s="191"/>
      <c r="D398" s="80"/>
    </row>
    <row r="399" spans="1:4" ht="15.75" customHeight="1" x14ac:dyDescent="0.25">
      <c r="A399" s="93"/>
      <c r="B399" s="194"/>
      <c r="C399" s="191"/>
      <c r="D399" s="80"/>
    </row>
    <row r="400" spans="1:4" ht="15.75" customHeight="1" x14ac:dyDescent="0.25">
      <c r="A400" s="93"/>
      <c r="B400" s="194"/>
      <c r="C400" s="191"/>
      <c r="D400" s="80"/>
    </row>
    <row r="401" spans="1:4" ht="15.75" customHeight="1" x14ac:dyDescent="0.25">
      <c r="A401" s="93"/>
      <c r="B401" s="194"/>
      <c r="C401" s="191"/>
      <c r="D401" s="80"/>
    </row>
    <row r="402" spans="1:4" ht="15.75" customHeight="1" x14ac:dyDescent="0.25">
      <c r="A402" s="93"/>
      <c r="B402" s="194"/>
      <c r="C402" s="191"/>
      <c r="D402" s="80"/>
    </row>
    <row r="403" spans="1:4" ht="15.75" customHeight="1" x14ac:dyDescent="0.25">
      <c r="A403" s="93"/>
      <c r="B403" s="194"/>
      <c r="C403" s="191"/>
      <c r="D403" s="80"/>
    </row>
    <row r="404" spans="1:4" ht="15.75" customHeight="1" x14ac:dyDescent="0.25">
      <c r="A404" s="93"/>
      <c r="B404" s="194"/>
      <c r="C404" s="191"/>
      <c r="D404" s="80"/>
    </row>
    <row r="405" spans="1:4" ht="15.75" customHeight="1" x14ac:dyDescent="0.25">
      <c r="A405" s="93"/>
      <c r="B405" s="194"/>
      <c r="C405" s="191"/>
      <c r="D405" s="80"/>
    </row>
    <row r="406" spans="1:4" ht="15.75" customHeight="1" x14ac:dyDescent="0.25">
      <c r="A406" s="93"/>
      <c r="B406" s="194"/>
      <c r="C406" s="191"/>
      <c r="D406" s="80"/>
    </row>
    <row r="407" spans="1:4" ht="15.75" customHeight="1" x14ac:dyDescent="0.25">
      <c r="A407" s="93"/>
      <c r="B407" s="194"/>
      <c r="C407" s="191"/>
      <c r="D407" s="80"/>
    </row>
    <row r="408" spans="1:4" ht="15.75" customHeight="1" x14ac:dyDescent="0.25">
      <c r="A408" s="93"/>
      <c r="B408" s="194"/>
      <c r="C408" s="191"/>
      <c r="D408" s="80"/>
    </row>
    <row r="409" spans="1:4" ht="15.75" customHeight="1" x14ac:dyDescent="0.25">
      <c r="A409" s="93"/>
      <c r="B409" s="194"/>
      <c r="C409" s="191"/>
      <c r="D409" s="80"/>
    </row>
    <row r="410" spans="1:4" ht="15.75" customHeight="1" x14ac:dyDescent="0.25">
      <c r="A410" s="93"/>
      <c r="B410" s="194"/>
      <c r="C410" s="191"/>
      <c r="D410" s="80"/>
    </row>
    <row r="411" spans="1:4" ht="15.75" customHeight="1" x14ac:dyDescent="0.25">
      <c r="A411" s="93"/>
      <c r="B411" s="194"/>
      <c r="C411" s="191"/>
      <c r="D411" s="80"/>
    </row>
    <row r="412" spans="1:4" ht="15.75" customHeight="1" x14ac:dyDescent="0.25">
      <c r="A412" s="93"/>
      <c r="B412" s="194"/>
      <c r="C412" s="191"/>
      <c r="D412" s="80"/>
    </row>
    <row r="413" spans="1:4" ht="15.75" customHeight="1" x14ac:dyDescent="0.25">
      <c r="A413" s="93"/>
      <c r="B413" s="194"/>
      <c r="C413" s="191"/>
      <c r="D413" s="80"/>
    </row>
    <row r="414" spans="1:4" ht="15.75" customHeight="1" x14ac:dyDescent="0.25">
      <c r="A414" s="93"/>
      <c r="B414" s="194"/>
      <c r="C414" s="191"/>
      <c r="D414" s="80"/>
    </row>
    <row r="415" spans="1:4" ht="15.75" customHeight="1" x14ac:dyDescent="0.25">
      <c r="A415" s="93"/>
      <c r="B415" s="194"/>
      <c r="C415" s="191"/>
      <c r="D415" s="80"/>
    </row>
    <row r="416" spans="1:4" ht="15.75" customHeight="1" x14ac:dyDescent="0.25">
      <c r="A416" s="93"/>
      <c r="B416" s="194"/>
      <c r="C416" s="191"/>
      <c r="D416" s="80"/>
    </row>
    <row r="417" spans="1:4" ht="15.75" customHeight="1" x14ac:dyDescent="0.25">
      <c r="A417" s="93"/>
      <c r="B417" s="194"/>
      <c r="C417" s="191"/>
      <c r="D417" s="80"/>
    </row>
    <row r="418" spans="1:4" ht="15.75" customHeight="1" x14ac:dyDescent="0.25">
      <c r="A418" s="93"/>
      <c r="B418" s="194"/>
      <c r="C418" s="191"/>
      <c r="D418" s="80"/>
    </row>
    <row r="419" spans="1:4" ht="15.75" customHeight="1" x14ac:dyDescent="0.25">
      <c r="A419" s="93"/>
      <c r="B419" s="194"/>
      <c r="C419" s="191"/>
      <c r="D419" s="80"/>
    </row>
    <row r="420" spans="1:4" ht="15.75" customHeight="1" x14ac:dyDescent="0.25">
      <c r="A420" s="93"/>
      <c r="B420" s="194"/>
      <c r="C420" s="191"/>
      <c r="D420" s="80"/>
    </row>
    <row r="421" spans="1:4" ht="15.75" customHeight="1" x14ac:dyDescent="0.25">
      <c r="A421" s="93"/>
      <c r="B421" s="194"/>
      <c r="C421" s="191"/>
      <c r="D421" s="80"/>
    </row>
    <row r="422" spans="1:4" ht="15.75" customHeight="1" x14ac:dyDescent="0.25">
      <c r="A422" s="93"/>
      <c r="B422" s="194"/>
      <c r="C422" s="191"/>
      <c r="D422" s="80"/>
    </row>
    <row r="423" spans="1:4" ht="15.75" customHeight="1" x14ac:dyDescent="0.25">
      <c r="A423" s="93"/>
      <c r="B423" s="194"/>
      <c r="C423" s="191"/>
      <c r="D423" s="80"/>
    </row>
    <row r="424" spans="1:4" ht="15.75" customHeight="1" x14ac:dyDescent="0.25">
      <c r="A424" s="93"/>
      <c r="B424" s="194"/>
      <c r="C424" s="191"/>
      <c r="D424" s="80"/>
    </row>
    <row r="425" spans="1:4" ht="15.75" customHeight="1" x14ac:dyDescent="0.25">
      <c r="A425" s="93"/>
      <c r="B425" s="194"/>
      <c r="C425" s="191"/>
      <c r="D425" s="80"/>
    </row>
    <row r="426" spans="1:4" ht="15.75" customHeight="1" x14ac:dyDescent="0.25">
      <c r="A426" s="93"/>
      <c r="B426" s="194"/>
      <c r="C426" s="191"/>
      <c r="D426" s="80"/>
    </row>
    <row r="427" spans="1:4" ht="15.75" customHeight="1" x14ac:dyDescent="0.25">
      <c r="A427" s="93"/>
      <c r="B427" s="194"/>
      <c r="C427" s="191"/>
      <c r="D427" s="80"/>
    </row>
    <row r="428" spans="1:4" ht="15.75" customHeight="1" x14ac:dyDescent="0.25">
      <c r="A428" s="93"/>
      <c r="B428" s="194"/>
      <c r="C428" s="191"/>
      <c r="D428" s="80"/>
    </row>
    <row r="429" spans="1:4" ht="15.75" customHeight="1" x14ac:dyDescent="0.25">
      <c r="A429" s="93"/>
      <c r="B429" s="194"/>
      <c r="C429" s="191"/>
      <c r="D429" s="80"/>
    </row>
    <row r="430" spans="1:4" ht="15.75" customHeight="1" x14ac:dyDescent="0.25">
      <c r="A430" s="93"/>
      <c r="B430" s="194"/>
      <c r="C430" s="191"/>
      <c r="D430" s="80"/>
    </row>
    <row r="431" spans="1:4" ht="15.75" customHeight="1" x14ac:dyDescent="0.25">
      <c r="A431" s="93"/>
      <c r="B431" s="194"/>
      <c r="C431" s="191"/>
      <c r="D431" s="80"/>
    </row>
    <row r="432" spans="1:4" ht="15.75" customHeight="1" x14ac:dyDescent="0.25">
      <c r="A432" s="93"/>
      <c r="B432" s="194"/>
      <c r="C432" s="191"/>
      <c r="D432" s="80"/>
    </row>
    <row r="433" spans="1:4" ht="15.75" customHeight="1" x14ac:dyDescent="0.25">
      <c r="A433" s="93"/>
      <c r="B433" s="194"/>
      <c r="C433" s="191"/>
      <c r="D433" s="80"/>
    </row>
    <row r="434" spans="1:4" ht="15.75" customHeight="1" x14ac:dyDescent="0.25">
      <c r="A434" s="93"/>
      <c r="B434" s="194"/>
      <c r="C434" s="191"/>
      <c r="D434" s="80"/>
    </row>
    <row r="435" spans="1:4" ht="15.75" customHeight="1" x14ac:dyDescent="0.25">
      <c r="A435" s="93"/>
      <c r="B435" s="194"/>
      <c r="C435" s="191"/>
      <c r="D435" s="80"/>
    </row>
    <row r="436" spans="1:4" ht="15.75" customHeight="1" x14ac:dyDescent="0.25">
      <c r="A436" s="93"/>
      <c r="B436" s="194"/>
      <c r="C436" s="191"/>
      <c r="D436" s="80"/>
    </row>
    <row r="437" spans="1:4" ht="15.75" customHeight="1" x14ac:dyDescent="0.25">
      <c r="A437" s="93"/>
      <c r="B437" s="194"/>
      <c r="C437" s="191"/>
      <c r="D437" s="80"/>
    </row>
    <row r="438" spans="1:4" ht="15.75" customHeight="1" x14ac:dyDescent="0.25">
      <c r="A438" s="93"/>
      <c r="B438" s="194"/>
      <c r="C438" s="191"/>
      <c r="D438" s="80"/>
    </row>
    <row r="439" spans="1:4" ht="15.75" customHeight="1" x14ac:dyDescent="0.25">
      <c r="A439" s="93"/>
      <c r="B439" s="194"/>
      <c r="C439" s="191"/>
      <c r="D439" s="80"/>
    </row>
    <row r="440" spans="1:4" ht="15.75" customHeight="1" x14ac:dyDescent="0.25">
      <c r="A440" s="93"/>
      <c r="B440" s="194"/>
      <c r="C440" s="191"/>
      <c r="D440" s="80"/>
    </row>
    <row r="441" spans="1:4" ht="15.75" customHeight="1" x14ac:dyDescent="0.25">
      <c r="A441" s="93"/>
      <c r="B441" s="194"/>
      <c r="C441" s="191"/>
      <c r="D441" s="80"/>
    </row>
    <row r="442" spans="1:4" ht="15.75" customHeight="1" x14ac:dyDescent="0.25">
      <c r="A442" s="93"/>
      <c r="B442" s="194"/>
      <c r="C442" s="191"/>
      <c r="D442" s="80"/>
    </row>
    <row r="443" spans="1:4" ht="15.75" customHeight="1" x14ac:dyDescent="0.25">
      <c r="A443" s="93"/>
      <c r="B443" s="194"/>
      <c r="C443" s="191"/>
      <c r="D443" s="80"/>
    </row>
    <row r="444" spans="1:4" ht="15.75" customHeight="1" x14ac:dyDescent="0.25">
      <c r="A444" s="93"/>
      <c r="B444" s="194"/>
      <c r="C444" s="191"/>
      <c r="D444" s="80"/>
    </row>
    <row r="445" spans="1:4" ht="15.75" customHeight="1" x14ac:dyDescent="0.25">
      <c r="A445" s="93"/>
      <c r="B445" s="194"/>
      <c r="C445" s="191"/>
      <c r="D445" s="80"/>
    </row>
    <row r="446" spans="1:4" ht="15.75" customHeight="1" x14ac:dyDescent="0.25">
      <c r="A446" s="93"/>
      <c r="B446" s="194"/>
      <c r="C446" s="191"/>
      <c r="D446" s="80"/>
    </row>
    <row r="447" spans="1:4" ht="15.75" customHeight="1" x14ac:dyDescent="0.25">
      <c r="A447" s="93"/>
      <c r="B447" s="194"/>
      <c r="C447" s="191"/>
      <c r="D447" s="80"/>
    </row>
    <row r="448" spans="1:4" ht="15.75" customHeight="1" x14ac:dyDescent="0.25">
      <c r="A448" s="93"/>
      <c r="B448" s="194"/>
      <c r="C448" s="191"/>
      <c r="D448" s="80"/>
    </row>
    <row r="449" spans="1:4" ht="15.75" customHeight="1" x14ac:dyDescent="0.25">
      <c r="A449" s="93"/>
      <c r="B449" s="194"/>
      <c r="C449" s="191"/>
      <c r="D449" s="80"/>
    </row>
    <row r="450" spans="1:4" ht="15.75" customHeight="1" x14ac:dyDescent="0.25">
      <c r="A450" s="93"/>
      <c r="B450" s="194"/>
      <c r="C450" s="191"/>
      <c r="D450" s="80"/>
    </row>
    <row r="451" spans="1:4" ht="15.75" customHeight="1" x14ac:dyDescent="0.25">
      <c r="A451" s="93"/>
      <c r="B451" s="194"/>
      <c r="C451" s="191"/>
      <c r="D451" s="80"/>
    </row>
    <row r="452" spans="1:4" ht="15.75" customHeight="1" x14ac:dyDescent="0.25">
      <c r="A452" s="93"/>
      <c r="B452" s="194"/>
      <c r="C452" s="191"/>
      <c r="D452" s="80"/>
    </row>
    <row r="453" spans="1:4" ht="15.75" customHeight="1" x14ac:dyDescent="0.25">
      <c r="A453" s="93"/>
      <c r="B453" s="194"/>
      <c r="C453" s="191"/>
      <c r="D453" s="80"/>
    </row>
    <row r="454" spans="1:4" ht="15.75" customHeight="1" x14ac:dyDescent="0.25">
      <c r="A454" s="93"/>
      <c r="B454" s="194"/>
      <c r="C454" s="191"/>
      <c r="D454" s="80"/>
    </row>
    <row r="455" spans="1:4" ht="15.75" customHeight="1" x14ac:dyDescent="0.25">
      <c r="A455" s="93"/>
      <c r="B455" s="194"/>
      <c r="C455" s="191"/>
      <c r="D455" s="80"/>
    </row>
    <row r="456" spans="1:4" ht="15.75" customHeight="1" x14ac:dyDescent="0.25">
      <c r="A456" s="93"/>
      <c r="B456" s="194"/>
      <c r="C456" s="191"/>
      <c r="D456" s="80"/>
    </row>
    <row r="457" spans="1:4" ht="15.75" customHeight="1" x14ac:dyDescent="0.25">
      <c r="A457" s="93"/>
      <c r="B457" s="194"/>
      <c r="C457" s="191"/>
      <c r="D457" s="80"/>
    </row>
    <row r="458" spans="1:4" ht="15.75" customHeight="1" x14ac:dyDescent="0.25">
      <c r="A458" s="93"/>
      <c r="B458" s="194"/>
      <c r="C458" s="191"/>
      <c r="D458" s="80"/>
    </row>
    <row r="459" spans="1:4" ht="15.75" customHeight="1" x14ac:dyDescent="0.25">
      <c r="A459" s="93"/>
      <c r="B459" s="194"/>
      <c r="C459" s="191"/>
      <c r="D459" s="80"/>
    </row>
    <row r="460" spans="1:4" ht="15.75" customHeight="1" x14ac:dyDescent="0.25">
      <c r="A460" s="93"/>
      <c r="B460" s="194"/>
      <c r="C460" s="191"/>
      <c r="D460" s="80"/>
    </row>
    <row r="461" spans="1:4" ht="15.75" customHeight="1" x14ac:dyDescent="0.25">
      <c r="A461" s="93"/>
      <c r="B461" s="194"/>
      <c r="C461" s="191"/>
      <c r="D461" s="80"/>
    </row>
    <row r="462" spans="1:4" ht="15.75" customHeight="1" x14ac:dyDescent="0.25">
      <c r="A462" s="93"/>
      <c r="B462" s="194"/>
      <c r="C462" s="191"/>
      <c r="D462" s="80"/>
    </row>
    <row r="463" spans="1:4" ht="15.75" customHeight="1" x14ac:dyDescent="0.25">
      <c r="A463" s="93"/>
      <c r="B463" s="194"/>
      <c r="C463" s="191"/>
      <c r="D463" s="80"/>
    </row>
    <row r="464" spans="1:4" ht="15.75" customHeight="1" x14ac:dyDescent="0.25">
      <c r="A464" s="93"/>
      <c r="B464" s="194"/>
      <c r="C464" s="191"/>
      <c r="D464" s="80"/>
    </row>
    <row r="465" spans="1:4" ht="15.75" customHeight="1" x14ac:dyDescent="0.25">
      <c r="A465" s="93"/>
      <c r="B465" s="194"/>
      <c r="C465" s="191"/>
      <c r="D465" s="80"/>
    </row>
    <row r="466" spans="1:4" ht="15.75" customHeight="1" x14ac:dyDescent="0.25">
      <c r="A466" s="93"/>
      <c r="B466" s="194"/>
      <c r="C466" s="191"/>
      <c r="D466" s="80"/>
    </row>
    <row r="467" spans="1:4" ht="15.75" customHeight="1" x14ac:dyDescent="0.25">
      <c r="A467" s="93"/>
      <c r="B467" s="194"/>
      <c r="C467" s="191"/>
      <c r="D467" s="80"/>
    </row>
    <row r="468" spans="1:4" ht="15.75" customHeight="1" x14ac:dyDescent="0.25">
      <c r="A468" s="93"/>
      <c r="B468" s="194"/>
      <c r="C468" s="191"/>
      <c r="D468" s="80"/>
    </row>
    <row r="469" spans="1:4" ht="15.75" customHeight="1" x14ac:dyDescent="0.25">
      <c r="A469" s="93"/>
      <c r="B469" s="194"/>
      <c r="C469" s="191"/>
      <c r="D469" s="80"/>
    </row>
    <row r="470" spans="1:4" ht="15.75" customHeight="1" x14ac:dyDescent="0.25">
      <c r="A470" s="93"/>
      <c r="B470" s="194"/>
      <c r="C470" s="191"/>
      <c r="D470" s="80"/>
    </row>
    <row r="471" spans="1:4" ht="15.75" customHeight="1" x14ac:dyDescent="0.25">
      <c r="A471" s="93"/>
      <c r="B471" s="194"/>
      <c r="C471" s="191"/>
      <c r="D471" s="80"/>
    </row>
    <row r="472" spans="1:4" ht="15.75" customHeight="1" x14ac:dyDescent="0.25">
      <c r="A472" s="93"/>
      <c r="B472" s="194"/>
      <c r="C472" s="191"/>
      <c r="D472" s="80"/>
    </row>
    <row r="473" spans="1:4" ht="15.75" customHeight="1" x14ac:dyDescent="0.25">
      <c r="A473" s="93"/>
      <c r="B473" s="194"/>
      <c r="C473" s="191"/>
      <c r="D473" s="80"/>
    </row>
    <row r="474" spans="1:4" ht="15.75" customHeight="1" x14ac:dyDescent="0.25">
      <c r="A474" s="93"/>
      <c r="B474" s="194"/>
      <c r="C474" s="191"/>
      <c r="D474" s="80"/>
    </row>
    <row r="475" spans="1:4" ht="15.75" customHeight="1" x14ac:dyDescent="0.25">
      <c r="A475" s="93"/>
      <c r="B475" s="194"/>
      <c r="C475" s="191"/>
      <c r="D475" s="80"/>
    </row>
    <row r="476" spans="1:4" ht="15.75" customHeight="1" x14ac:dyDescent="0.25">
      <c r="A476" s="93"/>
      <c r="B476" s="194"/>
      <c r="C476" s="191"/>
      <c r="D476" s="80"/>
    </row>
    <row r="477" spans="1:4" ht="15.75" customHeight="1" x14ac:dyDescent="0.25">
      <c r="A477" s="93"/>
      <c r="B477" s="194"/>
      <c r="C477" s="191"/>
      <c r="D477" s="80"/>
    </row>
    <row r="478" spans="1:4" ht="15.75" customHeight="1" x14ac:dyDescent="0.25">
      <c r="A478" s="93"/>
      <c r="B478" s="194"/>
      <c r="C478" s="191"/>
      <c r="D478" s="80"/>
    </row>
    <row r="479" spans="1:4" ht="15.75" customHeight="1" x14ac:dyDescent="0.25">
      <c r="A479" s="93"/>
      <c r="B479" s="194"/>
      <c r="C479" s="191"/>
      <c r="D479" s="80"/>
    </row>
    <row r="480" spans="1:4" ht="15.75" customHeight="1" x14ac:dyDescent="0.25">
      <c r="A480" s="93"/>
      <c r="B480" s="194"/>
      <c r="C480" s="191"/>
      <c r="D480" s="80"/>
    </row>
    <row r="481" spans="1:4" ht="15.75" customHeight="1" x14ac:dyDescent="0.25">
      <c r="A481" s="93"/>
      <c r="B481" s="194"/>
      <c r="C481" s="191"/>
      <c r="D481" s="80"/>
    </row>
    <row r="482" spans="1:4" ht="15.75" customHeight="1" x14ac:dyDescent="0.25">
      <c r="A482" s="93"/>
      <c r="B482" s="194"/>
      <c r="C482" s="191"/>
      <c r="D482" s="80"/>
    </row>
    <row r="483" spans="1:4" ht="15.75" customHeight="1" x14ac:dyDescent="0.25">
      <c r="A483" s="93"/>
      <c r="B483" s="194"/>
      <c r="C483" s="191"/>
      <c r="D483" s="80"/>
    </row>
    <row r="484" spans="1:4" ht="15.75" customHeight="1" x14ac:dyDescent="0.25">
      <c r="A484" s="93"/>
      <c r="B484" s="194"/>
      <c r="C484" s="191"/>
      <c r="D484" s="80"/>
    </row>
    <row r="485" spans="1:4" ht="15.75" customHeight="1" x14ac:dyDescent="0.25">
      <c r="A485" s="93"/>
      <c r="B485" s="194"/>
      <c r="C485" s="191"/>
      <c r="D485" s="80"/>
    </row>
    <row r="486" spans="1:4" ht="15.75" customHeight="1" x14ac:dyDescent="0.25">
      <c r="A486" s="93"/>
      <c r="B486" s="194"/>
      <c r="C486" s="191"/>
      <c r="D486" s="80"/>
    </row>
    <row r="487" spans="1:4" ht="15.75" customHeight="1" x14ac:dyDescent="0.25">
      <c r="A487" s="93"/>
      <c r="B487" s="194"/>
      <c r="C487" s="191"/>
      <c r="D487" s="80"/>
    </row>
    <row r="488" spans="1:4" ht="15.75" customHeight="1" x14ac:dyDescent="0.25">
      <c r="A488" s="93"/>
      <c r="B488" s="194"/>
      <c r="C488" s="191"/>
      <c r="D488" s="80"/>
    </row>
    <row r="489" spans="1:4" ht="15.75" customHeight="1" x14ac:dyDescent="0.25">
      <c r="A489" s="93"/>
      <c r="B489" s="194"/>
      <c r="C489" s="191"/>
      <c r="D489" s="80"/>
    </row>
    <row r="490" spans="1:4" ht="15.75" customHeight="1" x14ac:dyDescent="0.25">
      <c r="A490" s="93"/>
      <c r="B490" s="194"/>
      <c r="C490" s="191"/>
      <c r="D490" s="80"/>
    </row>
    <row r="491" spans="1:4" ht="15.75" customHeight="1" x14ac:dyDescent="0.25">
      <c r="A491" s="93"/>
      <c r="B491" s="194"/>
      <c r="C491" s="191"/>
      <c r="D491" s="80"/>
    </row>
    <row r="492" spans="1:4" ht="15.75" customHeight="1" x14ac:dyDescent="0.25">
      <c r="A492" s="93"/>
      <c r="B492" s="194"/>
      <c r="C492" s="191"/>
      <c r="D492" s="80"/>
    </row>
    <row r="493" spans="1:4" ht="15.75" customHeight="1" x14ac:dyDescent="0.25">
      <c r="A493" s="93"/>
      <c r="B493" s="194"/>
      <c r="C493" s="191"/>
      <c r="D493" s="80"/>
    </row>
    <row r="494" spans="1:4" ht="15.75" customHeight="1" x14ac:dyDescent="0.25">
      <c r="A494" s="93"/>
      <c r="B494" s="194"/>
      <c r="C494" s="191"/>
      <c r="D494" s="80"/>
    </row>
    <row r="495" spans="1:4" ht="15.75" customHeight="1" x14ac:dyDescent="0.25">
      <c r="A495" s="93"/>
      <c r="B495" s="194"/>
      <c r="C495" s="191"/>
      <c r="D495" s="80"/>
    </row>
    <row r="496" spans="1:4" ht="15.75" customHeight="1" x14ac:dyDescent="0.25">
      <c r="A496" s="93"/>
      <c r="B496" s="194"/>
      <c r="C496" s="191"/>
      <c r="D496" s="80"/>
    </row>
    <row r="497" spans="1:4" ht="15.75" customHeight="1" x14ac:dyDescent="0.25">
      <c r="A497" s="93"/>
      <c r="B497" s="194"/>
      <c r="C497" s="191"/>
      <c r="D497" s="80"/>
    </row>
    <row r="498" spans="1:4" ht="15.75" customHeight="1" x14ac:dyDescent="0.25">
      <c r="A498" s="93"/>
      <c r="B498" s="194"/>
      <c r="C498" s="191"/>
      <c r="D498" s="80"/>
    </row>
    <row r="499" spans="1:4" ht="15.75" customHeight="1" x14ac:dyDescent="0.25">
      <c r="A499" s="93"/>
      <c r="B499" s="194"/>
      <c r="C499" s="191"/>
      <c r="D499" s="80"/>
    </row>
    <row r="500" spans="1:4" ht="15.75" customHeight="1" x14ac:dyDescent="0.25">
      <c r="A500" s="93"/>
      <c r="B500" s="194"/>
      <c r="C500" s="191"/>
      <c r="D500" s="80"/>
    </row>
    <row r="501" spans="1:4" ht="15.75" customHeight="1" x14ac:dyDescent="0.25">
      <c r="A501" s="93"/>
      <c r="B501" s="194"/>
      <c r="C501" s="191"/>
      <c r="D501" s="80"/>
    </row>
    <row r="502" spans="1:4" ht="15.75" customHeight="1" x14ac:dyDescent="0.25">
      <c r="A502" s="93"/>
      <c r="B502" s="194"/>
      <c r="C502" s="191"/>
      <c r="D502" s="80"/>
    </row>
    <row r="503" spans="1:4" ht="15.75" customHeight="1" x14ac:dyDescent="0.25">
      <c r="A503" s="93"/>
      <c r="B503" s="194"/>
      <c r="C503" s="191"/>
      <c r="D503" s="80"/>
    </row>
    <row r="504" spans="1:4" ht="15.75" customHeight="1" x14ac:dyDescent="0.25">
      <c r="A504" s="93"/>
      <c r="B504" s="194"/>
      <c r="C504" s="191"/>
      <c r="D504" s="80"/>
    </row>
    <row r="505" spans="1:4" ht="15.75" customHeight="1" x14ac:dyDescent="0.25">
      <c r="A505" s="93"/>
      <c r="B505" s="194"/>
      <c r="C505" s="191"/>
      <c r="D505" s="80"/>
    </row>
    <row r="506" spans="1:4" ht="15.75" customHeight="1" x14ac:dyDescent="0.25">
      <c r="A506" s="93"/>
      <c r="B506" s="194"/>
      <c r="C506" s="191"/>
      <c r="D506" s="80"/>
    </row>
    <row r="507" spans="1:4" ht="15.75" customHeight="1" x14ac:dyDescent="0.25">
      <c r="A507" s="93"/>
      <c r="B507" s="194"/>
      <c r="C507" s="191"/>
      <c r="D507" s="80"/>
    </row>
    <row r="508" spans="1:4" ht="15.75" customHeight="1" x14ac:dyDescent="0.25">
      <c r="A508" s="93"/>
      <c r="B508" s="194"/>
      <c r="C508" s="191"/>
      <c r="D508" s="80"/>
    </row>
    <row r="509" spans="1:4" ht="15.75" customHeight="1" x14ac:dyDescent="0.25">
      <c r="A509" s="93"/>
      <c r="B509" s="194"/>
      <c r="C509" s="191"/>
      <c r="D509" s="80"/>
    </row>
    <row r="510" spans="1:4" ht="15.75" customHeight="1" x14ac:dyDescent="0.25">
      <c r="A510" s="93"/>
      <c r="B510" s="194"/>
      <c r="C510" s="191"/>
      <c r="D510" s="80"/>
    </row>
    <row r="511" spans="1:4" ht="15.75" customHeight="1" x14ac:dyDescent="0.25">
      <c r="A511" s="93"/>
      <c r="B511" s="194"/>
      <c r="C511" s="191"/>
      <c r="D511" s="80"/>
    </row>
    <row r="512" spans="1:4" ht="15.75" customHeight="1" x14ac:dyDescent="0.25">
      <c r="A512" s="93"/>
      <c r="B512" s="194"/>
      <c r="C512" s="191"/>
      <c r="D512" s="80"/>
    </row>
    <row r="513" spans="1:4" ht="15.75" customHeight="1" x14ac:dyDescent="0.25">
      <c r="A513" s="93"/>
      <c r="B513" s="194"/>
      <c r="C513" s="191"/>
      <c r="D513" s="80"/>
    </row>
    <row r="514" spans="1:4" ht="15.75" customHeight="1" x14ac:dyDescent="0.25">
      <c r="A514" s="93"/>
      <c r="B514" s="194"/>
      <c r="C514" s="191"/>
      <c r="D514" s="80"/>
    </row>
    <row r="515" spans="1:4" ht="15.75" customHeight="1" x14ac:dyDescent="0.25">
      <c r="A515" s="93"/>
      <c r="B515" s="194"/>
      <c r="C515" s="191"/>
      <c r="D515" s="80"/>
    </row>
    <row r="516" spans="1:4" ht="15.75" customHeight="1" x14ac:dyDescent="0.25">
      <c r="A516" s="93"/>
      <c r="B516" s="194"/>
      <c r="C516" s="191"/>
      <c r="D516" s="80"/>
    </row>
    <row r="517" spans="1:4" ht="15.75" customHeight="1" x14ac:dyDescent="0.25">
      <c r="A517" s="93"/>
      <c r="B517" s="194"/>
      <c r="C517" s="191"/>
      <c r="D517" s="80"/>
    </row>
    <row r="518" spans="1:4" ht="15.75" customHeight="1" x14ac:dyDescent="0.25">
      <c r="A518" s="93"/>
      <c r="B518" s="194"/>
      <c r="C518" s="191"/>
      <c r="D518" s="80"/>
    </row>
    <row r="519" spans="1:4" ht="15.75" customHeight="1" x14ac:dyDescent="0.25">
      <c r="A519" s="93"/>
      <c r="B519" s="194"/>
      <c r="C519" s="191"/>
      <c r="D519" s="80"/>
    </row>
    <row r="520" spans="1:4" ht="15.75" customHeight="1" x14ac:dyDescent="0.25">
      <c r="A520" s="93"/>
      <c r="B520" s="194"/>
      <c r="C520" s="191"/>
      <c r="D520" s="80"/>
    </row>
    <row r="521" spans="1:4" ht="15.75" customHeight="1" x14ac:dyDescent="0.25">
      <c r="A521" s="93"/>
      <c r="B521" s="194"/>
      <c r="C521" s="191"/>
      <c r="D521" s="80"/>
    </row>
    <row r="522" spans="1:4" ht="15.75" customHeight="1" x14ac:dyDescent="0.25">
      <c r="A522" s="93"/>
      <c r="B522" s="194"/>
      <c r="C522" s="191"/>
      <c r="D522" s="80"/>
    </row>
    <row r="523" spans="1:4" ht="15.75" customHeight="1" x14ac:dyDescent="0.25">
      <c r="A523" s="93"/>
      <c r="B523" s="194"/>
      <c r="C523" s="191"/>
      <c r="D523" s="80"/>
    </row>
    <row r="524" spans="1:4" ht="15.75" customHeight="1" x14ac:dyDescent="0.25">
      <c r="A524" s="93"/>
      <c r="B524" s="194"/>
      <c r="C524" s="191"/>
      <c r="D524" s="80"/>
    </row>
    <row r="525" spans="1:4" ht="15.75" customHeight="1" x14ac:dyDescent="0.25">
      <c r="A525" s="93"/>
      <c r="B525" s="194"/>
      <c r="C525" s="191"/>
      <c r="D525" s="80"/>
    </row>
    <row r="526" spans="1:4" ht="15.75" customHeight="1" x14ac:dyDescent="0.25">
      <c r="A526" s="93"/>
      <c r="B526" s="194"/>
      <c r="C526" s="191"/>
      <c r="D526" s="80"/>
    </row>
    <row r="527" spans="1:4" ht="15.75" customHeight="1" x14ac:dyDescent="0.25">
      <c r="A527" s="93"/>
      <c r="B527" s="194"/>
      <c r="C527" s="191"/>
      <c r="D527" s="80"/>
    </row>
    <row r="528" spans="1:4" ht="15.75" customHeight="1" x14ac:dyDescent="0.25">
      <c r="A528" s="93"/>
      <c r="B528" s="194"/>
      <c r="C528" s="191"/>
      <c r="D528" s="80"/>
    </row>
    <row r="529" spans="1:4" ht="15.75" customHeight="1" x14ac:dyDescent="0.25">
      <c r="A529" s="93"/>
      <c r="B529" s="194"/>
      <c r="C529" s="191"/>
      <c r="D529" s="80"/>
    </row>
    <row r="530" spans="1:4" ht="15.75" customHeight="1" x14ac:dyDescent="0.25">
      <c r="A530" s="93"/>
      <c r="B530" s="194"/>
      <c r="C530" s="191"/>
      <c r="D530" s="80"/>
    </row>
    <row r="531" spans="1:4" ht="15.75" customHeight="1" x14ac:dyDescent="0.25">
      <c r="A531" s="93"/>
      <c r="B531" s="194"/>
      <c r="C531" s="191"/>
      <c r="D531" s="80"/>
    </row>
    <row r="532" spans="1:4" ht="15.75" customHeight="1" x14ac:dyDescent="0.25">
      <c r="A532" s="93"/>
      <c r="B532" s="194"/>
      <c r="C532" s="191"/>
      <c r="D532" s="80"/>
    </row>
    <row r="533" spans="1:4" ht="15.75" customHeight="1" x14ac:dyDescent="0.25">
      <c r="A533" s="93"/>
      <c r="B533" s="194"/>
      <c r="C533" s="191"/>
      <c r="D533" s="80"/>
    </row>
    <row r="534" spans="1:4" ht="15.75" customHeight="1" x14ac:dyDescent="0.25">
      <c r="A534" s="93"/>
      <c r="B534" s="194"/>
      <c r="C534" s="191"/>
      <c r="D534" s="80"/>
    </row>
    <row r="535" spans="1:4" ht="15.75" customHeight="1" x14ac:dyDescent="0.25">
      <c r="A535" s="93"/>
      <c r="B535" s="194"/>
      <c r="C535" s="191"/>
      <c r="D535" s="80"/>
    </row>
    <row r="536" spans="1:4" ht="15.75" customHeight="1" x14ac:dyDescent="0.25">
      <c r="A536" s="93"/>
      <c r="B536" s="194"/>
      <c r="C536" s="191"/>
      <c r="D536" s="80"/>
    </row>
    <row r="537" spans="1:4" ht="15.75" customHeight="1" x14ac:dyDescent="0.25">
      <c r="A537" s="93"/>
      <c r="B537" s="194"/>
      <c r="C537" s="191"/>
      <c r="D537" s="80"/>
    </row>
    <row r="538" spans="1:4" ht="15.75" customHeight="1" x14ac:dyDescent="0.25">
      <c r="A538" s="93"/>
      <c r="B538" s="194"/>
      <c r="C538" s="191"/>
      <c r="D538" s="80"/>
    </row>
    <row r="539" spans="1:4" ht="15.75" customHeight="1" x14ac:dyDescent="0.25">
      <c r="A539" s="93"/>
      <c r="B539" s="194"/>
      <c r="C539" s="191"/>
      <c r="D539" s="80"/>
    </row>
    <row r="540" spans="1:4" ht="15.75" customHeight="1" x14ac:dyDescent="0.25">
      <c r="A540" s="93"/>
      <c r="B540" s="194"/>
      <c r="C540" s="191"/>
      <c r="D540" s="80"/>
    </row>
    <row r="541" spans="1:4" ht="15.75" customHeight="1" x14ac:dyDescent="0.25">
      <c r="A541" s="93"/>
      <c r="B541" s="194"/>
      <c r="C541" s="191"/>
      <c r="D541" s="80"/>
    </row>
    <row r="542" spans="1:4" ht="15.75" customHeight="1" x14ac:dyDescent="0.25">
      <c r="A542" s="93"/>
      <c r="B542" s="194"/>
      <c r="C542" s="191"/>
      <c r="D542" s="80"/>
    </row>
    <row r="543" spans="1:4" ht="15.75" customHeight="1" x14ac:dyDescent="0.25">
      <c r="A543" s="93"/>
      <c r="B543" s="194"/>
      <c r="C543" s="191"/>
      <c r="D543" s="80"/>
    </row>
    <row r="544" spans="1:4" ht="15.75" customHeight="1" x14ac:dyDescent="0.25">
      <c r="A544" s="93"/>
      <c r="B544" s="194"/>
      <c r="C544" s="191"/>
      <c r="D544" s="80"/>
    </row>
    <row r="545" spans="1:4" ht="15.75" customHeight="1" x14ac:dyDescent="0.25">
      <c r="A545" s="93"/>
      <c r="B545" s="194"/>
      <c r="C545" s="191"/>
      <c r="D545" s="80"/>
    </row>
    <row r="546" spans="1:4" ht="15.75" customHeight="1" x14ac:dyDescent="0.25">
      <c r="A546" s="93"/>
      <c r="B546" s="194"/>
      <c r="C546" s="191"/>
      <c r="D546" s="80"/>
    </row>
    <row r="547" spans="1:4" ht="15.75" customHeight="1" x14ac:dyDescent="0.25">
      <c r="A547" s="93"/>
      <c r="B547" s="194"/>
      <c r="C547" s="191"/>
      <c r="D547" s="80"/>
    </row>
    <row r="548" spans="1:4" ht="15.75" customHeight="1" x14ac:dyDescent="0.25">
      <c r="A548" s="93"/>
      <c r="B548" s="194"/>
      <c r="C548" s="191"/>
      <c r="D548" s="80"/>
    </row>
    <row r="549" spans="1:4" ht="15.75" customHeight="1" x14ac:dyDescent="0.25">
      <c r="A549" s="93"/>
      <c r="B549" s="194"/>
      <c r="C549" s="191"/>
      <c r="D549" s="80"/>
    </row>
    <row r="550" spans="1:4" ht="15.75" customHeight="1" x14ac:dyDescent="0.25">
      <c r="A550" s="93"/>
      <c r="B550" s="194"/>
      <c r="C550" s="191"/>
      <c r="D550" s="80"/>
    </row>
    <row r="551" spans="1:4" ht="15.75" customHeight="1" x14ac:dyDescent="0.25">
      <c r="A551" s="93"/>
      <c r="B551" s="194"/>
      <c r="C551" s="191"/>
      <c r="D551" s="80"/>
    </row>
    <row r="552" spans="1:4" ht="15.75" customHeight="1" x14ac:dyDescent="0.25">
      <c r="A552" s="93"/>
      <c r="B552" s="194"/>
      <c r="C552" s="191"/>
      <c r="D552" s="80"/>
    </row>
    <row r="553" spans="1:4" ht="15.75" customHeight="1" x14ac:dyDescent="0.25">
      <c r="A553" s="93"/>
      <c r="B553" s="194"/>
      <c r="C553" s="191"/>
      <c r="D553" s="80"/>
    </row>
    <row r="554" spans="1:4" ht="15.75" customHeight="1" x14ac:dyDescent="0.25">
      <c r="A554" s="93"/>
      <c r="B554" s="194"/>
      <c r="C554" s="191"/>
      <c r="D554" s="80"/>
    </row>
    <row r="555" spans="1:4" ht="15.75" customHeight="1" x14ac:dyDescent="0.25">
      <c r="A555" s="93"/>
      <c r="B555" s="194"/>
      <c r="C555" s="191"/>
      <c r="D555" s="80"/>
    </row>
    <row r="556" spans="1:4" ht="15.75" customHeight="1" x14ac:dyDescent="0.25">
      <c r="A556" s="93"/>
      <c r="B556" s="194"/>
      <c r="C556" s="191"/>
      <c r="D556" s="80"/>
    </row>
    <row r="557" spans="1:4" ht="15.75" customHeight="1" x14ac:dyDescent="0.25">
      <c r="A557" s="93"/>
      <c r="B557" s="194"/>
      <c r="C557" s="191"/>
      <c r="D557" s="80"/>
    </row>
    <row r="558" spans="1:4" ht="15.75" customHeight="1" x14ac:dyDescent="0.25">
      <c r="A558" s="93"/>
      <c r="B558" s="194"/>
      <c r="C558" s="191"/>
      <c r="D558" s="80"/>
    </row>
    <row r="559" spans="1:4" ht="15.75" customHeight="1" x14ac:dyDescent="0.25">
      <c r="A559" s="93"/>
      <c r="B559" s="194"/>
      <c r="C559" s="191"/>
      <c r="D559" s="80"/>
    </row>
    <row r="560" spans="1:4" ht="15.75" customHeight="1" x14ac:dyDescent="0.25">
      <c r="A560" s="93"/>
      <c r="B560" s="194"/>
      <c r="C560" s="191"/>
      <c r="D560" s="80"/>
    </row>
    <row r="561" spans="1:4" ht="15.75" customHeight="1" x14ac:dyDescent="0.25">
      <c r="A561" s="93"/>
      <c r="B561" s="194"/>
      <c r="C561" s="191"/>
      <c r="D561" s="80"/>
    </row>
    <row r="562" spans="1:4" ht="15.75" customHeight="1" x14ac:dyDescent="0.25">
      <c r="A562" s="93"/>
      <c r="B562" s="194"/>
      <c r="C562" s="191"/>
      <c r="D562" s="80"/>
    </row>
    <row r="563" spans="1:4" ht="15.75" customHeight="1" x14ac:dyDescent="0.25">
      <c r="A563" s="93"/>
      <c r="B563" s="194"/>
      <c r="C563" s="191"/>
      <c r="D563" s="80"/>
    </row>
    <row r="564" spans="1:4" ht="15.75" customHeight="1" x14ac:dyDescent="0.25">
      <c r="A564" s="93"/>
      <c r="B564" s="194"/>
      <c r="C564" s="191"/>
      <c r="D564" s="80"/>
    </row>
    <row r="565" spans="1:4" ht="15.75" customHeight="1" x14ac:dyDescent="0.25">
      <c r="A565" s="93"/>
      <c r="B565" s="194"/>
      <c r="C565" s="191"/>
      <c r="D565" s="80"/>
    </row>
    <row r="566" spans="1:4" ht="15.75" customHeight="1" x14ac:dyDescent="0.25">
      <c r="A566" s="93"/>
      <c r="B566" s="194"/>
      <c r="C566" s="191"/>
      <c r="D566" s="80"/>
    </row>
    <row r="567" spans="1:4" ht="15.75" customHeight="1" x14ac:dyDescent="0.25">
      <c r="A567" s="93"/>
      <c r="B567" s="194"/>
      <c r="C567" s="191"/>
      <c r="D567" s="80"/>
    </row>
    <row r="568" spans="1:4" ht="15.75" customHeight="1" x14ac:dyDescent="0.25">
      <c r="A568" s="93"/>
      <c r="B568" s="194"/>
      <c r="C568" s="191"/>
      <c r="D568" s="80"/>
    </row>
    <row r="569" spans="1:4" ht="15.75" customHeight="1" x14ac:dyDescent="0.25">
      <c r="A569" s="93"/>
      <c r="B569" s="194"/>
      <c r="C569" s="191"/>
      <c r="D569" s="80"/>
    </row>
    <row r="570" spans="1:4" ht="15.75" customHeight="1" x14ac:dyDescent="0.25">
      <c r="A570" s="93"/>
      <c r="B570" s="194"/>
      <c r="C570" s="191"/>
      <c r="D570" s="80"/>
    </row>
    <row r="571" spans="1:4" ht="15.75" customHeight="1" x14ac:dyDescent="0.25">
      <c r="A571" s="93"/>
      <c r="B571" s="194"/>
      <c r="C571" s="191"/>
      <c r="D571" s="80"/>
    </row>
    <row r="572" spans="1:4" ht="15.75" customHeight="1" x14ac:dyDescent="0.25">
      <c r="A572" s="93"/>
      <c r="B572" s="194"/>
      <c r="C572" s="191"/>
      <c r="D572" s="80"/>
    </row>
    <row r="573" spans="1:4" ht="15.75" customHeight="1" x14ac:dyDescent="0.25">
      <c r="A573" s="93"/>
      <c r="B573" s="194"/>
      <c r="C573" s="191"/>
      <c r="D573" s="80"/>
    </row>
    <row r="574" spans="1:4" ht="15.75" customHeight="1" x14ac:dyDescent="0.25">
      <c r="A574" s="93"/>
      <c r="B574" s="194"/>
      <c r="C574" s="191"/>
      <c r="D574" s="80"/>
    </row>
    <row r="575" spans="1:4" ht="15.75" customHeight="1" x14ac:dyDescent="0.25">
      <c r="A575" s="93"/>
      <c r="B575" s="194"/>
      <c r="C575" s="191"/>
      <c r="D575" s="80"/>
    </row>
    <row r="576" spans="1:4" ht="15.75" customHeight="1" x14ac:dyDescent="0.25">
      <c r="A576" s="93"/>
      <c r="B576" s="194"/>
      <c r="C576" s="191"/>
      <c r="D576" s="80"/>
    </row>
    <row r="577" spans="1:4" ht="15.75" customHeight="1" x14ac:dyDescent="0.25">
      <c r="A577" s="93"/>
      <c r="B577" s="194"/>
      <c r="C577" s="191"/>
      <c r="D577" s="80"/>
    </row>
    <row r="578" spans="1:4" ht="15.75" customHeight="1" x14ac:dyDescent="0.25">
      <c r="A578" s="93"/>
      <c r="B578" s="194"/>
      <c r="C578" s="191"/>
      <c r="D578" s="80"/>
    </row>
    <row r="579" spans="1:4" ht="15.75" customHeight="1" x14ac:dyDescent="0.25">
      <c r="A579" s="93"/>
      <c r="B579" s="194"/>
      <c r="C579" s="191"/>
      <c r="D579" s="80"/>
    </row>
    <row r="580" spans="1:4" ht="15.75" customHeight="1" x14ac:dyDescent="0.25">
      <c r="A580" s="93"/>
      <c r="B580" s="194"/>
      <c r="C580" s="191"/>
      <c r="D580" s="80"/>
    </row>
    <row r="581" spans="1:4" ht="15.75" customHeight="1" x14ac:dyDescent="0.25">
      <c r="A581" s="93"/>
      <c r="B581" s="194"/>
      <c r="C581" s="191"/>
      <c r="D581" s="80"/>
    </row>
    <row r="582" spans="1:4" ht="15.75" customHeight="1" x14ac:dyDescent="0.25">
      <c r="A582" s="93"/>
      <c r="B582" s="194"/>
      <c r="C582" s="191"/>
      <c r="D582" s="80"/>
    </row>
    <row r="583" spans="1:4" ht="15.75" customHeight="1" x14ac:dyDescent="0.25">
      <c r="A583" s="93"/>
      <c r="B583" s="194"/>
      <c r="C583" s="191"/>
      <c r="D583" s="80"/>
    </row>
    <row r="584" spans="1:4" ht="15.75" customHeight="1" x14ac:dyDescent="0.25">
      <c r="A584" s="93"/>
      <c r="B584" s="194"/>
      <c r="C584" s="191"/>
      <c r="D584" s="80"/>
    </row>
    <row r="585" spans="1:4" ht="15.75" customHeight="1" x14ac:dyDescent="0.25">
      <c r="A585" s="93"/>
      <c r="B585" s="194"/>
      <c r="C585" s="191"/>
      <c r="D585" s="80"/>
    </row>
    <row r="586" spans="1:4" ht="15.75" customHeight="1" x14ac:dyDescent="0.25">
      <c r="A586" s="93"/>
      <c r="B586" s="194"/>
      <c r="C586" s="191"/>
      <c r="D586" s="80"/>
    </row>
    <row r="587" spans="1:4" ht="15.75" customHeight="1" x14ac:dyDescent="0.25">
      <c r="A587" s="93"/>
      <c r="B587" s="194"/>
      <c r="C587" s="191"/>
      <c r="D587" s="80"/>
    </row>
    <row r="588" spans="1:4" ht="15.75" customHeight="1" x14ac:dyDescent="0.25">
      <c r="A588" s="93"/>
      <c r="B588" s="194"/>
      <c r="C588" s="191"/>
      <c r="D588" s="80"/>
    </row>
    <row r="589" spans="1:4" ht="15.75" customHeight="1" x14ac:dyDescent="0.25">
      <c r="A589" s="93"/>
      <c r="B589" s="194"/>
      <c r="C589" s="191"/>
      <c r="D589" s="80"/>
    </row>
    <row r="590" spans="1:4" ht="15.75" customHeight="1" x14ac:dyDescent="0.25">
      <c r="A590" s="93"/>
      <c r="B590" s="194"/>
      <c r="C590" s="191"/>
      <c r="D590" s="80"/>
    </row>
    <row r="591" spans="1:4" ht="15.75" customHeight="1" x14ac:dyDescent="0.25">
      <c r="A591" s="93"/>
      <c r="B591" s="194"/>
      <c r="C591" s="191"/>
      <c r="D591" s="80"/>
    </row>
    <row r="592" spans="1:4" ht="15.75" customHeight="1" x14ac:dyDescent="0.25">
      <c r="A592" s="93"/>
      <c r="B592" s="194"/>
      <c r="C592" s="191"/>
      <c r="D592" s="80"/>
    </row>
    <row r="593" spans="1:4" ht="15.75" customHeight="1" x14ac:dyDescent="0.25">
      <c r="A593" s="93"/>
      <c r="B593" s="194"/>
      <c r="C593" s="191"/>
      <c r="D593" s="80"/>
    </row>
    <row r="594" spans="1:4" ht="15.75" customHeight="1" x14ac:dyDescent="0.25">
      <c r="A594" s="93"/>
      <c r="B594" s="194"/>
      <c r="C594" s="191"/>
      <c r="D594" s="80"/>
    </row>
    <row r="595" spans="1:4" ht="15.75" customHeight="1" x14ac:dyDescent="0.25">
      <c r="A595" s="93"/>
      <c r="B595" s="194"/>
      <c r="C595" s="191"/>
      <c r="D595" s="80"/>
    </row>
    <row r="596" spans="1:4" ht="15.75" customHeight="1" x14ac:dyDescent="0.25">
      <c r="A596" s="93"/>
      <c r="B596" s="194"/>
      <c r="C596" s="191"/>
      <c r="D596" s="80"/>
    </row>
    <row r="597" spans="1:4" ht="15.75" customHeight="1" x14ac:dyDescent="0.25">
      <c r="A597" s="93"/>
      <c r="B597" s="194"/>
      <c r="C597" s="191"/>
      <c r="D597" s="80"/>
    </row>
    <row r="598" spans="1:4" ht="15.75" customHeight="1" x14ac:dyDescent="0.25">
      <c r="A598" s="93"/>
      <c r="B598" s="194"/>
      <c r="C598" s="191"/>
      <c r="D598" s="80"/>
    </row>
    <row r="599" spans="1:4" ht="15.75" customHeight="1" x14ac:dyDescent="0.25">
      <c r="A599" s="93"/>
      <c r="B599" s="194"/>
      <c r="C599" s="191"/>
      <c r="D599" s="80"/>
    </row>
    <row r="600" spans="1:4" ht="15.75" customHeight="1" x14ac:dyDescent="0.25">
      <c r="A600" s="93"/>
      <c r="B600" s="194"/>
      <c r="C600" s="191"/>
      <c r="D600" s="80"/>
    </row>
    <row r="601" spans="1:4" ht="15.75" customHeight="1" x14ac:dyDescent="0.25">
      <c r="A601" s="93"/>
      <c r="B601" s="194"/>
      <c r="C601" s="191"/>
      <c r="D601" s="80"/>
    </row>
    <row r="602" spans="1:4" ht="15.75" customHeight="1" x14ac:dyDescent="0.25">
      <c r="A602" s="93"/>
      <c r="B602" s="194"/>
      <c r="C602" s="191"/>
      <c r="D602" s="80"/>
    </row>
    <row r="603" spans="1:4" ht="15.75" customHeight="1" x14ac:dyDescent="0.25">
      <c r="A603" s="93"/>
      <c r="B603" s="194"/>
      <c r="C603" s="191"/>
      <c r="D603" s="80"/>
    </row>
    <row r="604" spans="1:4" ht="15.75" customHeight="1" x14ac:dyDescent="0.25">
      <c r="A604" s="93"/>
      <c r="B604" s="194"/>
      <c r="C604" s="191"/>
      <c r="D604" s="80"/>
    </row>
    <row r="605" spans="1:4" ht="15.75" customHeight="1" x14ac:dyDescent="0.25">
      <c r="A605" s="93"/>
      <c r="B605" s="194"/>
      <c r="C605" s="191"/>
      <c r="D605" s="80"/>
    </row>
    <row r="606" spans="1:4" ht="15.75" customHeight="1" x14ac:dyDescent="0.25">
      <c r="A606" s="93"/>
      <c r="B606" s="194"/>
      <c r="C606" s="191"/>
      <c r="D606" s="80"/>
    </row>
    <row r="607" spans="1:4" ht="15.75" customHeight="1" x14ac:dyDescent="0.25">
      <c r="A607" s="93"/>
      <c r="B607" s="194"/>
      <c r="C607" s="191"/>
      <c r="D607" s="80"/>
    </row>
    <row r="608" spans="1:4" ht="15.75" customHeight="1" x14ac:dyDescent="0.25">
      <c r="A608" s="93"/>
      <c r="B608" s="194"/>
      <c r="C608" s="191"/>
      <c r="D608" s="80"/>
    </row>
    <row r="609" spans="1:4" ht="15.75" customHeight="1" x14ac:dyDescent="0.25">
      <c r="A609" s="93"/>
      <c r="B609" s="194"/>
      <c r="C609" s="191"/>
      <c r="D609" s="80"/>
    </row>
    <row r="610" spans="1:4" ht="15.75" customHeight="1" x14ac:dyDescent="0.25">
      <c r="A610" s="93"/>
      <c r="B610" s="194"/>
      <c r="C610" s="191"/>
      <c r="D610" s="80"/>
    </row>
    <row r="611" spans="1:4" ht="15.75" customHeight="1" x14ac:dyDescent="0.25">
      <c r="A611" s="93"/>
      <c r="B611" s="194"/>
      <c r="C611" s="191"/>
      <c r="D611" s="80"/>
    </row>
    <row r="612" spans="1:4" ht="15.75" customHeight="1" x14ac:dyDescent="0.25">
      <c r="A612" s="93"/>
      <c r="B612" s="194"/>
      <c r="C612" s="191"/>
      <c r="D612" s="80"/>
    </row>
    <row r="613" spans="1:4" ht="15.75" customHeight="1" x14ac:dyDescent="0.25">
      <c r="A613" s="93"/>
      <c r="B613" s="194"/>
      <c r="C613" s="191"/>
      <c r="D613" s="80"/>
    </row>
    <row r="614" spans="1:4" ht="15.75" customHeight="1" x14ac:dyDescent="0.25">
      <c r="A614" s="93"/>
      <c r="B614" s="194"/>
      <c r="C614" s="191"/>
      <c r="D614" s="80"/>
    </row>
    <row r="615" spans="1:4" ht="15.75" customHeight="1" x14ac:dyDescent="0.25">
      <c r="A615" s="93"/>
      <c r="B615" s="194"/>
      <c r="C615" s="191"/>
      <c r="D615" s="80"/>
    </row>
    <row r="616" spans="1:4" ht="15.75" customHeight="1" x14ac:dyDescent="0.25">
      <c r="A616" s="93"/>
      <c r="B616" s="194"/>
      <c r="C616" s="191"/>
      <c r="D616" s="80"/>
    </row>
    <row r="617" spans="1:4" ht="15.75" customHeight="1" x14ac:dyDescent="0.25">
      <c r="A617" s="93"/>
      <c r="B617" s="194"/>
      <c r="C617" s="191"/>
      <c r="D617" s="80"/>
    </row>
    <row r="618" spans="1:4" ht="15.75" customHeight="1" x14ac:dyDescent="0.25">
      <c r="A618" s="93"/>
      <c r="B618" s="194"/>
      <c r="C618" s="191"/>
      <c r="D618" s="80"/>
    </row>
    <row r="619" spans="1:4" ht="15.75" customHeight="1" x14ac:dyDescent="0.25">
      <c r="A619" s="93"/>
      <c r="B619" s="194"/>
      <c r="C619" s="191"/>
      <c r="D619" s="80"/>
    </row>
    <row r="620" spans="1:4" ht="15.75" customHeight="1" x14ac:dyDescent="0.25">
      <c r="A620" s="93"/>
      <c r="B620" s="194"/>
      <c r="C620" s="191"/>
      <c r="D620" s="80"/>
    </row>
    <row r="621" spans="1:4" ht="15.75" customHeight="1" x14ac:dyDescent="0.25">
      <c r="A621" s="93"/>
      <c r="B621" s="194"/>
      <c r="C621" s="191"/>
      <c r="D621" s="80"/>
    </row>
    <row r="622" spans="1:4" ht="15.75" customHeight="1" x14ac:dyDescent="0.25">
      <c r="A622" s="93"/>
      <c r="B622" s="194"/>
      <c r="C622" s="191"/>
      <c r="D622" s="80"/>
    </row>
    <row r="623" spans="1:4" ht="15.75" customHeight="1" x14ac:dyDescent="0.25">
      <c r="A623" s="93"/>
      <c r="B623" s="194"/>
      <c r="C623" s="191"/>
      <c r="D623" s="80"/>
    </row>
    <row r="624" spans="1:4" ht="15.75" customHeight="1" x14ac:dyDescent="0.25">
      <c r="A624" s="93"/>
      <c r="B624" s="194"/>
      <c r="C624" s="191"/>
      <c r="D624" s="80"/>
    </row>
    <row r="625" spans="1:4" ht="15.75" customHeight="1" x14ac:dyDescent="0.25">
      <c r="A625" s="93"/>
      <c r="B625" s="194"/>
      <c r="C625" s="191"/>
      <c r="D625" s="80"/>
    </row>
    <row r="626" spans="1:4" ht="15.75" customHeight="1" x14ac:dyDescent="0.25">
      <c r="A626" s="93"/>
      <c r="B626" s="194"/>
      <c r="C626" s="191"/>
      <c r="D626" s="80"/>
    </row>
    <row r="627" spans="1:4" ht="15.75" customHeight="1" x14ac:dyDescent="0.25">
      <c r="A627" s="93"/>
      <c r="B627" s="194"/>
      <c r="C627" s="191"/>
      <c r="D627" s="80"/>
    </row>
    <row r="628" spans="1:4" ht="15.75" customHeight="1" x14ac:dyDescent="0.25">
      <c r="A628" s="93"/>
      <c r="B628" s="194"/>
      <c r="C628" s="191"/>
      <c r="D628" s="80"/>
    </row>
    <row r="629" spans="1:4" ht="15.75" customHeight="1" x14ac:dyDescent="0.25">
      <c r="A629" s="93"/>
      <c r="B629" s="194"/>
      <c r="C629" s="191"/>
      <c r="D629" s="80"/>
    </row>
    <row r="630" spans="1:4" ht="15.75" customHeight="1" x14ac:dyDescent="0.25">
      <c r="A630" s="93"/>
      <c r="B630" s="194"/>
      <c r="C630" s="191"/>
      <c r="D630" s="80"/>
    </row>
    <row r="631" spans="1:4" ht="15.75" customHeight="1" x14ac:dyDescent="0.25">
      <c r="A631" s="93"/>
      <c r="B631" s="194"/>
      <c r="C631" s="191"/>
      <c r="D631" s="80"/>
    </row>
    <row r="632" spans="1:4" ht="15.75" customHeight="1" x14ac:dyDescent="0.25">
      <c r="A632" s="93"/>
      <c r="B632" s="194"/>
      <c r="C632" s="191"/>
      <c r="D632" s="80"/>
    </row>
    <row r="633" spans="1:4" ht="15.75" customHeight="1" x14ac:dyDescent="0.25">
      <c r="A633" s="93"/>
      <c r="B633" s="194"/>
      <c r="C633" s="191"/>
      <c r="D633" s="80"/>
    </row>
    <row r="634" spans="1:4" ht="15.75" customHeight="1" x14ac:dyDescent="0.25">
      <c r="A634" s="93"/>
      <c r="B634" s="194"/>
      <c r="C634" s="191"/>
      <c r="D634" s="80"/>
    </row>
    <row r="635" spans="1:4" ht="15.75" customHeight="1" x14ac:dyDescent="0.25">
      <c r="A635" s="93"/>
      <c r="B635" s="194"/>
      <c r="C635" s="191"/>
      <c r="D635" s="80"/>
    </row>
    <row r="636" spans="1:4" ht="15.75" customHeight="1" x14ac:dyDescent="0.25">
      <c r="A636" s="93"/>
      <c r="B636" s="194"/>
      <c r="C636" s="191"/>
      <c r="D636" s="80"/>
    </row>
    <row r="637" spans="1:4" ht="15.75" customHeight="1" x14ac:dyDescent="0.25">
      <c r="A637" s="93"/>
      <c r="B637" s="194"/>
      <c r="C637" s="191"/>
      <c r="D637" s="80"/>
    </row>
    <row r="638" spans="1:4" ht="15.75" customHeight="1" x14ac:dyDescent="0.25">
      <c r="A638" s="93"/>
      <c r="B638" s="194"/>
      <c r="C638" s="191"/>
      <c r="D638" s="80"/>
    </row>
    <row r="639" spans="1:4" ht="15.75" customHeight="1" x14ac:dyDescent="0.25">
      <c r="A639" s="93"/>
      <c r="B639" s="194"/>
      <c r="C639" s="191"/>
      <c r="D639" s="80"/>
    </row>
    <row r="640" spans="1:4" ht="15.75" customHeight="1" x14ac:dyDescent="0.25">
      <c r="A640" s="93"/>
      <c r="B640" s="194"/>
      <c r="C640" s="191"/>
      <c r="D640" s="80"/>
    </row>
    <row r="641" spans="1:4" ht="15.75" customHeight="1" x14ac:dyDescent="0.25">
      <c r="A641" s="93"/>
      <c r="B641" s="194"/>
      <c r="C641" s="191"/>
      <c r="D641" s="80"/>
    </row>
    <row r="642" spans="1:4" ht="15.75" customHeight="1" x14ac:dyDescent="0.25">
      <c r="A642" s="93"/>
      <c r="B642" s="194"/>
      <c r="C642" s="191"/>
      <c r="D642" s="80"/>
    </row>
    <row r="643" spans="1:4" ht="15.75" customHeight="1" x14ac:dyDescent="0.25">
      <c r="A643" s="93"/>
      <c r="B643" s="194"/>
      <c r="C643" s="191"/>
      <c r="D643" s="80"/>
    </row>
    <row r="644" spans="1:4" ht="15.75" customHeight="1" x14ac:dyDescent="0.25">
      <c r="A644" s="93"/>
      <c r="B644" s="194"/>
      <c r="C644" s="191"/>
      <c r="D644" s="80"/>
    </row>
    <row r="645" spans="1:4" ht="15.75" customHeight="1" x14ac:dyDescent="0.25">
      <c r="A645" s="93"/>
      <c r="B645" s="194"/>
      <c r="C645" s="191"/>
      <c r="D645" s="80"/>
    </row>
    <row r="646" spans="1:4" ht="15.75" customHeight="1" x14ac:dyDescent="0.25">
      <c r="A646" s="93"/>
      <c r="B646" s="194"/>
      <c r="C646" s="191"/>
      <c r="D646" s="80"/>
    </row>
    <row r="647" spans="1:4" ht="15.75" customHeight="1" x14ac:dyDescent="0.25">
      <c r="A647" s="93"/>
      <c r="B647" s="194"/>
      <c r="C647" s="191"/>
      <c r="D647" s="80"/>
    </row>
    <row r="648" spans="1:4" ht="15.75" customHeight="1" x14ac:dyDescent="0.25">
      <c r="A648" s="93"/>
      <c r="B648" s="194"/>
      <c r="C648" s="191"/>
      <c r="D648" s="80"/>
    </row>
    <row r="649" spans="1:4" ht="15.75" customHeight="1" x14ac:dyDescent="0.25">
      <c r="A649" s="93"/>
      <c r="B649" s="194"/>
      <c r="C649" s="191"/>
      <c r="D649" s="80"/>
    </row>
    <row r="650" spans="1:4" ht="15.75" customHeight="1" x14ac:dyDescent="0.25">
      <c r="A650" s="93"/>
      <c r="B650" s="194"/>
      <c r="C650" s="191"/>
      <c r="D650" s="80"/>
    </row>
    <row r="651" spans="1:4" ht="15.75" customHeight="1" x14ac:dyDescent="0.25">
      <c r="A651" s="93"/>
      <c r="B651" s="194"/>
      <c r="C651" s="191"/>
      <c r="D651" s="80"/>
    </row>
    <row r="652" spans="1:4" ht="15.75" customHeight="1" x14ac:dyDescent="0.25">
      <c r="A652" s="93"/>
      <c r="B652" s="194"/>
      <c r="C652" s="191"/>
      <c r="D652" s="80"/>
    </row>
    <row r="653" spans="1:4" ht="15.75" customHeight="1" x14ac:dyDescent="0.25">
      <c r="A653" s="93"/>
      <c r="B653" s="194"/>
      <c r="C653" s="191"/>
      <c r="D653" s="80"/>
    </row>
    <row r="654" spans="1:4" ht="15.75" customHeight="1" x14ac:dyDescent="0.25">
      <c r="A654" s="93"/>
      <c r="B654" s="194"/>
      <c r="C654" s="191"/>
      <c r="D654" s="80"/>
    </row>
    <row r="655" spans="1:4" ht="15.75" customHeight="1" x14ac:dyDescent="0.25">
      <c r="A655" s="93"/>
      <c r="B655" s="194"/>
      <c r="C655" s="191"/>
      <c r="D655" s="80"/>
    </row>
    <row r="656" spans="1:4" ht="15.75" customHeight="1" x14ac:dyDescent="0.25">
      <c r="A656" s="93"/>
      <c r="B656" s="194"/>
      <c r="C656" s="191"/>
      <c r="D656" s="80"/>
    </row>
    <row r="657" spans="1:4" ht="15.75" customHeight="1" x14ac:dyDescent="0.25">
      <c r="A657" s="93"/>
      <c r="B657" s="194"/>
      <c r="C657" s="191"/>
      <c r="D657" s="80"/>
    </row>
    <row r="658" spans="1:4" ht="15.75" customHeight="1" x14ac:dyDescent="0.25">
      <c r="A658" s="93"/>
      <c r="B658" s="194"/>
      <c r="C658" s="191"/>
      <c r="D658" s="80"/>
    </row>
    <row r="659" spans="1:4" ht="15.75" customHeight="1" x14ac:dyDescent="0.25">
      <c r="A659" s="93"/>
      <c r="B659" s="194"/>
      <c r="C659" s="191"/>
      <c r="D659" s="80"/>
    </row>
    <row r="660" spans="1:4" ht="15.75" customHeight="1" x14ac:dyDescent="0.25">
      <c r="A660" s="93"/>
      <c r="B660" s="194"/>
      <c r="C660" s="191"/>
      <c r="D660" s="80"/>
    </row>
    <row r="661" spans="1:4" ht="15.75" customHeight="1" x14ac:dyDescent="0.25">
      <c r="A661" s="93"/>
      <c r="B661" s="194"/>
      <c r="C661" s="191"/>
      <c r="D661" s="80"/>
    </row>
    <row r="662" spans="1:4" ht="15.75" customHeight="1" x14ac:dyDescent="0.25">
      <c r="A662" s="93"/>
      <c r="B662" s="194"/>
      <c r="C662" s="191"/>
      <c r="D662" s="80"/>
    </row>
    <row r="663" spans="1:4" ht="15.75" customHeight="1" x14ac:dyDescent="0.25">
      <c r="A663" s="93"/>
      <c r="B663" s="194"/>
      <c r="C663" s="191"/>
      <c r="D663" s="80"/>
    </row>
    <row r="664" spans="1:4" ht="15.75" customHeight="1" x14ac:dyDescent="0.25">
      <c r="A664" s="93"/>
      <c r="B664" s="194"/>
      <c r="C664" s="191"/>
      <c r="D664" s="80"/>
    </row>
    <row r="665" spans="1:4" ht="15.75" customHeight="1" x14ac:dyDescent="0.25">
      <c r="A665" s="93"/>
      <c r="B665" s="194"/>
      <c r="C665" s="191"/>
      <c r="D665" s="80"/>
    </row>
    <row r="666" spans="1:4" ht="15.75" customHeight="1" x14ac:dyDescent="0.25">
      <c r="A666" s="93"/>
      <c r="B666" s="194"/>
      <c r="C666" s="191"/>
      <c r="D666" s="80"/>
    </row>
    <row r="667" spans="1:4" ht="15.75" customHeight="1" x14ac:dyDescent="0.25">
      <c r="A667" s="93"/>
      <c r="B667" s="194"/>
      <c r="C667" s="191"/>
      <c r="D667" s="80"/>
    </row>
    <row r="668" spans="1:4" ht="15.75" customHeight="1" x14ac:dyDescent="0.25">
      <c r="A668" s="93"/>
      <c r="B668" s="194"/>
      <c r="C668" s="191"/>
      <c r="D668" s="80"/>
    </row>
    <row r="669" spans="1:4" ht="15.75" customHeight="1" x14ac:dyDescent="0.25">
      <c r="A669" s="93"/>
      <c r="B669" s="194"/>
      <c r="C669" s="191"/>
      <c r="D669" s="80"/>
    </row>
    <row r="670" spans="1:4" ht="15.75" customHeight="1" x14ac:dyDescent="0.25">
      <c r="A670" s="93"/>
      <c r="B670" s="194"/>
      <c r="C670" s="191"/>
      <c r="D670" s="80"/>
    </row>
    <row r="671" spans="1:4" ht="15.75" customHeight="1" x14ac:dyDescent="0.25">
      <c r="A671" s="93"/>
      <c r="B671" s="194"/>
      <c r="C671" s="191"/>
      <c r="D671" s="80"/>
    </row>
    <row r="672" spans="1:4" ht="15.75" customHeight="1" x14ac:dyDescent="0.25">
      <c r="A672" s="93"/>
      <c r="B672" s="194"/>
      <c r="C672" s="191"/>
      <c r="D672" s="80"/>
    </row>
    <row r="673" spans="1:4" ht="15.75" customHeight="1" x14ac:dyDescent="0.25">
      <c r="A673" s="93"/>
      <c r="B673" s="194"/>
      <c r="C673" s="191"/>
      <c r="D673" s="80"/>
    </row>
    <row r="674" spans="1:4" ht="15.75" customHeight="1" x14ac:dyDescent="0.25">
      <c r="A674" s="93"/>
      <c r="B674" s="194"/>
      <c r="C674" s="191"/>
      <c r="D674" s="80"/>
    </row>
    <row r="675" spans="1:4" ht="15.75" customHeight="1" x14ac:dyDescent="0.25">
      <c r="A675" s="93"/>
      <c r="B675" s="194"/>
      <c r="C675" s="191"/>
      <c r="D675" s="80"/>
    </row>
    <row r="676" spans="1:4" ht="15.75" customHeight="1" x14ac:dyDescent="0.25">
      <c r="A676" s="93"/>
      <c r="B676" s="194"/>
      <c r="C676" s="191"/>
      <c r="D676" s="80"/>
    </row>
    <row r="677" spans="1:4" ht="15.75" customHeight="1" x14ac:dyDescent="0.25">
      <c r="A677" s="93"/>
      <c r="B677" s="194"/>
      <c r="C677" s="191"/>
      <c r="D677" s="80"/>
    </row>
    <row r="678" spans="1:4" ht="15.75" customHeight="1" x14ac:dyDescent="0.25">
      <c r="A678" s="93"/>
      <c r="B678" s="194"/>
      <c r="C678" s="191"/>
      <c r="D678" s="80"/>
    </row>
    <row r="679" spans="1:4" ht="15.75" customHeight="1" x14ac:dyDescent="0.25">
      <c r="A679" s="93"/>
      <c r="B679" s="194"/>
      <c r="C679" s="191"/>
      <c r="D679" s="80"/>
    </row>
    <row r="680" spans="1:4" ht="15.75" customHeight="1" x14ac:dyDescent="0.25">
      <c r="A680" s="93"/>
      <c r="B680" s="194"/>
      <c r="C680" s="191"/>
      <c r="D680" s="80"/>
    </row>
    <row r="681" spans="1:4" ht="15.75" customHeight="1" x14ac:dyDescent="0.25">
      <c r="A681" s="93"/>
      <c r="B681" s="194"/>
      <c r="C681" s="191"/>
      <c r="D681" s="80"/>
    </row>
    <row r="682" spans="1:4" ht="15.75" customHeight="1" x14ac:dyDescent="0.25">
      <c r="A682" s="93"/>
      <c r="B682" s="194"/>
      <c r="C682" s="191"/>
      <c r="D682" s="80"/>
    </row>
    <row r="683" spans="1:4" ht="15.75" customHeight="1" x14ac:dyDescent="0.25">
      <c r="A683" s="93"/>
      <c r="B683" s="194"/>
      <c r="C683" s="191"/>
      <c r="D683" s="80"/>
    </row>
    <row r="684" spans="1:4" ht="15.75" customHeight="1" x14ac:dyDescent="0.25">
      <c r="A684" s="93"/>
      <c r="B684" s="194"/>
      <c r="C684" s="191"/>
      <c r="D684" s="80"/>
    </row>
    <row r="685" spans="1:4" ht="15.75" customHeight="1" x14ac:dyDescent="0.25">
      <c r="A685" s="93"/>
      <c r="B685" s="194"/>
      <c r="C685" s="191"/>
      <c r="D685" s="80"/>
    </row>
    <row r="686" spans="1:4" ht="15.75" customHeight="1" x14ac:dyDescent="0.25">
      <c r="A686" s="93"/>
      <c r="B686" s="194"/>
      <c r="C686" s="191"/>
      <c r="D686" s="80"/>
    </row>
    <row r="687" spans="1:4" ht="15.75" customHeight="1" x14ac:dyDescent="0.25">
      <c r="A687" s="93"/>
      <c r="B687" s="194"/>
      <c r="C687" s="191"/>
      <c r="D687" s="80"/>
    </row>
    <row r="688" spans="1:4" ht="15.75" customHeight="1" x14ac:dyDescent="0.25">
      <c r="A688" s="93"/>
      <c r="B688" s="194"/>
      <c r="C688" s="191"/>
      <c r="D688" s="80"/>
    </row>
    <row r="689" spans="1:4" ht="15.75" customHeight="1" x14ac:dyDescent="0.25">
      <c r="A689" s="93"/>
      <c r="B689" s="194"/>
      <c r="C689" s="191"/>
      <c r="D689" s="80"/>
    </row>
    <row r="690" spans="1:4" ht="15.75" customHeight="1" x14ac:dyDescent="0.25">
      <c r="A690" s="93"/>
      <c r="B690" s="194"/>
      <c r="C690" s="191"/>
      <c r="D690" s="80"/>
    </row>
    <row r="691" spans="1:4" ht="15.75" customHeight="1" x14ac:dyDescent="0.25">
      <c r="A691" s="93"/>
      <c r="B691" s="194"/>
      <c r="C691" s="191"/>
      <c r="D691" s="80"/>
    </row>
    <row r="692" spans="1:4" ht="15.75" customHeight="1" x14ac:dyDescent="0.25">
      <c r="A692" s="93"/>
      <c r="B692" s="194"/>
      <c r="C692" s="191"/>
      <c r="D692" s="80"/>
    </row>
    <row r="693" spans="1:4" ht="15.75" customHeight="1" x14ac:dyDescent="0.25">
      <c r="A693" s="93"/>
      <c r="B693" s="194"/>
      <c r="C693" s="191"/>
      <c r="D693" s="80"/>
    </row>
    <row r="694" spans="1:4" ht="15.75" customHeight="1" x14ac:dyDescent="0.25">
      <c r="A694" s="93"/>
      <c r="B694" s="194"/>
      <c r="C694" s="191"/>
      <c r="D694" s="80"/>
    </row>
    <row r="695" spans="1:4" ht="15.75" customHeight="1" x14ac:dyDescent="0.25">
      <c r="A695" s="93"/>
      <c r="B695" s="194"/>
      <c r="C695" s="191"/>
      <c r="D695" s="80"/>
    </row>
    <row r="696" spans="1:4" ht="15.75" customHeight="1" x14ac:dyDescent="0.25">
      <c r="A696" s="93"/>
      <c r="B696" s="194"/>
      <c r="C696" s="191"/>
      <c r="D696" s="80"/>
    </row>
    <row r="697" spans="1:4" ht="15.75" customHeight="1" x14ac:dyDescent="0.25">
      <c r="A697" s="93"/>
      <c r="B697" s="194"/>
      <c r="C697" s="191"/>
      <c r="D697" s="80"/>
    </row>
    <row r="698" spans="1:4" ht="15.75" customHeight="1" x14ac:dyDescent="0.25">
      <c r="A698" s="93"/>
      <c r="B698" s="194"/>
      <c r="C698" s="191"/>
      <c r="D698" s="80"/>
    </row>
    <row r="699" spans="1:4" ht="15.75" customHeight="1" x14ac:dyDescent="0.25">
      <c r="A699" s="93"/>
      <c r="B699" s="194"/>
      <c r="C699" s="191"/>
      <c r="D699" s="80"/>
    </row>
    <row r="700" spans="1:4" ht="15.75" customHeight="1" x14ac:dyDescent="0.25">
      <c r="A700" s="93"/>
      <c r="B700" s="194"/>
      <c r="C700" s="191"/>
      <c r="D700" s="80"/>
    </row>
    <row r="701" spans="1:4" ht="15.75" customHeight="1" x14ac:dyDescent="0.25">
      <c r="A701" s="93"/>
      <c r="B701" s="194"/>
      <c r="C701" s="191"/>
      <c r="D701" s="80"/>
    </row>
    <row r="702" spans="1:4" ht="15.75" customHeight="1" x14ac:dyDescent="0.25">
      <c r="A702" s="93"/>
      <c r="B702" s="194"/>
      <c r="C702" s="191"/>
      <c r="D702" s="80"/>
    </row>
    <row r="703" spans="1:4" ht="15.75" customHeight="1" x14ac:dyDescent="0.25">
      <c r="A703" s="93"/>
      <c r="B703" s="194"/>
      <c r="C703" s="191"/>
      <c r="D703" s="80"/>
    </row>
    <row r="704" spans="1:4" ht="15.75" customHeight="1" x14ac:dyDescent="0.25">
      <c r="A704" s="93"/>
      <c r="B704" s="194"/>
      <c r="C704" s="191"/>
      <c r="D704" s="80"/>
    </row>
    <row r="705" spans="1:4" ht="15.75" customHeight="1" x14ac:dyDescent="0.25">
      <c r="A705" s="93"/>
      <c r="B705" s="194"/>
      <c r="C705" s="191"/>
      <c r="D705" s="80"/>
    </row>
    <row r="706" spans="1:4" ht="15.75" customHeight="1" x14ac:dyDescent="0.25">
      <c r="A706" s="93"/>
      <c r="B706" s="194"/>
      <c r="C706" s="191"/>
      <c r="D706" s="80"/>
    </row>
    <row r="707" spans="1:4" ht="15.75" customHeight="1" x14ac:dyDescent="0.25">
      <c r="A707" s="93"/>
      <c r="B707" s="194"/>
      <c r="C707" s="191"/>
      <c r="D707" s="80"/>
    </row>
    <row r="708" spans="1:4" ht="15.75" customHeight="1" x14ac:dyDescent="0.25">
      <c r="A708" s="93"/>
      <c r="B708" s="194"/>
      <c r="C708" s="191"/>
      <c r="D708" s="80"/>
    </row>
    <row r="709" spans="1:4" ht="15.75" customHeight="1" x14ac:dyDescent="0.25">
      <c r="A709" s="93"/>
      <c r="B709" s="194"/>
      <c r="C709" s="191"/>
      <c r="D709" s="80"/>
    </row>
    <row r="710" spans="1:4" ht="15.75" customHeight="1" x14ac:dyDescent="0.25">
      <c r="A710" s="93"/>
      <c r="B710" s="194"/>
      <c r="C710" s="191"/>
      <c r="D710" s="80"/>
    </row>
    <row r="711" spans="1:4" ht="15.75" customHeight="1" x14ac:dyDescent="0.25">
      <c r="A711" s="93"/>
      <c r="B711" s="194"/>
      <c r="C711" s="191"/>
      <c r="D711" s="80"/>
    </row>
    <row r="712" spans="1:4" ht="15.75" customHeight="1" x14ac:dyDescent="0.25">
      <c r="A712" s="93"/>
      <c r="B712" s="194"/>
      <c r="C712" s="191"/>
      <c r="D712" s="80"/>
    </row>
    <row r="713" spans="1:4" ht="15.75" customHeight="1" x14ac:dyDescent="0.25">
      <c r="A713" s="93"/>
      <c r="B713" s="194"/>
      <c r="C713" s="191"/>
      <c r="D713" s="80"/>
    </row>
    <row r="714" spans="1:4" ht="15.75" customHeight="1" x14ac:dyDescent="0.25">
      <c r="A714" s="93"/>
      <c r="B714" s="194"/>
      <c r="C714" s="191"/>
      <c r="D714" s="80"/>
    </row>
    <row r="715" spans="1:4" ht="15.75" customHeight="1" x14ac:dyDescent="0.25">
      <c r="A715" s="93"/>
      <c r="B715" s="194"/>
      <c r="C715" s="191"/>
      <c r="D715" s="80"/>
    </row>
    <row r="716" spans="1:4" ht="15.75" customHeight="1" x14ac:dyDescent="0.25">
      <c r="A716" s="93"/>
      <c r="B716" s="194"/>
      <c r="C716" s="191"/>
      <c r="D716" s="80"/>
    </row>
    <row r="717" spans="1:4" ht="15.75" customHeight="1" x14ac:dyDescent="0.25">
      <c r="A717" s="93"/>
      <c r="B717" s="194"/>
      <c r="C717" s="191"/>
      <c r="D717" s="80"/>
    </row>
    <row r="718" spans="1:4" ht="15.75" customHeight="1" x14ac:dyDescent="0.25">
      <c r="A718" s="93"/>
      <c r="B718" s="194"/>
      <c r="C718" s="191"/>
      <c r="D718" s="80"/>
    </row>
    <row r="719" spans="1:4" ht="15.75" customHeight="1" x14ac:dyDescent="0.25">
      <c r="A719" s="93"/>
      <c r="B719" s="194"/>
      <c r="C719" s="191"/>
      <c r="D719" s="80"/>
    </row>
    <row r="720" spans="1:4" ht="15.75" customHeight="1" x14ac:dyDescent="0.25">
      <c r="A720" s="93"/>
      <c r="B720" s="194"/>
      <c r="C720" s="191"/>
      <c r="D720" s="80"/>
    </row>
    <row r="721" spans="1:4" ht="15.75" customHeight="1" x14ac:dyDescent="0.25">
      <c r="A721" s="93"/>
      <c r="B721" s="194"/>
      <c r="C721" s="191"/>
      <c r="D721" s="80"/>
    </row>
    <row r="722" spans="1:4" ht="15.75" customHeight="1" x14ac:dyDescent="0.25">
      <c r="A722" s="93"/>
      <c r="B722" s="194"/>
      <c r="C722" s="191"/>
      <c r="D722" s="80"/>
    </row>
    <row r="723" spans="1:4" ht="15.75" customHeight="1" x14ac:dyDescent="0.25">
      <c r="A723" s="93"/>
      <c r="B723" s="194"/>
      <c r="C723" s="191"/>
      <c r="D723" s="80"/>
    </row>
    <row r="724" spans="1:4" ht="15.75" customHeight="1" x14ac:dyDescent="0.25">
      <c r="A724" s="93"/>
      <c r="B724" s="194"/>
      <c r="C724" s="191"/>
      <c r="D724" s="80"/>
    </row>
    <row r="725" spans="1:4" ht="15.75" customHeight="1" x14ac:dyDescent="0.25">
      <c r="A725" s="93"/>
      <c r="B725" s="194"/>
      <c r="C725" s="191"/>
      <c r="D725" s="80"/>
    </row>
    <row r="726" spans="1:4" ht="15.75" customHeight="1" x14ac:dyDescent="0.25">
      <c r="A726" s="93"/>
      <c r="B726" s="194"/>
      <c r="C726" s="191"/>
      <c r="D726" s="80"/>
    </row>
    <row r="727" spans="1:4" ht="15.75" customHeight="1" x14ac:dyDescent="0.25">
      <c r="A727" s="93"/>
      <c r="B727" s="194"/>
      <c r="C727" s="191"/>
      <c r="D727" s="80"/>
    </row>
    <row r="728" spans="1:4" ht="15.75" customHeight="1" x14ac:dyDescent="0.25">
      <c r="A728" s="93"/>
      <c r="B728" s="194"/>
      <c r="C728" s="191"/>
      <c r="D728" s="80"/>
    </row>
    <row r="729" spans="1:4" ht="15.75" customHeight="1" x14ac:dyDescent="0.25">
      <c r="A729" s="93"/>
      <c r="B729" s="194"/>
      <c r="C729" s="191"/>
      <c r="D729" s="80"/>
    </row>
    <row r="730" spans="1:4" ht="15.75" customHeight="1" x14ac:dyDescent="0.25">
      <c r="A730" s="93"/>
      <c r="B730" s="194"/>
      <c r="C730" s="191"/>
      <c r="D730" s="80"/>
    </row>
    <row r="731" spans="1:4" ht="15.75" customHeight="1" x14ac:dyDescent="0.25">
      <c r="A731" s="93"/>
      <c r="B731" s="194"/>
      <c r="C731" s="191"/>
      <c r="D731" s="80"/>
    </row>
    <row r="732" spans="1:4" ht="15.75" customHeight="1" x14ac:dyDescent="0.25">
      <c r="A732" s="93"/>
      <c r="B732" s="194"/>
      <c r="C732" s="191"/>
      <c r="D732" s="80"/>
    </row>
    <row r="733" spans="1:4" ht="15.75" customHeight="1" x14ac:dyDescent="0.25">
      <c r="A733" s="93"/>
      <c r="B733" s="194"/>
      <c r="C733" s="191"/>
      <c r="D733" s="80"/>
    </row>
    <row r="734" spans="1:4" ht="15.75" customHeight="1" x14ac:dyDescent="0.25">
      <c r="A734" s="93"/>
      <c r="B734" s="194"/>
      <c r="C734" s="191"/>
      <c r="D734" s="80"/>
    </row>
    <row r="735" spans="1:4" ht="15.75" customHeight="1" x14ac:dyDescent="0.25">
      <c r="A735" s="93"/>
      <c r="B735" s="194"/>
      <c r="C735" s="191"/>
      <c r="D735" s="80"/>
    </row>
    <row r="736" spans="1:4" ht="15.75" customHeight="1" x14ac:dyDescent="0.25">
      <c r="A736" s="93"/>
      <c r="B736" s="194"/>
      <c r="C736" s="191"/>
      <c r="D736" s="80"/>
    </row>
    <row r="737" spans="1:4" ht="15.75" customHeight="1" x14ac:dyDescent="0.25">
      <c r="A737" s="93"/>
      <c r="B737" s="194"/>
      <c r="C737" s="191"/>
      <c r="D737" s="80"/>
    </row>
    <row r="738" spans="1:4" ht="15.75" customHeight="1" x14ac:dyDescent="0.25">
      <c r="A738" s="93"/>
      <c r="B738" s="194"/>
      <c r="C738" s="191"/>
      <c r="D738" s="80"/>
    </row>
    <row r="739" spans="1:4" ht="15.75" customHeight="1" x14ac:dyDescent="0.25">
      <c r="A739" s="93"/>
      <c r="B739" s="194"/>
      <c r="C739" s="191"/>
      <c r="D739" s="80"/>
    </row>
    <row r="740" spans="1:4" ht="15.75" customHeight="1" x14ac:dyDescent="0.25">
      <c r="A740" s="93"/>
      <c r="B740" s="194"/>
      <c r="C740" s="191"/>
      <c r="D740" s="80"/>
    </row>
    <row r="741" spans="1:4" ht="15.75" customHeight="1" x14ac:dyDescent="0.25">
      <c r="A741" s="93"/>
      <c r="B741" s="194"/>
      <c r="C741" s="191"/>
      <c r="D741" s="80"/>
    </row>
    <row r="742" spans="1:4" ht="15.75" customHeight="1" x14ac:dyDescent="0.25">
      <c r="A742" s="93"/>
      <c r="B742" s="194"/>
      <c r="C742" s="191"/>
      <c r="D742" s="80"/>
    </row>
    <row r="743" spans="1:4" ht="15.75" customHeight="1" x14ac:dyDescent="0.25">
      <c r="A743" s="93"/>
      <c r="B743" s="194"/>
      <c r="C743" s="191"/>
      <c r="D743" s="80"/>
    </row>
    <row r="744" spans="1:4" ht="15.75" customHeight="1" x14ac:dyDescent="0.25">
      <c r="A744" s="93"/>
      <c r="B744" s="194"/>
      <c r="C744" s="191"/>
      <c r="D744" s="80"/>
    </row>
    <row r="745" spans="1:4" ht="15.75" customHeight="1" x14ac:dyDescent="0.25">
      <c r="A745" s="93"/>
      <c r="B745" s="194"/>
      <c r="C745" s="191"/>
      <c r="D745" s="80"/>
    </row>
    <row r="746" spans="1:4" ht="15.75" customHeight="1" x14ac:dyDescent="0.25">
      <c r="A746" s="93"/>
      <c r="B746" s="194"/>
      <c r="C746" s="191"/>
      <c r="D746" s="80"/>
    </row>
    <row r="747" spans="1:4" ht="15.75" customHeight="1" x14ac:dyDescent="0.25">
      <c r="A747" s="93"/>
      <c r="B747" s="194"/>
      <c r="C747" s="191"/>
      <c r="D747" s="80"/>
    </row>
    <row r="748" spans="1:4" ht="15.75" customHeight="1" x14ac:dyDescent="0.25">
      <c r="A748" s="93"/>
      <c r="B748" s="194"/>
      <c r="C748" s="191"/>
      <c r="D748" s="80"/>
    </row>
    <row r="749" spans="1:4" ht="15.75" customHeight="1" x14ac:dyDescent="0.25">
      <c r="A749" s="93"/>
      <c r="B749" s="194"/>
      <c r="C749" s="191"/>
      <c r="D749" s="80"/>
    </row>
    <row r="750" spans="1:4" ht="15.75" customHeight="1" x14ac:dyDescent="0.25">
      <c r="A750" s="93"/>
      <c r="B750" s="194"/>
      <c r="C750" s="191"/>
      <c r="D750" s="80"/>
    </row>
    <row r="751" spans="1:4" ht="15.75" customHeight="1" x14ac:dyDescent="0.25">
      <c r="A751" s="93"/>
      <c r="B751" s="194"/>
      <c r="C751" s="191"/>
      <c r="D751" s="80"/>
    </row>
    <row r="752" spans="1:4" ht="15.75" customHeight="1" x14ac:dyDescent="0.25">
      <c r="A752" s="93"/>
      <c r="B752" s="194"/>
      <c r="C752" s="191"/>
      <c r="D752" s="80"/>
    </row>
    <row r="753" spans="1:4" ht="15.75" customHeight="1" x14ac:dyDescent="0.25">
      <c r="A753" s="93"/>
      <c r="B753" s="194"/>
      <c r="C753" s="191"/>
      <c r="D753" s="80"/>
    </row>
    <row r="754" spans="1:4" ht="15.75" customHeight="1" x14ac:dyDescent="0.25">
      <c r="A754" s="93"/>
      <c r="B754" s="194"/>
      <c r="C754" s="191"/>
      <c r="D754" s="80"/>
    </row>
    <row r="755" spans="1:4" ht="15.75" customHeight="1" x14ac:dyDescent="0.25">
      <c r="A755" s="93"/>
      <c r="B755" s="194"/>
      <c r="C755" s="191"/>
      <c r="D755" s="80"/>
    </row>
    <row r="756" spans="1:4" ht="15.75" customHeight="1" x14ac:dyDescent="0.25">
      <c r="A756" s="93"/>
      <c r="B756" s="194"/>
      <c r="C756" s="191"/>
      <c r="D756" s="80"/>
    </row>
    <row r="757" spans="1:4" ht="15.75" customHeight="1" x14ac:dyDescent="0.25">
      <c r="A757" s="93"/>
      <c r="B757" s="194"/>
      <c r="C757" s="191"/>
      <c r="D757" s="80"/>
    </row>
    <row r="758" spans="1:4" ht="15.75" customHeight="1" x14ac:dyDescent="0.25">
      <c r="A758" s="93"/>
      <c r="B758" s="194"/>
      <c r="C758" s="191"/>
      <c r="D758" s="80"/>
    </row>
    <row r="759" spans="1:4" ht="15.75" customHeight="1" x14ac:dyDescent="0.25">
      <c r="A759" s="93"/>
      <c r="B759" s="194"/>
      <c r="C759" s="191"/>
      <c r="D759" s="80"/>
    </row>
    <row r="760" spans="1:4" ht="15.75" customHeight="1" x14ac:dyDescent="0.25">
      <c r="A760" s="93"/>
      <c r="B760" s="194"/>
      <c r="C760" s="191"/>
      <c r="D760" s="80"/>
    </row>
    <row r="761" spans="1:4" ht="15.75" customHeight="1" x14ac:dyDescent="0.25">
      <c r="A761" s="93"/>
      <c r="B761" s="194"/>
      <c r="C761" s="191"/>
      <c r="D761" s="80"/>
    </row>
    <row r="762" spans="1:4" ht="15.75" customHeight="1" x14ac:dyDescent="0.25">
      <c r="A762" s="93"/>
      <c r="B762" s="194"/>
      <c r="C762" s="191"/>
      <c r="D762" s="80"/>
    </row>
    <row r="763" spans="1:4" ht="15.75" customHeight="1" x14ac:dyDescent="0.25">
      <c r="A763" s="93"/>
      <c r="B763" s="194"/>
      <c r="C763" s="191"/>
      <c r="D763" s="80"/>
    </row>
    <row r="764" spans="1:4" ht="15.75" customHeight="1" x14ac:dyDescent="0.25">
      <c r="A764" s="93"/>
      <c r="B764" s="194"/>
      <c r="C764" s="191"/>
      <c r="D764" s="80"/>
    </row>
    <row r="765" spans="1:4" ht="15.75" customHeight="1" x14ac:dyDescent="0.25">
      <c r="A765" s="93"/>
      <c r="B765" s="194"/>
      <c r="C765" s="191"/>
      <c r="D765" s="80"/>
    </row>
    <row r="766" spans="1:4" ht="15.75" customHeight="1" x14ac:dyDescent="0.25">
      <c r="A766" s="93"/>
      <c r="B766" s="194"/>
      <c r="C766" s="191"/>
      <c r="D766" s="80"/>
    </row>
    <row r="767" spans="1:4" ht="15.75" customHeight="1" x14ac:dyDescent="0.25">
      <c r="A767" s="93"/>
      <c r="B767" s="194"/>
      <c r="C767" s="191"/>
      <c r="D767" s="80"/>
    </row>
    <row r="768" spans="1:4" ht="15.75" customHeight="1" x14ac:dyDescent="0.25">
      <c r="A768" s="93"/>
      <c r="B768" s="194"/>
      <c r="C768" s="191"/>
      <c r="D768" s="80"/>
    </row>
    <row r="769" spans="1:4" ht="15.75" customHeight="1" x14ac:dyDescent="0.25">
      <c r="A769" s="93"/>
      <c r="B769" s="194"/>
      <c r="C769" s="191"/>
      <c r="D769" s="80"/>
    </row>
    <row r="770" spans="1:4" ht="15.75" customHeight="1" x14ac:dyDescent="0.25">
      <c r="A770" s="93"/>
      <c r="B770" s="194"/>
      <c r="C770" s="191"/>
      <c r="D770" s="80"/>
    </row>
    <row r="771" spans="1:4" ht="15.75" customHeight="1" x14ac:dyDescent="0.25">
      <c r="A771" s="93"/>
      <c r="B771" s="194"/>
      <c r="C771" s="191"/>
      <c r="D771" s="80"/>
    </row>
    <row r="772" spans="1:4" ht="15.75" customHeight="1" x14ac:dyDescent="0.25">
      <c r="A772" s="93"/>
      <c r="B772" s="194"/>
      <c r="C772" s="191"/>
      <c r="D772" s="80"/>
    </row>
    <row r="773" spans="1:4" ht="15.75" customHeight="1" x14ac:dyDescent="0.25">
      <c r="A773" s="93"/>
      <c r="B773" s="194"/>
      <c r="C773" s="191"/>
      <c r="D773" s="80"/>
    </row>
    <row r="774" spans="1:4" ht="15.75" customHeight="1" x14ac:dyDescent="0.25">
      <c r="A774" s="93"/>
      <c r="B774" s="194"/>
      <c r="C774" s="191"/>
      <c r="D774" s="80"/>
    </row>
    <row r="775" spans="1:4" ht="15.75" customHeight="1" x14ac:dyDescent="0.25">
      <c r="A775" s="93"/>
      <c r="B775" s="194"/>
      <c r="C775" s="191"/>
      <c r="D775" s="80"/>
    </row>
    <row r="776" spans="1:4" ht="15.75" customHeight="1" x14ac:dyDescent="0.25">
      <c r="A776" s="93"/>
      <c r="B776" s="194"/>
      <c r="C776" s="191"/>
      <c r="D776" s="80"/>
    </row>
    <row r="777" spans="1:4" ht="15.75" customHeight="1" x14ac:dyDescent="0.25">
      <c r="A777" s="93"/>
      <c r="B777" s="194"/>
      <c r="C777" s="191"/>
      <c r="D777" s="80"/>
    </row>
    <row r="778" spans="1:4" ht="15.75" customHeight="1" x14ac:dyDescent="0.25">
      <c r="A778" s="93"/>
      <c r="B778" s="194"/>
      <c r="C778" s="191"/>
      <c r="D778" s="80"/>
    </row>
    <row r="779" spans="1:4" ht="15.75" customHeight="1" x14ac:dyDescent="0.25">
      <c r="A779" s="93"/>
      <c r="B779" s="194"/>
      <c r="C779" s="191"/>
      <c r="D779" s="80"/>
    </row>
    <row r="780" spans="1:4" ht="15.75" customHeight="1" x14ac:dyDescent="0.25">
      <c r="A780" s="93"/>
      <c r="B780" s="194"/>
      <c r="C780" s="191"/>
      <c r="D780" s="80"/>
    </row>
    <row r="781" spans="1:4" ht="15.75" customHeight="1" x14ac:dyDescent="0.25">
      <c r="A781" s="93"/>
      <c r="B781" s="194"/>
      <c r="C781" s="191"/>
      <c r="D781" s="80"/>
    </row>
    <row r="782" spans="1:4" ht="15.75" customHeight="1" x14ac:dyDescent="0.25">
      <c r="A782" s="93"/>
      <c r="B782" s="194"/>
      <c r="C782" s="191"/>
      <c r="D782" s="80"/>
    </row>
    <row r="783" spans="1:4" ht="15.75" customHeight="1" x14ac:dyDescent="0.25">
      <c r="A783" s="93"/>
      <c r="B783" s="194"/>
      <c r="C783" s="191"/>
      <c r="D783" s="80"/>
    </row>
    <row r="784" spans="1:4" ht="15.75" customHeight="1" x14ac:dyDescent="0.25">
      <c r="A784" s="93"/>
      <c r="B784" s="194"/>
      <c r="C784" s="191"/>
      <c r="D784" s="80"/>
    </row>
    <row r="785" spans="1:4" ht="15.75" customHeight="1" x14ac:dyDescent="0.25">
      <c r="A785" s="93"/>
      <c r="B785" s="194"/>
      <c r="C785" s="191"/>
      <c r="D785" s="80"/>
    </row>
    <row r="786" spans="1:4" ht="15.75" customHeight="1" x14ac:dyDescent="0.25">
      <c r="A786" s="93"/>
      <c r="B786" s="194"/>
      <c r="C786" s="191"/>
      <c r="D786" s="80"/>
    </row>
    <row r="787" spans="1:4" ht="15.75" customHeight="1" x14ac:dyDescent="0.25">
      <c r="A787" s="93"/>
      <c r="B787" s="194"/>
      <c r="C787" s="191"/>
      <c r="D787" s="80"/>
    </row>
    <row r="788" spans="1:4" ht="15.75" customHeight="1" x14ac:dyDescent="0.25">
      <c r="A788" s="93"/>
      <c r="B788" s="194"/>
      <c r="C788" s="191"/>
      <c r="D788" s="80"/>
    </row>
    <row r="789" spans="1:4" ht="15.75" customHeight="1" x14ac:dyDescent="0.25">
      <c r="A789" s="93"/>
      <c r="B789" s="194"/>
      <c r="C789" s="191"/>
      <c r="D789" s="80"/>
    </row>
    <row r="790" spans="1:4" ht="15.75" customHeight="1" x14ac:dyDescent="0.25">
      <c r="A790" s="93"/>
      <c r="B790" s="194"/>
      <c r="C790" s="191"/>
      <c r="D790" s="80"/>
    </row>
    <row r="791" spans="1:4" ht="15.75" customHeight="1" x14ac:dyDescent="0.25">
      <c r="A791" s="93"/>
      <c r="B791" s="194"/>
      <c r="C791" s="191"/>
      <c r="D791" s="80"/>
    </row>
    <row r="792" spans="1:4" ht="15.75" customHeight="1" x14ac:dyDescent="0.25">
      <c r="A792" s="93"/>
      <c r="B792" s="194"/>
      <c r="C792" s="191"/>
      <c r="D792" s="80"/>
    </row>
    <row r="793" spans="1:4" ht="15.75" customHeight="1" x14ac:dyDescent="0.25">
      <c r="A793" s="93"/>
      <c r="B793" s="194"/>
      <c r="C793" s="191"/>
      <c r="D793" s="80"/>
    </row>
    <row r="794" spans="1:4" ht="15.75" customHeight="1" x14ac:dyDescent="0.25">
      <c r="A794" s="93"/>
      <c r="B794" s="194"/>
      <c r="C794" s="191"/>
      <c r="D794" s="80"/>
    </row>
    <row r="795" spans="1:4" ht="15.75" customHeight="1" x14ac:dyDescent="0.25">
      <c r="A795" s="93"/>
      <c r="B795" s="194"/>
      <c r="C795" s="191"/>
      <c r="D795" s="80"/>
    </row>
    <row r="796" spans="1:4" ht="15.75" customHeight="1" x14ac:dyDescent="0.25">
      <c r="A796" s="93"/>
      <c r="B796" s="194"/>
      <c r="C796" s="191"/>
      <c r="D796" s="80"/>
    </row>
    <row r="797" spans="1:4" ht="15.75" customHeight="1" x14ac:dyDescent="0.25">
      <c r="A797" s="93"/>
      <c r="B797" s="194"/>
      <c r="C797" s="191"/>
      <c r="D797" s="80"/>
    </row>
    <row r="798" spans="1:4" ht="15.75" customHeight="1" x14ac:dyDescent="0.25">
      <c r="A798" s="93"/>
      <c r="B798" s="194"/>
      <c r="C798" s="191"/>
      <c r="D798" s="80"/>
    </row>
    <row r="799" spans="1:4" ht="15.75" customHeight="1" x14ac:dyDescent="0.25">
      <c r="A799" s="93"/>
      <c r="B799" s="194"/>
      <c r="C799" s="191"/>
      <c r="D799" s="80"/>
    </row>
    <row r="800" spans="1:4" ht="15.75" customHeight="1" x14ac:dyDescent="0.25">
      <c r="A800" s="93"/>
      <c r="B800" s="194"/>
      <c r="C800" s="191"/>
      <c r="D800" s="80"/>
    </row>
    <row r="801" spans="1:4" ht="15.75" customHeight="1" x14ac:dyDescent="0.25">
      <c r="A801" s="93"/>
      <c r="B801" s="194"/>
      <c r="C801" s="191"/>
      <c r="D801" s="80"/>
    </row>
    <row r="802" spans="1:4" ht="15.75" customHeight="1" x14ac:dyDescent="0.25">
      <c r="A802" s="93"/>
      <c r="B802" s="194"/>
      <c r="C802" s="191"/>
      <c r="D802" s="80"/>
    </row>
    <row r="803" spans="1:4" ht="15.75" customHeight="1" x14ac:dyDescent="0.25">
      <c r="A803" s="93"/>
      <c r="B803" s="194"/>
      <c r="C803" s="191"/>
      <c r="D803" s="80"/>
    </row>
    <row r="804" spans="1:4" ht="15.75" customHeight="1" x14ac:dyDescent="0.25">
      <c r="A804" s="93"/>
      <c r="B804" s="194"/>
      <c r="C804" s="191"/>
      <c r="D804" s="80"/>
    </row>
    <row r="805" spans="1:4" ht="15.75" customHeight="1" x14ac:dyDescent="0.25">
      <c r="A805" s="93"/>
      <c r="B805" s="194"/>
      <c r="C805" s="191"/>
      <c r="D805" s="80"/>
    </row>
    <row r="806" spans="1:4" ht="15.75" customHeight="1" x14ac:dyDescent="0.25">
      <c r="A806" s="93"/>
      <c r="B806" s="194"/>
      <c r="C806" s="191"/>
      <c r="D806" s="80"/>
    </row>
    <row r="807" spans="1:4" ht="15.75" customHeight="1" x14ac:dyDescent="0.25">
      <c r="A807" s="93"/>
      <c r="B807" s="194"/>
      <c r="C807" s="191"/>
      <c r="D807" s="80"/>
    </row>
    <row r="808" spans="1:4" ht="15.75" customHeight="1" x14ac:dyDescent="0.25">
      <c r="A808" s="93"/>
      <c r="B808" s="194"/>
      <c r="C808" s="191"/>
      <c r="D808" s="80"/>
    </row>
    <row r="809" spans="1:4" ht="15.75" customHeight="1" x14ac:dyDescent="0.25">
      <c r="A809" s="93"/>
      <c r="B809" s="194"/>
      <c r="C809" s="191"/>
      <c r="D809" s="80"/>
    </row>
    <row r="810" spans="1:4" ht="15.75" customHeight="1" x14ac:dyDescent="0.25">
      <c r="A810" s="93"/>
      <c r="B810" s="194"/>
      <c r="C810" s="191"/>
      <c r="D810" s="80"/>
    </row>
    <row r="811" spans="1:4" ht="15.75" customHeight="1" x14ac:dyDescent="0.25">
      <c r="A811" s="93"/>
      <c r="B811" s="194"/>
      <c r="C811" s="191"/>
      <c r="D811" s="80"/>
    </row>
    <row r="812" spans="1:4" ht="15.75" customHeight="1" x14ac:dyDescent="0.25">
      <c r="A812" s="93"/>
      <c r="B812" s="194"/>
      <c r="C812" s="191"/>
      <c r="D812" s="80"/>
    </row>
    <row r="813" spans="1:4" ht="15.75" customHeight="1" x14ac:dyDescent="0.25">
      <c r="A813" s="93"/>
      <c r="B813" s="194"/>
      <c r="C813" s="191"/>
      <c r="D813" s="80"/>
    </row>
    <row r="814" spans="1:4" ht="15.75" customHeight="1" x14ac:dyDescent="0.25">
      <c r="A814" s="93"/>
      <c r="B814" s="194"/>
      <c r="C814" s="191"/>
      <c r="D814" s="80"/>
    </row>
    <row r="815" spans="1:4" ht="15.75" customHeight="1" x14ac:dyDescent="0.25">
      <c r="A815" s="93"/>
      <c r="B815" s="194"/>
      <c r="C815" s="191"/>
      <c r="D815" s="80"/>
    </row>
    <row r="816" spans="1:4" ht="15.75" customHeight="1" x14ac:dyDescent="0.25">
      <c r="A816" s="93"/>
      <c r="B816" s="194"/>
      <c r="C816" s="191"/>
      <c r="D816" s="80"/>
    </row>
    <row r="817" spans="1:4" ht="15.75" customHeight="1" x14ac:dyDescent="0.25">
      <c r="A817" s="93"/>
      <c r="B817" s="194"/>
      <c r="C817" s="191"/>
      <c r="D817" s="80"/>
    </row>
    <row r="818" spans="1:4" ht="15.75" customHeight="1" x14ac:dyDescent="0.25">
      <c r="A818" s="93"/>
      <c r="B818" s="194"/>
      <c r="C818" s="191"/>
      <c r="D818" s="80"/>
    </row>
    <row r="819" spans="1:4" ht="15.75" customHeight="1" x14ac:dyDescent="0.25">
      <c r="A819" s="93"/>
      <c r="B819" s="194"/>
      <c r="C819" s="191"/>
      <c r="D819" s="80"/>
    </row>
    <row r="820" spans="1:4" ht="15.75" customHeight="1" x14ac:dyDescent="0.25">
      <c r="A820" s="93"/>
      <c r="B820" s="194"/>
      <c r="C820" s="191"/>
      <c r="D820" s="80"/>
    </row>
    <row r="821" spans="1:4" ht="15.75" customHeight="1" x14ac:dyDescent="0.25">
      <c r="A821" s="93"/>
      <c r="B821" s="194"/>
      <c r="C821" s="191"/>
      <c r="D821" s="80"/>
    </row>
    <row r="822" spans="1:4" ht="15.75" customHeight="1" x14ac:dyDescent="0.25">
      <c r="A822" s="93"/>
      <c r="B822" s="194"/>
      <c r="C822" s="191"/>
      <c r="D822" s="80"/>
    </row>
    <row r="823" spans="1:4" ht="15.75" customHeight="1" x14ac:dyDescent="0.25">
      <c r="A823" s="93"/>
      <c r="B823" s="194"/>
      <c r="C823" s="191"/>
      <c r="D823" s="80"/>
    </row>
    <row r="824" spans="1:4" ht="15.75" customHeight="1" x14ac:dyDescent="0.25">
      <c r="A824" s="93"/>
      <c r="B824" s="194"/>
      <c r="C824" s="191"/>
      <c r="D824" s="80"/>
    </row>
    <row r="825" spans="1:4" ht="15.75" customHeight="1" x14ac:dyDescent="0.25">
      <c r="A825" s="93"/>
      <c r="B825" s="194"/>
      <c r="C825" s="191"/>
      <c r="D825" s="80"/>
    </row>
    <row r="826" spans="1:4" ht="15.75" customHeight="1" x14ac:dyDescent="0.25">
      <c r="A826" s="93"/>
      <c r="B826" s="194"/>
      <c r="C826" s="191"/>
      <c r="D826" s="80"/>
    </row>
    <row r="827" spans="1:4" ht="15.75" customHeight="1" x14ac:dyDescent="0.25">
      <c r="A827" s="93"/>
      <c r="B827" s="194"/>
      <c r="C827" s="191"/>
      <c r="D827" s="80"/>
    </row>
    <row r="828" spans="1:4" ht="15.75" customHeight="1" x14ac:dyDescent="0.25">
      <c r="A828" s="93"/>
      <c r="B828" s="194"/>
      <c r="C828" s="191"/>
      <c r="D828" s="80"/>
    </row>
    <row r="829" spans="1:4" ht="15.75" customHeight="1" x14ac:dyDescent="0.25">
      <c r="A829" s="93"/>
      <c r="B829" s="194"/>
      <c r="C829" s="191"/>
      <c r="D829" s="80"/>
    </row>
    <row r="830" spans="1:4" ht="15.75" customHeight="1" x14ac:dyDescent="0.25">
      <c r="A830" s="93"/>
      <c r="B830" s="194"/>
      <c r="C830" s="191"/>
      <c r="D830" s="80"/>
    </row>
    <row r="831" spans="1:4" ht="15.75" customHeight="1" x14ac:dyDescent="0.25">
      <c r="A831" s="93"/>
      <c r="B831" s="194"/>
      <c r="C831" s="191"/>
      <c r="D831" s="80"/>
    </row>
    <row r="832" spans="1:4" ht="15.75" customHeight="1" x14ac:dyDescent="0.25">
      <c r="A832" s="93"/>
      <c r="B832" s="194"/>
      <c r="C832" s="191"/>
      <c r="D832" s="80"/>
    </row>
    <row r="833" spans="1:4" ht="15.75" customHeight="1" x14ac:dyDescent="0.25">
      <c r="A833" s="93"/>
      <c r="B833" s="194"/>
      <c r="C833" s="191"/>
      <c r="D833" s="80"/>
    </row>
    <row r="834" spans="1:4" ht="15.75" customHeight="1" x14ac:dyDescent="0.25">
      <c r="A834" s="93"/>
      <c r="B834" s="194"/>
      <c r="C834" s="191"/>
      <c r="D834" s="80"/>
    </row>
    <row r="835" spans="1:4" ht="15.75" customHeight="1" x14ac:dyDescent="0.25">
      <c r="A835" s="93"/>
      <c r="B835" s="194"/>
      <c r="C835" s="191"/>
      <c r="D835" s="80"/>
    </row>
    <row r="836" spans="1:4" ht="15.75" customHeight="1" x14ac:dyDescent="0.25">
      <c r="A836" s="93"/>
      <c r="B836" s="194"/>
      <c r="C836" s="191"/>
      <c r="D836" s="80"/>
    </row>
    <row r="837" spans="1:4" ht="15.75" customHeight="1" x14ac:dyDescent="0.25">
      <c r="A837" s="93"/>
      <c r="B837" s="194"/>
      <c r="C837" s="191"/>
      <c r="D837" s="80"/>
    </row>
    <row r="838" spans="1:4" ht="15.75" customHeight="1" x14ac:dyDescent="0.25">
      <c r="A838" s="93"/>
      <c r="B838" s="194"/>
      <c r="C838" s="191"/>
      <c r="D838" s="80"/>
    </row>
    <row r="839" spans="1:4" ht="15.75" customHeight="1" x14ac:dyDescent="0.25">
      <c r="A839" s="93"/>
      <c r="B839" s="194"/>
      <c r="C839" s="191"/>
      <c r="D839" s="80"/>
    </row>
    <row r="840" spans="1:4" ht="15.75" customHeight="1" x14ac:dyDescent="0.25">
      <c r="A840" s="93"/>
      <c r="B840" s="194"/>
      <c r="C840" s="191"/>
      <c r="D840" s="80"/>
    </row>
    <row r="841" spans="1:4" ht="15.75" customHeight="1" x14ac:dyDescent="0.25">
      <c r="A841" s="93"/>
      <c r="B841" s="194"/>
      <c r="C841" s="191"/>
      <c r="D841" s="80"/>
    </row>
    <row r="842" spans="1:4" ht="15.75" customHeight="1" x14ac:dyDescent="0.25">
      <c r="A842" s="93"/>
      <c r="B842" s="194"/>
      <c r="C842" s="191"/>
      <c r="D842" s="80"/>
    </row>
    <row r="843" spans="1:4" ht="15.75" customHeight="1" x14ac:dyDescent="0.25">
      <c r="A843" s="93"/>
      <c r="B843" s="194"/>
      <c r="C843" s="191"/>
      <c r="D843" s="80"/>
    </row>
    <row r="844" spans="1:4" ht="15.75" customHeight="1" x14ac:dyDescent="0.25">
      <c r="A844" s="93"/>
      <c r="B844" s="194"/>
      <c r="C844" s="191"/>
      <c r="D844" s="80"/>
    </row>
    <row r="845" spans="1:4" ht="15.75" customHeight="1" x14ac:dyDescent="0.25">
      <c r="A845" s="93"/>
      <c r="B845" s="194"/>
      <c r="C845" s="191"/>
      <c r="D845" s="80"/>
    </row>
    <row r="846" spans="1:4" ht="15.75" customHeight="1" x14ac:dyDescent="0.25">
      <c r="A846" s="93"/>
      <c r="B846" s="194"/>
      <c r="C846" s="191"/>
      <c r="D846" s="80"/>
    </row>
    <row r="847" spans="1:4" ht="15.75" customHeight="1" x14ac:dyDescent="0.25">
      <c r="A847" s="93"/>
      <c r="B847" s="194"/>
      <c r="C847" s="191"/>
      <c r="D847" s="80"/>
    </row>
    <row r="848" spans="1:4" ht="15.75" customHeight="1" x14ac:dyDescent="0.25">
      <c r="A848" s="93"/>
      <c r="B848" s="194"/>
      <c r="C848" s="191"/>
      <c r="D848" s="80"/>
    </row>
    <row r="849" spans="1:4" ht="15.75" customHeight="1" x14ac:dyDescent="0.25">
      <c r="A849" s="93"/>
      <c r="B849" s="194"/>
      <c r="C849" s="191"/>
      <c r="D849" s="80"/>
    </row>
    <row r="850" spans="1:4" ht="15.75" customHeight="1" x14ac:dyDescent="0.25">
      <c r="A850" s="93"/>
      <c r="B850" s="194"/>
      <c r="C850" s="191"/>
      <c r="D850" s="80"/>
    </row>
    <row r="851" spans="1:4" ht="15.75" customHeight="1" x14ac:dyDescent="0.25">
      <c r="A851" s="93"/>
      <c r="B851" s="194"/>
      <c r="C851" s="191"/>
      <c r="D851" s="80"/>
    </row>
    <row r="852" spans="1:4" ht="15.75" customHeight="1" x14ac:dyDescent="0.25">
      <c r="A852" s="93"/>
      <c r="B852" s="194"/>
      <c r="C852" s="191"/>
      <c r="D852" s="80"/>
    </row>
    <row r="853" spans="1:4" ht="15.75" customHeight="1" x14ac:dyDescent="0.25">
      <c r="A853" s="93"/>
      <c r="B853" s="194"/>
      <c r="C853" s="191"/>
      <c r="D853" s="80"/>
    </row>
    <row r="854" spans="1:4" ht="15.75" customHeight="1" x14ac:dyDescent="0.25">
      <c r="A854" s="93"/>
      <c r="B854" s="194"/>
      <c r="C854" s="191"/>
      <c r="D854" s="80"/>
    </row>
    <row r="855" spans="1:4" ht="15.75" customHeight="1" x14ac:dyDescent="0.25">
      <c r="A855" s="93"/>
      <c r="B855" s="194"/>
      <c r="C855" s="191"/>
      <c r="D855" s="80"/>
    </row>
    <row r="856" spans="1:4" ht="15.75" customHeight="1" x14ac:dyDescent="0.25">
      <c r="A856" s="93"/>
      <c r="B856" s="194"/>
      <c r="C856" s="191"/>
      <c r="D856" s="80"/>
    </row>
    <row r="857" spans="1:4" ht="15.75" customHeight="1" x14ac:dyDescent="0.25">
      <c r="A857" s="93"/>
      <c r="B857" s="194"/>
      <c r="C857" s="191"/>
      <c r="D857" s="80"/>
    </row>
    <row r="858" spans="1:4" ht="15.75" customHeight="1" x14ac:dyDescent="0.25">
      <c r="A858" s="93"/>
      <c r="B858" s="194"/>
      <c r="C858" s="191"/>
      <c r="D858" s="80"/>
    </row>
    <row r="859" spans="1:4" ht="15.75" customHeight="1" x14ac:dyDescent="0.25">
      <c r="A859" s="93"/>
      <c r="B859" s="194"/>
      <c r="C859" s="191"/>
      <c r="D859" s="80"/>
    </row>
    <row r="860" spans="1:4" ht="15.75" customHeight="1" x14ac:dyDescent="0.25">
      <c r="A860" s="93"/>
      <c r="B860" s="194"/>
      <c r="C860" s="191"/>
      <c r="D860" s="80"/>
    </row>
    <row r="861" spans="1:4" ht="15.75" customHeight="1" x14ac:dyDescent="0.25">
      <c r="A861" s="93"/>
      <c r="B861" s="194"/>
      <c r="C861" s="191"/>
      <c r="D861" s="80"/>
    </row>
    <row r="862" spans="1:4" ht="15.75" customHeight="1" x14ac:dyDescent="0.25">
      <c r="A862" s="93"/>
      <c r="B862" s="194"/>
      <c r="C862" s="191"/>
      <c r="D862" s="80"/>
    </row>
    <row r="863" spans="1:4" ht="15.75" customHeight="1" x14ac:dyDescent="0.25">
      <c r="A863" s="93"/>
      <c r="B863" s="194"/>
      <c r="C863" s="191"/>
      <c r="D863" s="80"/>
    </row>
    <row r="864" spans="1:4" ht="15.75" customHeight="1" x14ac:dyDescent="0.25">
      <c r="A864" s="93"/>
      <c r="B864" s="194"/>
      <c r="C864" s="191"/>
      <c r="D864" s="80"/>
    </row>
    <row r="865" spans="1:4" ht="15.75" customHeight="1" x14ac:dyDescent="0.25">
      <c r="A865" s="93"/>
      <c r="B865" s="194"/>
      <c r="C865" s="191"/>
      <c r="D865" s="80"/>
    </row>
    <row r="866" spans="1:4" ht="15.75" customHeight="1" x14ac:dyDescent="0.25">
      <c r="A866" s="93"/>
      <c r="B866" s="194"/>
      <c r="C866" s="191"/>
      <c r="D866" s="80"/>
    </row>
    <row r="867" spans="1:4" ht="15.75" customHeight="1" x14ac:dyDescent="0.25">
      <c r="A867" s="93"/>
      <c r="B867" s="194"/>
      <c r="C867" s="191"/>
      <c r="D867" s="80"/>
    </row>
    <row r="868" spans="1:4" ht="15.75" customHeight="1" x14ac:dyDescent="0.25">
      <c r="A868" s="93"/>
      <c r="B868" s="194"/>
      <c r="C868" s="191"/>
      <c r="D868" s="80"/>
    </row>
    <row r="869" spans="1:4" ht="15.75" customHeight="1" x14ac:dyDescent="0.25">
      <c r="A869" s="93"/>
      <c r="B869" s="194"/>
      <c r="C869" s="191"/>
      <c r="D869" s="80"/>
    </row>
    <row r="870" spans="1:4" ht="15.75" customHeight="1" x14ac:dyDescent="0.25">
      <c r="A870" s="93"/>
      <c r="B870" s="194"/>
      <c r="C870" s="191"/>
      <c r="D870" s="80"/>
    </row>
    <row r="871" spans="1:4" ht="15.75" customHeight="1" x14ac:dyDescent="0.25">
      <c r="A871" s="93"/>
      <c r="B871" s="194"/>
      <c r="C871" s="191"/>
      <c r="D871" s="80"/>
    </row>
    <row r="872" spans="1:4" ht="15.75" customHeight="1" x14ac:dyDescent="0.25">
      <c r="A872" s="93"/>
      <c r="B872" s="194"/>
      <c r="C872" s="191"/>
      <c r="D872" s="80"/>
    </row>
    <row r="873" spans="1:4" ht="15.75" customHeight="1" x14ac:dyDescent="0.25">
      <c r="A873" s="93"/>
      <c r="B873" s="194"/>
      <c r="C873" s="191"/>
      <c r="D873" s="80"/>
    </row>
    <row r="874" spans="1:4" ht="15.75" customHeight="1" x14ac:dyDescent="0.25">
      <c r="A874" s="93"/>
      <c r="B874" s="194"/>
      <c r="C874" s="191"/>
      <c r="D874" s="80"/>
    </row>
    <row r="875" spans="1:4" ht="15.75" customHeight="1" x14ac:dyDescent="0.25">
      <c r="A875" s="93"/>
      <c r="B875" s="194"/>
      <c r="C875" s="191"/>
      <c r="D875" s="80"/>
    </row>
    <row r="876" spans="1:4" ht="15.75" customHeight="1" x14ac:dyDescent="0.25">
      <c r="A876" s="93"/>
      <c r="B876" s="194"/>
      <c r="C876" s="191"/>
      <c r="D876" s="80"/>
    </row>
    <row r="877" spans="1:4" ht="15.75" customHeight="1" x14ac:dyDescent="0.25">
      <c r="A877" s="93"/>
      <c r="B877" s="194"/>
      <c r="C877" s="191"/>
      <c r="D877" s="80"/>
    </row>
    <row r="878" spans="1:4" ht="15.75" customHeight="1" x14ac:dyDescent="0.25">
      <c r="A878" s="93"/>
      <c r="B878" s="194"/>
      <c r="C878" s="191"/>
      <c r="D878" s="80"/>
    </row>
    <row r="879" spans="1:4" ht="15.75" customHeight="1" x14ac:dyDescent="0.25">
      <c r="A879" s="93"/>
      <c r="B879" s="194"/>
      <c r="C879" s="191"/>
      <c r="D879" s="80"/>
    </row>
    <row r="880" spans="1:4" ht="15.75" customHeight="1" x14ac:dyDescent="0.25">
      <c r="A880" s="93"/>
      <c r="B880" s="194"/>
      <c r="C880" s="191"/>
      <c r="D880" s="80"/>
    </row>
    <row r="881" spans="1:4" ht="15.75" customHeight="1" x14ac:dyDescent="0.25">
      <c r="A881" s="93"/>
      <c r="B881" s="194"/>
      <c r="C881" s="191"/>
      <c r="D881" s="80"/>
    </row>
    <row r="882" spans="1:4" ht="15.75" customHeight="1" x14ac:dyDescent="0.25">
      <c r="A882" s="93"/>
      <c r="B882" s="194"/>
      <c r="C882" s="191"/>
      <c r="D882" s="80"/>
    </row>
    <row r="883" spans="1:4" ht="15.75" customHeight="1" x14ac:dyDescent="0.25">
      <c r="A883" s="93"/>
      <c r="B883" s="194"/>
      <c r="C883" s="191"/>
      <c r="D883" s="80"/>
    </row>
    <row r="884" spans="1:4" ht="15.75" customHeight="1" x14ac:dyDescent="0.25">
      <c r="A884" s="93"/>
      <c r="B884" s="194"/>
      <c r="C884" s="191"/>
      <c r="D884" s="80"/>
    </row>
    <row r="885" spans="1:4" ht="15.75" customHeight="1" x14ac:dyDescent="0.25">
      <c r="A885" s="93"/>
      <c r="B885" s="194"/>
      <c r="C885" s="191"/>
      <c r="D885" s="80"/>
    </row>
    <row r="886" spans="1:4" ht="15.75" customHeight="1" x14ac:dyDescent="0.25">
      <c r="A886" s="93"/>
      <c r="B886" s="194"/>
      <c r="C886" s="191"/>
      <c r="D886" s="80"/>
    </row>
    <row r="887" spans="1:4" ht="15.75" customHeight="1" x14ac:dyDescent="0.25">
      <c r="A887" s="93"/>
      <c r="B887" s="194"/>
      <c r="C887" s="191"/>
      <c r="D887" s="80"/>
    </row>
    <row r="888" spans="1:4" ht="15.75" customHeight="1" x14ac:dyDescent="0.25">
      <c r="A888" s="93"/>
      <c r="B888" s="194"/>
      <c r="C888" s="191"/>
      <c r="D888" s="80"/>
    </row>
    <row r="889" spans="1:4" ht="15.75" customHeight="1" x14ac:dyDescent="0.25">
      <c r="A889" s="93"/>
      <c r="B889" s="194"/>
      <c r="C889" s="191"/>
      <c r="D889" s="80"/>
    </row>
    <row r="890" spans="1:4" ht="15.75" customHeight="1" x14ac:dyDescent="0.25">
      <c r="A890" s="93"/>
      <c r="B890" s="194"/>
      <c r="C890" s="191"/>
      <c r="D890" s="80"/>
    </row>
    <row r="891" spans="1:4" ht="15.75" customHeight="1" x14ac:dyDescent="0.25">
      <c r="A891" s="93"/>
      <c r="B891" s="194"/>
      <c r="C891" s="191"/>
      <c r="D891" s="80"/>
    </row>
    <row r="892" spans="1:4" ht="15.75" customHeight="1" x14ac:dyDescent="0.25">
      <c r="A892" s="93"/>
      <c r="B892" s="194"/>
      <c r="C892" s="191"/>
      <c r="D892" s="80"/>
    </row>
    <row r="893" spans="1:4" ht="15.75" customHeight="1" x14ac:dyDescent="0.25">
      <c r="A893" s="93"/>
      <c r="B893" s="194"/>
      <c r="C893" s="191"/>
      <c r="D893" s="80"/>
    </row>
    <row r="894" spans="1:4" ht="15.75" customHeight="1" x14ac:dyDescent="0.25">
      <c r="A894" s="93"/>
      <c r="B894" s="194"/>
      <c r="C894" s="191"/>
      <c r="D894" s="80"/>
    </row>
    <row r="895" spans="1:4" ht="15.75" customHeight="1" x14ac:dyDescent="0.25">
      <c r="A895" s="93"/>
      <c r="B895" s="194"/>
      <c r="C895" s="191"/>
      <c r="D895" s="80"/>
    </row>
    <row r="896" spans="1:4" ht="15.75" customHeight="1" x14ac:dyDescent="0.25">
      <c r="A896" s="93"/>
      <c r="B896" s="194"/>
      <c r="C896" s="191"/>
      <c r="D896" s="80"/>
    </row>
    <row r="897" spans="1:4" ht="15.75" customHeight="1" x14ac:dyDescent="0.25">
      <c r="A897" s="93"/>
      <c r="B897" s="194"/>
      <c r="C897" s="191"/>
      <c r="D897" s="80"/>
    </row>
    <row r="898" spans="1:4" ht="15.75" customHeight="1" x14ac:dyDescent="0.25">
      <c r="A898" s="93"/>
      <c r="B898" s="194"/>
      <c r="C898" s="191"/>
      <c r="D898" s="80"/>
    </row>
    <row r="899" spans="1:4" ht="15.75" customHeight="1" x14ac:dyDescent="0.25">
      <c r="A899" s="93"/>
      <c r="B899" s="194"/>
      <c r="C899" s="191"/>
      <c r="D899" s="80"/>
    </row>
    <row r="900" spans="1:4" ht="15.75" customHeight="1" x14ac:dyDescent="0.25">
      <c r="A900" s="93"/>
      <c r="B900" s="194"/>
      <c r="C900" s="191"/>
      <c r="D900" s="80"/>
    </row>
    <row r="901" spans="1:4" ht="15.75" customHeight="1" x14ac:dyDescent="0.25">
      <c r="A901" s="93"/>
      <c r="B901" s="194"/>
      <c r="C901" s="191"/>
      <c r="D901" s="80"/>
    </row>
    <row r="902" spans="1:4" ht="15.75" customHeight="1" x14ac:dyDescent="0.25">
      <c r="A902" s="93"/>
      <c r="B902" s="194"/>
      <c r="C902" s="191"/>
      <c r="D902" s="80"/>
    </row>
    <row r="903" spans="1:4" ht="15.75" customHeight="1" x14ac:dyDescent="0.25">
      <c r="A903" s="93"/>
      <c r="B903" s="194"/>
      <c r="C903" s="191"/>
      <c r="D903" s="80"/>
    </row>
    <row r="904" spans="1:4" ht="15.75" customHeight="1" x14ac:dyDescent="0.25">
      <c r="A904" s="93"/>
      <c r="B904" s="194"/>
      <c r="C904" s="191"/>
      <c r="D904" s="80"/>
    </row>
    <row r="905" spans="1:4" ht="15.75" customHeight="1" x14ac:dyDescent="0.25">
      <c r="A905" s="93"/>
      <c r="B905" s="194"/>
      <c r="C905" s="191"/>
      <c r="D905" s="80"/>
    </row>
    <row r="906" spans="1:4" ht="15.75" customHeight="1" x14ac:dyDescent="0.25">
      <c r="A906" s="93"/>
      <c r="B906" s="194"/>
      <c r="C906" s="191"/>
      <c r="D906" s="80"/>
    </row>
    <row r="907" spans="1:4" ht="15.75" customHeight="1" x14ac:dyDescent="0.25">
      <c r="A907" s="93"/>
      <c r="B907" s="194"/>
      <c r="C907" s="191"/>
      <c r="D907" s="80"/>
    </row>
    <row r="908" spans="1:4" ht="15.75" customHeight="1" x14ac:dyDescent="0.25">
      <c r="A908" s="93"/>
      <c r="B908" s="194"/>
      <c r="C908" s="191"/>
      <c r="D908" s="80"/>
    </row>
    <row r="909" spans="1:4" ht="15.75" customHeight="1" x14ac:dyDescent="0.25">
      <c r="A909" s="93"/>
      <c r="B909" s="194"/>
      <c r="C909" s="191"/>
      <c r="D909" s="80"/>
    </row>
    <row r="910" spans="1:4" ht="15.75" customHeight="1" x14ac:dyDescent="0.25">
      <c r="A910" s="93"/>
      <c r="B910" s="194"/>
      <c r="C910" s="191"/>
      <c r="D910" s="80"/>
    </row>
    <row r="911" spans="1:4" ht="15.75" customHeight="1" x14ac:dyDescent="0.25">
      <c r="A911" s="93"/>
      <c r="B911" s="194"/>
      <c r="C911" s="191"/>
      <c r="D911" s="80"/>
    </row>
    <row r="912" spans="1:4" ht="15.75" customHeight="1" x14ac:dyDescent="0.25">
      <c r="A912" s="93"/>
      <c r="B912" s="194"/>
      <c r="C912" s="191"/>
      <c r="D912" s="80"/>
    </row>
    <row r="913" spans="1:4" ht="15.75" customHeight="1" x14ac:dyDescent="0.25">
      <c r="A913" s="93"/>
      <c r="B913" s="194"/>
      <c r="C913" s="191"/>
      <c r="D913" s="80"/>
    </row>
    <row r="914" spans="1:4" ht="15.75" customHeight="1" x14ac:dyDescent="0.25">
      <c r="A914" s="93"/>
      <c r="B914" s="194"/>
      <c r="C914" s="191"/>
      <c r="D914" s="80"/>
    </row>
    <row r="915" spans="1:4" ht="15.75" customHeight="1" x14ac:dyDescent="0.25">
      <c r="A915" s="93"/>
      <c r="B915" s="194"/>
      <c r="C915" s="191"/>
      <c r="D915" s="80"/>
    </row>
    <row r="916" spans="1:4" ht="15.75" customHeight="1" x14ac:dyDescent="0.25">
      <c r="A916" s="93"/>
      <c r="B916" s="194"/>
      <c r="C916" s="191"/>
      <c r="D916" s="80"/>
    </row>
    <row r="917" spans="1:4" ht="15.75" customHeight="1" x14ac:dyDescent="0.25">
      <c r="A917" s="93"/>
      <c r="B917" s="194"/>
      <c r="C917" s="191"/>
      <c r="D917" s="80"/>
    </row>
    <row r="918" spans="1:4" ht="15.75" customHeight="1" x14ac:dyDescent="0.25">
      <c r="A918" s="93"/>
      <c r="B918" s="194"/>
      <c r="C918" s="191"/>
      <c r="D918" s="80"/>
    </row>
    <row r="919" spans="1:4" ht="15.75" customHeight="1" x14ac:dyDescent="0.25">
      <c r="A919" s="93"/>
      <c r="B919" s="194"/>
      <c r="C919" s="191"/>
      <c r="D919" s="80"/>
    </row>
    <row r="920" spans="1:4" ht="15.75" customHeight="1" x14ac:dyDescent="0.25">
      <c r="A920" s="93"/>
      <c r="B920" s="194"/>
      <c r="C920" s="191"/>
      <c r="D920" s="80"/>
    </row>
    <row r="921" spans="1:4" ht="15.75" customHeight="1" x14ac:dyDescent="0.25">
      <c r="A921" s="93"/>
      <c r="B921" s="194"/>
      <c r="C921" s="191"/>
      <c r="D921" s="80"/>
    </row>
    <row r="922" spans="1:4" ht="15.75" customHeight="1" x14ac:dyDescent="0.25">
      <c r="A922" s="93"/>
      <c r="B922" s="194"/>
      <c r="C922" s="191"/>
      <c r="D922" s="80"/>
    </row>
    <row r="923" spans="1:4" ht="15.75" customHeight="1" x14ac:dyDescent="0.25">
      <c r="A923" s="93"/>
      <c r="B923" s="194"/>
      <c r="C923" s="191"/>
      <c r="D923" s="80"/>
    </row>
    <row r="924" spans="1:4" ht="15.75" customHeight="1" x14ac:dyDescent="0.25">
      <c r="A924" s="93"/>
      <c r="B924" s="194"/>
      <c r="C924" s="191"/>
      <c r="D924" s="80"/>
    </row>
    <row r="925" spans="1:4" ht="15.75" customHeight="1" x14ac:dyDescent="0.25">
      <c r="A925" s="93"/>
      <c r="B925" s="194"/>
      <c r="C925" s="191"/>
      <c r="D925" s="80"/>
    </row>
    <row r="926" spans="1:4" ht="15.75" customHeight="1" x14ac:dyDescent="0.25">
      <c r="A926" s="93"/>
      <c r="B926" s="194"/>
      <c r="C926" s="191"/>
      <c r="D926" s="80"/>
    </row>
    <row r="927" spans="1:4" ht="15.75" customHeight="1" x14ac:dyDescent="0.25">
      <c r="A927" s="93"/>
      <c r="B927" s="194"/>
      <c r="C927" s="191"/>
      <c r="D927" s="80"/>
    </row>
    <row r="928" spans="1:4" ht="15.75" customHeight="1" x14ac:dyDescent="0.25">
      <c r="A928" s="93"/>
      <c r="B928" s="194"/>
      <c r="C928" s="191"/>
      <c r="D928" s="80"/>
    </row>
    <row r="929" spans="1:4" ht="15.75" customHeight="1" x14ac:dyDescent="0.25">
      <c r="A929" s="93"/>
      <c r="B929" s="194"/>
      <c r="C929" s="191"/>
      <c r="D929" s="80"/>
    </row>
    <row r="930" spans="1:4" ht="15.75" customHeight="1" x14ac:dyDescent="0.25">
      <c r="A930" s="93"/>
      <c r="B930" s="194"/>
      <c r="C930" s="191"/>
      <c r="D930" s="80"/>
    </row>
    <row r="931" spans="1:4" ht="15.75" customHeight="1" x14ac:dyDescent="0.25">
      <c r="A931" s="93"/>
      <c r="B931" s="194"/>
      <c r="C931" s="191"/>
      <c r="D931" s="80"/>
    </row>
    <row r="932" spans="1:4" ht="15.75" customHeight="1" x14ac:dyDescent="0.25">
      <c r="A932" s="93"/>
      <c r="B932" s="194"/>
      <c r="C932" s="191"/>
      <c r="D932" s="80"/>
    </row>
    <row r="933" spans="1:4" ht="15.75" customHeight="1" x14ac:dyDescent="0.25">
      <c r="A933" s="93"/>
      <c r="B933" s="194"/>
      <c r="C933" s="191"/>
      <c r="D933" s="80"/>
    </row>
    <row r="934" spans="1:4" ht="15.75" customHeight="1" x14ac:dyDescent="0.25">
      <c r="A934" s="93"/>
      <c r="B934" s="194"/>
      <c r="C934" s="191"/>
      <c r="D934" s="80"/>
    </row>
    <row r="935" spans="1:4" ht="15.75" customHeight="1" x14ac:dyDescent="0.25">
      <c r="A935" s="93"/>
      <c r="B935" s="194"/>
      <c r="C935" s="191"/>
      <c r="D935" s="80"/>
    </row>
    <row r="936" spans="1:4" ht="15.75" customHeight="1" x14ac:dyDescent="0.25">
      <c r="A936" s="93"/>
      <c r="B936" s="194"/>
      <c r="C936" s="191"/>
      <c r="D936" s="80"/>
    </row>
    <row r="937" spans="1:4" ht="15.75" customHeight="1" x14ac:dyDescent="0.25">
      <c r="A937" s="93"/>
      <c r="B937" s="194"/>
      <c r="C937" s="191"/>
      <c r="D937" s="80"/>
    </row>
    <row r="938" spans="1:4" ht="15.75" customHeight="1" x14ac:dyDescent="0.25">
      <c r="A938" s="93"/>
      <c r="B938" s="194"/>
      <c r="C938" s="191"/>
      <c r="D938" s="80"/>
    </row>
    <row r="939" spans="1:4" ht="15.75" customHeight="1" x14ac:dyDescent="0.25">
      <c r="A939" s="93"/>
      <c r="B939" s="194"/>
      <c r="C939" s="191"/>
      <c r="D939" s="80"/>
    </row>
    <row r="940" spans="1:4" ht="15.75" customHeight="1" x14ac:dyDescent="0.25">
      <c r="A940" s="93"/>
      <c r="B940" s="194"/>
      <c r="C940" s="191"/>
      <c r="D940" s="80"/>
    </row>
    <row r="941" spans="1:4" ht="15.75" customHeight="1" x14ac:dyDescent="0.25">
      <c r="A941" s="93"/>
      <c r="B941" s="194"/>
      <c r="C941" s="191"/>
      <c r="D941" s="80"/>
    </row>
    <row r="942" spans="1:4" ht="15.75" customHeight="1" x14ac:dyDescent="0.25">
      <c r="A942" s="93"/>
      <c r="B942" s="194"/>
      <c r="C942" s="191"/>
      <c r="D942" s="80"/>
    </row>
    <row r="943" spans="1:4" ht="15.75" customHeight="1" x14ac:dyDescent="0.25">
      <c r="A943" s="93"/>
      <c r="B943" s="194"/>
      <c r="C943" s="191"/>
      <c r="D943" s="80"/>
    </row>
    <row r="944" spans="1:4" ht="15.75" customHeight="1" x14ac:dyDescent="0.25">
      <c r="A944" s="93"/>
      <c r="B944" s="194"/>
      <c r="C944" s="191"/>
      <c r="D944" s="80"/>
    </row>
    <row r="945" spans="1:4" ht="15.75" customHeight="1" x14ac:dyDescent="0.25">
      <c r="A945" s="93"/>
      <c r="B945" s="194"/>
      <c r="C945" s="191"/>
      <c r="D945" s="80"/>
    </row>
    <row r="946" spans="1:4" ht="15.75" customHeight="1" x14ac:dyDescent="0.25">
      <c r="A946" s="93"/>
      <c r="B946" s="194"/>
      <c r="C946" s="191"/>
      <c r="D946" s="80"/>
    </row>
    <row r="947" spans="1:4" ht="15.75" customHeight="1" x14ac:dyDescent="0.25">
      <c r="A947" s="93"/>
      <c r="B947" s="194"/>
      <c r="C947" s="191"/>
      <c r="D947" s="80"/>
    </row>
    <row r="948" spans="1:4" ht="15.75" customHeight="1" x14ac:dyDescent="0.25">
      <c r="A948" s="93"/>
      <c r="B948" s="194"/>
      <c r="C948" s="191"/>
      <c r="D948" s="80"/>
    </row>
    <row r="949" spans="1:4" ht="15.75" customHeight="1" x14ac:dyDescent="0.25">
      <c r="A949" s="93"/>
      <c r="B949" s="194"/>
      <c r="C949" s="191"/>
      <c r="D949" s="80"/>
    </row>
    <row r="950" spans="1:4" ht="15.75" customHeight="1" x14ac:dyDescent="0.25">
      <c r="A950" s="93"/>
      <c r="B950" s="194"/>
      <c r="C950" s="191"/>
      <c r="D950" s="80"/>
    </row>
    <row r="951" spans="1:4" ht="15.75" customHeight="1" x14ac:dyDescent="0.25">
      <c r="A951" s="93"/>
      <c r="B951" s="194"/>
      <c r="C951" s="191"/>
      <c r="D951" s="80"/>
    </row>
    <row r="952" spans="1:4" ht="15.75" customHeight="1" x14ac:dyDescent="0.25">
      <c r="A952" s="93"/>
      <c r="B952" s="194"/>
      <c r="C952" s="191"/>
      <c r="D952" s="80"/>
    </row>
    <row r="953" spans="1:4" ht="15.75" customHeight="1" x14ac:dyDescent="0.25">
      <c r="A953" s="93"/>
      <c r="B953" s="194"/>
      <c r="C953" s="191"/>
      <c r="D953" s="80"/>
    </row>
    <row r="954" spans="1:4" ht="15.75" customHeight="1" x14ac:dyDescent="0.25">
      <c r="A954" s="93"/>
      <c r="B954" s="194"/>
      <c r="C954" s="191"/>
      <c r="D954" s="80"/>
    </row>
    <row r="955" spans="1:4" ht="15.75" customHeight="1" x14ac:dyDescent="0.25">
      <c r="A955" s="93"/>
      <c r="B955" s="194"/>
      <c r="C955" s="191"/>
      <c r="D955" s="80"/>
    </row>
    <row r="956" spans="1:4" ht="15.75" customHeight="1" x14ac:dyDescent="0.25">
      <c r="A956" s="93"/>
      <c r="B956" s="194"/>
      <c r="C956" s="191"/>
      <c r="D956" s="80"/>
    </row>
    <row r="957" spans="1:4" ht="15.75" customHeight="1" x14ac:dyDescent="0.25">
      <c r="A957" s="93"/>
      <c r="B957" s="194"/>
      <c r="C957" s="191"/>
      <c r="D957" s="80"/>
    </row>
    <row r="958" spans="1:4" ht="15.75" customHeight="1" x14ac:dyDescent="0.25">
      <c r="A958" s="93"/>
      <c r="B958" s="194"/>
      <c r="C958" s="191"/>
      <c r="D958" s="80"/>
    </row>
    <row r="959" spans="1:4" ht="15.75" customHeight="1" x14ac:dyDescent="0.25">
      <c r="A959" s="93"/>
      <c r="B959" s="194"/>
      <c r="C959" s="191"/>
      <c r="D959" s="80"/>
    </row>
    <row r="960" spans="1:4" ht="15.75" customHeight="1" x14ac:dyDescent="0.25">
      <c r="A960" s="93"/>
      <c r="B960" s="194"/>
      <c r="C960" s="191"/>
      <c r="D960" s="80"/>
    </row>
    <row r="961" spans="1:4" ht="15.75" customHeight="1" x14ac:dyDescent="0.25">
      <c r="A961" s="93"/>
      <c r="B961" s="194"/>
      <c r="C961" s="191"/>
      <c r="D961" s="80"/>
    </row>
    <row r="962" spans="1:4" ht="15.75" customHeight="1" x14ac:dyDescent="0.25">
      <c r="A962" s="93"/>
      <c r="B962" s="194"/>
      <c r="C962" s="191"/>
      <c r="D962" s="80"/>
    </row>
    <row r="963" spans="1:4" ht="15.75" customHeight="1" x14ac:dyDescent="0.25">
      <c r="A963" s="93"/>
      <c r="B963" s="194"/>
      <c r="C963" s="191"/>
      <c r="D963" s="80"/>
    </row>
    <row r="964" spans="1:4" ht="15.75" customHeight="1" x14ac:dyDescent="0.25">
      <c r="A964" s="93"/>
      <c r="B964" s="194"/>
      <c r="C964" s="191"/>
      <c r="D964" s="80"/>
    </row>
    <row r="965" spans="1:4" ht="15.75" customHeight="1" x14ac:dyDescent="0.25">
      <c r="A965" s="93"/>
      <c r="B965" s="194"/>
      <c r="C965" s="191"/>
      <c r="D965" s="80"/>
    </row>
    <row r="966" spans="1:4" ht="15.75" customHeight="1" x14ac:dyDescent="0.25">
      <c r="A966" s="93"/>
      <c r="B966" s="194"/>
      <c r="C966" s="191"/>
      <c r="D966" s="80"/>
    </row>
    <row r="967" spans="1:4" ht="15.75" customHeight="1" x14ac:dyDescent="0.25">
      <c r="A967" s="93"/>
      <c r="B967" s="194"/>
      <c r="C967" s="191"/>
      <c r="D967" s="80"/>
    </row>
    <row r="968" spans="1:4" ht="15.75" customHeight="1" x14ac:dyDescent="0.25">
      <c r="A968" s="93"/>
      <c r="B968" s="194"/>
      <c r="C968" s="191"/>
      <c r="D968" s="80"/>
    </row>
    <row r="969" spans="1:4" ht="15.75" customHeight="1" x14ac:dyDescent="0.25">
      <c r="A969" s="93"/>
      <c r="B969" s="194"/>
      <c r="C969" s="191"/>
      <c r="D969" s="80"/>
    </row>
    <row r="970" spans="1:4" ht="15.75" customHeight="1" x14ac:dyDescent="0.25">
      <c r="A970" s="93"/>
      <c r="B970" s="194"/>
      <c r="C970" s="191"/>
      <c r="D970" s="80"/>
    </row>
    <row r="971" spans="1:4" ht="15.75" customHeight="1" x14ac:dyDescent="0.25">
      <c r="A971" s="93"/>
      <c r="B971" s="194"/>
      <c r="C971" s="191"/>
      <c r="D971" s="80"/>
    </row>
    <row r="972" spans="1:4" ht="15.75" customHeight="1" x14ac:dyDescent="0.25">
      <c r="A972" s="93"/>
      <c r="B972" s="194"/>
      <c r="C972" s="191"/>
      <c r="D972" s="80"/>
    </row>
    <row r="973" spans="1:4" ht="15.75" customHeight="1" x14ac:dyDescent="0.25">
      <c r="A973" s="93"/>
      <c r="B973" s="194"/>
      <c r="C973" s="191"/>
      <c r="D973" s="80"/>
    </row>
    <row r="974" spans="1:4" ht="15.75" customHeight="1" x14ac:dyDescent="0.25">
      <c r="A974" s="93"/>
      <c r="B974" s="194"/>
      <c r="C974" s="191"/>
      <c r="D974" s="80"/>
    </row>
    <row r="975" spans="1:4" ht="15.75" customHeight="1" x14ac:dyDescent="0.25">
      <c r="A975" s="93"/>
      <c r="B975" s="194"/>
      <c r="C975" s="191"/>
      <c r="D975" s="80"/>
    </row>
    <row r="976" spans="1:4" ht="15.75" customHeight="1" x14ac:dyDescent="0.25">
      <c r="A976" s="93"/>
      <c r="B976" s="194"/>
      <c r="C976" s="191"/>
      <c r="D976" s="80"/>
    </row>
    <row r="977" spans="1:4" ht="15.75" customHeight="1" x14ac:dyDescent="0.25">
      <c r="A977" s="93"/>
      <c r="B977" s="194"/>
      <c r="C977" s="191"/>
      <c r="D977" s="80"/>
    </row>
    <row r="978" spans="1:4" ht="15.75" customHeight="1" x14ac:dyDescent="0.25">
      <c r="A978" s="93"/>
      <c r="B978" s="194"/>
      <c r="C978" s="191"/>
      <c r="D978" s="80"/>
    </row>
    <row r="979" spans="1:4" ht="15.75" customHeight="1" x14ac:dyDescent="0.25">
      <c r="A979" s="93"/>
      <c r="B979" s="194"/>
      <c r="C979" s="191"/>
      <c r="D979" s="80"/>
    </row>
    <row r="980" spans="1:4" ht="15.75" customHeight="1" x14ac:dyDescent="0.25">
      <c r="A980" s="93"/>
      <c r="B980" s="194"/>
      <c r="C980" s="191"/>
      <c r="D980" s="80"/>
    </row>
    <row r="981" spans="1:4" ht="15.75" customHeight="1" x14ac:dyDescent="0.25">
      <c r="A981" s="93"/>
      <c r="B981" s="194"/>
      <c r="C981" s="191"/>
      <c r="D981" s="80"/>
    </row>
    <row r="982" spans="1:4" ht="15.75" customHeight="1" x14ac:dyDescent="0.25">
      <c r="A982" s="93"/>
      <c r="B982" s="194"/>
      <c r="C982" s="191"/>
      <c r="D982" s="80"/>
    </row>
    <row r="983" spans="1:4" ht="15.75" customHeight="1" x14ac:dyDescent="0.25">
      <c r="A983" s="93"/>
      <c r="B983" s="194"/>
      <c r="C983" s="191"/>
      <c r="D983" s="80"/>
    </row>
    <row r="984" spans="1:4" ht="15.75" customHeight="1" x14ac:dyDescent="0.25">
      <c r="A984" s="93"/>
      <c r="B984" s="194"/>
      <c r="C984" s="191"/>
      <c r="D984" s="80"/>
    </row>
    <row r="985" spans="1:4" ht="15.75" customHeight="1" x14ac:dyDescent="0.25">
      <c r="A985" s="93"/>
      <c r="B985" s="194"/>
      <c r="C985" s="191"/>
      <c r="D985" s="80"/>
    </row>
    <row r="986" spans="1:4" ht="15.75" customHeight="1" x14ac:dyDescent="0.25">
      <c r="A986" s="93"/>
      <c r="B986" s="194"/>
      <c r="C986" s="191"/>
      <c r="D986" s="80"/>
    </row>
    <row r="987" spans="1:4" ht="15.75" customHeight="1" x14ac:dyDescent="0.25">
      <c r="A987" s="93"/>
      <c r="B987" s="194"/>
      <c r="C987" s="191"/>
      <c r="D987" s="80"/>
    </row>
    <row r="988" spans="1:4" ht="15.75" customHeight="1" x14ac:dyDescent="0.25">
      <c r="A988" s="93"/>
      <c r="B988" s="194"/>
      <c r="C988" s="191"/>
      <c r="D988" s="80"/>
    </row>
    <row r="989" spans="1:4" ht="15.75" customHeight="1" x14ac:dyDescent="0.25">
      <c r="A989" s="93"/>
      <c r="B989" s="194"/>
      <c r="C989" s="191"/>
      <c r="D989" s="80"/>
    </row>
    <row r="990" spans="1:4" ht="15.75" customHeight="1" x14ac:dyDescent="0.25">
      <c r="A990" s="93"/>
      <c r="B990" s="194"/>
      <c r="C990" s="191"/>
      <c r="D990" s="80"/>
    </row>
    <row r="991" spans="1:4" ht="15.75" customHeight="1" x14ac:dyDescent="0.25">
      <c r="A991" s="93"/>
      <c r="B991" s="194"/>
      <c r="C991" s="191"/>
      <c r="D991" s="80"/>
    </row>
    <row r="992" spans="1:4" ht="15.75" customHeight="1" x14ac:dyDescent="0.25">
      <c r="A992" s="93"/>
      <c r="B992" s="194"/>
      <c r="C992" s="191"/>
      <c r="D992" s="80"/>
    </row>
    <row r="993" spans="1:4" ht="15.75" customHeight="1" x14ac:dyDescent="0.25">
      <c r="A993" s="93"/>
      <c r="B993" s="194"/>
      <c r="C993" s="191"/>
      <c r="D993" s="80"/>
    </row>
    <row r="994" spans="1:4" ht="15.75" customHeight="1" x14ac:dyDescent="0.25">
      <c r="A994" s="93"/>
      <c r="B994" s="194"/>
      <c r="C994" s="191"/>
      <c r="D994" s="80"/>
    </row>
    <row r="995" spans="1:4" ht="15.75" customHeight="1" x14ac:dyDescent="0.25">
      <c r="A995" s="93"/>
      <c r="B995" s="194"/>
      <c r="C995" s="191"/>
      <c r="D995" s="80"/>
    </row>
    <row r="996" spans="1:4" ht="15.75" customHeight="1" x14ac:dyDescent="0.25">
      <c r="A996" s="93"/>
      <c r="B996" s="194"/>
      <c r="C996" s="191"/>
      <c r="D996" s="80"/>
    </row>
    <row r="997" spans="1:4" ht="15.75" customHeight="1" x14ac:dyDescent="0.25">
      <c r="A997" s="93"/>
      <c r="B997" s="194"/>
      <c r="C997" s="191"/>
      <c r="D997" s="80"/>
    </row>
    <row r="998" spans="1:4" ht="15.75" customHeight="1" x14ac:dyDescent="0.25">
      <c r="A998" s="93"/>
      <c r="B998" s="194"/>
      <c r="C998" s="191"/>
      <c r="D998" s="80"/>
    </row>
    <row r="999" spans="1:4" ht="15.75" customHeight="1" x14ac:dyDescent="0.25">
      <c r="A999" s="93"/>
      <c r="B999" s="194"/>
      <c r="C999" s="191"/>
      <c r="D999" s="80"/>
    </row>
    <row r="1000" spans="1:4" ht="15.75" customHeight="1" x14ac:dyDescent="0.25">
      <c r="A1000" s="93"/>
      <c r="B1000" s="194"/>
      <c r="C1000" s="191"/>
      <c r="D1000" s="80"/>
    </row>
  </sheetData>
  <pageMargins left="0.7" right="0.7" top="0.75" bottom="0.75"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8" tint="0.59999389629810485"/>
  </sheetPr>
  <dimension ref="A1:H1000"/>
  <sheetViews>
    <sheetView workbookViewId="0"/>
  </sheetViews>
  <sheetFormatPr defaultColWidth="14.42578125" defaultRowHeight="15" customHeight="1" x14ac:dyDescent="0.25"/>
  <cols>
    <col min="1" max="1" width="20.5703125" customWidth="1"/>
    <col min="2" max="2" width="6.85546875" customWidth="1"/>
    <col min="3" max="3" width="103.5703125" customWidth="1"/>
    <col min="4" max="4" width="10.7109375" customWidth="1"/>
    <col min="5" max="5" width="10.5703125" customWidth="1"/>
    <col min="6" max="7" width="2.28515625" customWidth="1"/>
    <col min="8" max="26" width="8.7109375" customWidth="1"/>
  </cols>
  <sheetData>
    <row r="1" spans="1:8" ht="14.25" customHeight="1" x14ac:dyDescent="0.25">
      <c r="A1" s="98" t="s">
        <v>3710</v>
      </c>
      <c r="B1" s="35" t="s">
        <v>213</v>
      </c>
      <c r="C1" s="35" t="s">
        <v>70</v>
      </c>
      <c r="D1" s="35" t="s">
        <v>3711</v>
      </c>
      <c r="E1" s="287" t="s">
        <v>3712</v>
      </c>
      <c r="H1" s="170" t="s">
        <v>3713</v>
      </c>
    </row>
    <row r="2" spans="1:8" x14ac:dyDescent="0.25">
      <c r="A2" s="9" t="s">
        <v>214</v>
      </c>
      <c r="B2" s="42">
        <v>0</v>
      </c>
      <c r="C2" s="170" t="s">
        <v>3714</v>
      </c>
      <c r="D2" s="288" t="s">
        <v>3715</v>
      </c>
      <c r="E2" s="272"/>
    </row>
    <row r="3" spans="1:8" x14ac:dyDescent="0.25">
      <c r="A3" s="9" t="s">
        <v>3716</v>
      </c>
      <c r="B3" s="42">
        <v>0</v>
      </c>
      <c r="C3" s="170" t="s">
        <v>3717</v>
      </c>
      <c r="D3" s="272"/>
      <c r="E3" s="272"/>
    </row>
    <row r="4" spans="1:8" x14ac:dyDescent="0.25">
      <c r="A4" s="9" t="s">
        <v>217</v>
      </c>
      <c r="B4" s="42">
        <v>0</v>
      </c>
      <c r="C4" s="170" t="s">
        <v>3718</v>
      </c>
      <c r="D4" s="170" t="s">
        <v>3719</v>
      </c>
      <c r="E4" s="272"/>
    </row>
    <row r="5" spans="1:8" x14ac:dyDescent="0.25">
      <c r="A5" s="9" t="s">
        <v>216</v>
      </c>
      <c r="B5" s="42">
        <v>0</v>
      </c>
      <c r="C5" s="170" t="s">
        <v>3720</v>
      </c>
      <c r="D5" s="170" t="s">
        <v>3719</v>
      </c>
      <c r="E5" s="272"/>
    </row>
    <row r="6" spans="1:8" x14ac:dyDescent="0.25">
      <c r="A6" s="9" t="s">
        <v>218</v>
      </c>
      <c r="B6" s="42">
        <v>0</v>
      </c>
      <c r="C6" s="170" t="s">
        <v>3721</v>
      </c>
      <c r="D6" s="33" t="s">
        <v>3719</v>
      </c>
    </row>
    <row r="7" spans="1:8" x14ac:dyDescent="0.25">
      <c r="A7" s="9" t="s">
        <v>219</v>
      </c>
      <c r="B7" s="42">
        <v>0</v>
      </c>
      <c r="C7" s="170" t="s">
        <v>3722</v>
      </c>
      <c r="D7" s="33" t="s">
        <v>3719</v>
      </c>
    </row>
    <row r="8" spans="1:8" x14ac:dyDescent="0.25">
      <c r="A8" s="9" t="s">
        <v>3723</v>
      </c>
      <c r="B8" s="99">
        <v>10</v>
      </c>
      <c r="C8" s="170" t="s">
        <v>3724</v>
      </c>
    </row>
    <row r="9" spans="1:8" x14ac:dyDescent="0.25">
      <c r="A9" s="9" t="s">
        <v>3725</v>
      </c>
      <c r="B9" s="99">
        <v>10</v>
      </c>
      <c r="C9" s="170" t="s">
        <v>3726</v>
      </c>
    </row>
    <row r="10" spans="1:8" x14ac:dyDescent="0.25">
      <c r="A10" s="9" t="s">
        <v>3727</v>
      </c>
      <c r="B10" s="99">
        <v>10</v>
      </c>
      <c r="C10" s="170" t="s">
        <v>3728</v>
      </c>
    </row>
    <row r="11" spans="1:8" x14ac:dyDescent="0.25">
      <c r="A11" s="9" t="s">
        <v>3729</v>
      </c>
      <c r="B11" s="99">
        <v>10</v>
      </c>
      <c r="C11" s="170" t="s">
        <v>3730</v>
      </c>
    </row>
    <row r="12" spans="1:8" x14ac:dyDescent="0.25">
      <c r="A12" s="9" t="s">
        <v>3731</v>
      </c>
      <c r="B12" s="99">
        <v>10</v>
      </c>
      <c r="C12" s="170" t="s">
        <v>3732</v>
      </c>
    </row>
    <row r="13" spans="1:8" x14ac:dyDescent="0.25">
      <c r="A13" s="9" t="s">
        <v>3733</v>
      </c>
      <c r="B13" s="99">
        <v>10</v>
      </c>
      <c r="C13" s="170" t="s">
        <v>3734</v>
      </c>
    </row>
    <row r="14" spans="1:8" x14ac:dyDescent="0.25">
      <c r="A14" s="9" t="s">
        <v>3735</v>
      </c>
      <c r="B14" s="99">
        <v>10</v>
      </c>
      <c r="C14" s="170" t="s">
        <v>3736</v>
      </c>
    </row>
    <row r="15" spans="1:8" x14ac:dyDescent="0.25">
      <c r="A15" s="9" t="s">
        <v>3737</v>
      </c>
      <c r="B15" s="100">
        <v>20</v>
      </c>
      <c r="C15" s="170" t="s">
        <v>3738</v>
      </c>
    </row>
    <row r="16" spans="1:8" x14ac:dyDescent="0.25">
      <c r="A16" s="9" t="s">
        <v>3739</v>
      </c>
      <c r="B16" s="100">
        <v>20</v>
      </c>
      <c r="C16" s="170" t="s">
        <v>3740</v>
      </c>
    </row>
    <row r="17" spans="1:3" x14ac:dyDescent="0.25">
      <c r="A17" s="9" t="s">
        <v>3741</v>
      </c>
      <c r="B17" s="100">
        <v>20</v>
      </c>
      <c r="C17" s="170" t="s">
        <v>3742</v>
      </c>
    </row>
    <row r="18" spans="1:3" x14ac:dyDescent="0.25">
      <c r="A18" s="9" t="s">
        <v>3743</v>
      </c>
      <c r="B18" s="100">
        <v>20</v>
      </c>
      <c r="C18" s="170" t="s">
        <v>3744</v>
      </c>
    </row>
    <row r="19" spans="1:3" x14ac:dyDescent="0.25">
      <c r="A19" s="9" t="s">
        <v>3745</v>
      </c>
      <c r="B19" s="100">
        <v>20</v>
      </c>
      <c r="C19" s="170" t="s">
        <v>3746</v>
      </c>
    </row>
    <row r="20" spans="1:3" x14ac:dyDescent="0.25">
      <c r="A20" s="9" t="s">
        <v>3747</v>
      </c>
      <c r="B20" s="100">
        <v>20</v>
      </c>
      <c r="C20" s="170" t="s">
        <v>3748</v>
      </c>
    </row>
    <row r="21" spans="1:3" ht="15.75" customHeight="1" x14ac:dyDescent="0.25">
      <c r="A21" s="9" t="s">
        <v>3749</v>
      </c>
      <c r="B21" s="100">
        <v>20</v>
      </c>
      <c r="C21" s="170" t="s">
        <v>3750</v>
      </c>
    </row>
    <row r="22" spans="1:3" ht="15.75" customHeight="1" x14ac:dyDescent="0.25">
      <c r="A22" s="9" t="s">
        <v>3751</v>
      </c>
      <c r="B22" s="100">
        <v>20</v>
      </c>
      <c r="C22" s="170" t="s">
        <v>3752</v>
      </c>
    </row>
    <row r="23" spans="1:3" ht="15.75" customHeight="1" x14ac:dyDescent="0.25">
      <c r="A23" s="9" t="s">
        <v>3753</v>
      </c>
      <c r="B23" s="100">
        <v>20</v>
      </c>
      <c r="C23" s="170" t="s">
        <v>3754</v>
      </c>
    </row>
    <row r="24" spans="1:3" ht="15.75" customHeight="1" x14ac:dyDescent="0.25">
      <c r="A24" s="9" t="s">
        <v>3755</v>
      </c>
      <c r="B24" s="100">
        <v>20</v>
      </c>
      <c r="C24" s="170" t="s">
        <v>3756</v>
      </c>
    </row>
    <row r="25" spans="1:3" ht="15.75" customHeight="1" x14ac:dyDescent="0.25">
      <c r="A25" s="9" t="s">
        <v>3757</v>
      </c>
      <c r="B25" s="100">
        <v>20</v>
      </c>
      <c r="C25" s="170" t="s">
        <v>3758</v>
      </c>
    </row>
    <row r="26" spans="1:3" ht="15.75" customHeight="1" x14ac:dyDescent="0.25">
      <c r="A26" s="9" t="s">
        <v>3759</v>
      </c>
      <c r="B26" s="101">
        <v>30</v>
      </c>
      <c r="C26" s="170" t="s">
        <v>3760</v>
      </c>
    </row>
    <row r="27" spans="1:3" ht="15.75" customHeight="1" x14ac:dyDescent="0.25">
      <c r="A27" s="9" t="s">
        <v>3761</v>
      </c>
      <c r="B27" s="101">
        <v>30</v>
      </c>
      <c r="C27" s="170" t="s">
        <v>3762</v>
      </c>
    </row>
    <row r="28" spans="1:3" ht="15.75" customHeight="1" x14ac:dyDescent="0.25">
      <c r="A28" s="9" t="s">
        <v>3763</v>
      </c>
      <c r="B28" s="101">
        <v>30</v>
      </c>
      <c r="C28" s="170" t="s">
        <v>3764</v>
      </c>
    </row>
    <row r="29" spans="1:3" ht="15.75" customHeight="1" x14ac:dyDescent="0.25">
      <c r="A29" s="9" t="s">
        <v>3765</v>
      </c>
      <c r="B29" s="101">
        <v>30</v>
      </c>
      <c r="C29" s="170" t="s">
        <v>3766</v>
      </c>
    </row>
    <row r="30" spans="1:3" ht="15.75" customHeight="1" x14ac:dyDescent="0.25">
      <c r="A30" s="9" t="s">
        <v>3767</v>
      </c>
      <c r="B30" s="101">
        <v>30</v>
      </c>
      <c r="C30" s="170" t="s">
        <v>3768</v>
      </c>
    </row>
    <row r="31" spans="1:3" ht="15.75" customHeight="1" x14ac:dyDescent="0.25">
      <c r="A31" s="9" t="s">
        <v>3769</v>
      </c>
      <c r="B31" s="101">
        <v>30</v>
      </c>
      <c r="C31" s="170" t="s">
        <v>3770</v>
      </c>
    </row>
    <row r="32" spans="1:3" ht="15.75" customHeight="1" x14ac:dyDescent="0.25">
      <c r="A32" s="9" t="s">
        <v>3771</v>
      </c>
      <c r="B32" s="101">
        <v>30</v>
      </c>
      <c r="C32" s="170" t="s">
        <v>3772</v>
      </c>
    </row>
    <row r="33" spans="1:3" ht="15.75" customHeight="1" x14ac:dyDescent="0.25">
      <c r="A33" s="9" t="s">
        <v>3773</v>
      </c>
      <c r="B33" s="101">
        <v>30</v>
      </c>
      <c r="C33" s="170" t="s">
        <v>3774</v>
      </c>
    </row>
    <row r="34" spans="1:3" ht="15.75" customHeight="1" x14ac:dyDescent="0.25">
      <c r="A34" s="9" t="s">
        <v>3775</v>
      </c>
      <c r="B34" s="101">
        <v>30</v>
      </c>
      <c r="C34" s="170" t="s">
        <v>3776</v>
      </c>
    </row>
    <row r="35" spans="1:3" ht="15.75" customHeight="1" x14ac:dyDescent="0.25">
      <c r="A35" s="9" t="s">
        <v>3777</v>
      </c>
      <c r="B35" s="101">
        <v>30</v>
      </c>
      <c r="C35" s="170" t="s">
        <v>3778</v>
      </c>
    </row>
    <row r="36" spans="1:3" ht="15.75" customHeight="1" x14ac:dyDescent="0.25">
      <c r="A36" s="9" t="s">
        <v>3779</v>
      </c>
      <c r="B36" s="101">
        <v>30</v>
      </c>
      <c r="C36" s="170" t="s">
        <v>3780</v>
      </c>
    </row>
    <row r="37" spans="1:3" ht="15.75" customHeight="1" x14ac:dyDescent="0.25">
      <c r="A37" s="9" t="s">
        <v>3781</v>
      </c>
      <c r="B37" s="102">
        <v>40</v>
      </c>
      <c r="C37" s="170" t="s">
        <v>3782</v>
      </c>
    </row>
    <row r="38" spans="1:3" ht="15.75" customHeight="1" x14ac:dyDescent="0.25">
      <c r="A38" s="9" t="s">
        <v>3783</v>
      </c>
      <c r="B38" s="102">
        <v>40</v>
      </c>
      <c r="C38" s="170" t="s">
        <v>3784</v>
      </c>
    </row>
    <row r="39" spans="1:3" ht="15.75" customHeight="1" x14ac:dyDescent="0.25">
      <c r="A39" s="9" t="s">
        <v>3785</v>
      </c>
      <c r="B39" s="102">
        <v>40</v>
      </c>
      <c r="C39" s="170" t="s">
        <v>3786</v>
      </c>
    </row>
    <row r="40" spans="1:3" ht="15.75" customHeight="1" x14ac:dyDescent="0.25">
      <c r="A40" s="9" t="s">
        <v>3787</v>
      </c>
      <c r="B40" s="102">
        <v>40</v>
      </c>
      <c r="C40" s="170" t="s">
        <v>3788</v>
      </c>
    </row>
    <row r="41" spans="1:3" ht="15.75" customHeight="1" x14ac:dyDescent="0.25">
      <c r="A41" s="9" t="s">
        <v>3789</v>
      </c>
      <c r="B41" s="102">
        <v>40</v>
      </c>
      <c r="C41" s="170" t="s">
        <v>3790</v>
      </c>
    </row>
    <row r="42" spans="1:3" ht="15.75" customHeight="1" x14ac:dyDescent="0.25">
      <c r="A42" s="9" t="s">
        <v>3791</v>
      </c>
      <c r="B42" s="102">
        <v>40</v>
      </c>
      <c r="C42" s="170" t="s">
        <v>3792</v>
      </c>
    </row>
    <row r="43" spans="1:3" ht="15.75" customHeight="1" x14ac:dyDescent="0.25">
      <c r="A43" s="9" t="s">
        <v>3793</v>
      </c>
      <c r="B43" s="102">
        <v>40</v>
      </c>
      <c r="C43" s="170" t="s">
        <v>3794</v>
      </c>
    </row>
    <row r="44" spans="1:3" ht="15.75" customHeight="1" x14ac:dyDescent="0.25">
      <c r="A44" s="9" t="s">
        <v>3795</v>
      </c>
      <c r="B44" s="102">
        <v>40</v>
      </c>
      <c r="C44" s="170" t="s">
        <v>3796</v>
      </c>
    </row>
    <row r="45" spans="1:3" ht="15.75" customHeight="1" x14ac:dyDescent="0.25">
      <c r="A45" s="9" t="s">
        <v>3797</v>
      </c>
      <c r="B45" s="103">
        <v>50</v>
      </c>
      <c r="C45" s="170" t="s">
        <v>3798</v>
      </c>
    </row>
    <row r="46" spans="1:3" ht="15.75" customHeight="1" x14ac:dyDescent="0.25">
      <c r="A46" s="9" t="s">
        <v>3799</v>
      </c>
      <c r="B46" s="103">
        <v>50</v>
      </c>
      <c r="C46" s="170" t="s">
        <v>3800</v>
      </c>
    </row>
    <row r="47" spans="1:3" ht="15.75" customHeight="1" x14ac:dyDescent="0.25">
      <c r="A47" s="9" t="s">
        <v>3801</v>
      </c>
      <c r="B47" s="103">
        <v>50</v>
      </c>
      <c r="C47" s="170" t="s">
        <v>3802</v>
      </c>
    </row>
    <row r="48" spans="1:3" ht="15.75" customHeight="1" x14ac:dyDescent="0.25">
      <c r="A48" s="9" t="s">
        <v>3803</v>
      </c>
      <c r="B48" s="103">
        <v>50</v>
      </c>
      <c r="C48" s="170" t="s">
        <v>3804</v>
      </c>
    </row>
    <row r="49" spans="1:3" ht="15.75" customHeight="1" x14ac:dyDescent="0.25">
      <c r="A49" s="9" t="s">
        <v>3805</v>
      </c>
      <c r="B49" s="103">
        <v>50</v>
      </c>
      <c r="C49" s="170" t="s">
        <v>3806</v>
      </c>
    </row>
    <row r="50" spans="1:3" ht="15.75" customHeight="1" x14ac:dyDescent="0.25">
      <c r="A50" s="9" t="s">
        <v>3807</v>
      </c>
      <c r="B50" s="103">
        <v>50</v>
      </c>
      <c r="C50" s="170" t="s">
        <v>3808</v>
      </c>
    </row>
    <row r="51" spans="1:3" ht="15.75" customHeight="1" x14ac:dyDescent="0.25">
      <c r="A51" s="9" t="s">
        <v>3809</v>
      </c>
      <c r="B51" s="103">
        <v>50</v>
      </c>
      <c r="C51" s="170" t="s">
        <v>3810</v>
      </c>
    </row>
    <row r="52" spans="1:3" ht="15.75" customHeight="1" x14ac:dyDescent="0.25">
      <c r="A52" s="9" t="s">
        <v>3811</v>
      </c>
      <c r="B52" s="103">
        <v>50</v>
      </c>
      <c r="C52" s="170" t="s">
        <v>3812</v>
      </c>
    </row>
    <row r="53" spans="1:3" ht="15.75" customHeight="1" x14ac:dyDescent="0.25">
      <c r="A53" s="9" t="s">
        <v>3813</v>
      </c>
      <c r="B53" s="103">
        <v>50</v>
      </c>
      <c r="C53" s="170" t="s">
        <v>3814</v>
      </c>
    </row>
    <row r="54" spans="1:3" ht="15.75" customHeight="1" x14ac:dyDescent="0.25">
      <c r="A54" s="9" t="s">
        <v>3815</v>
      </c>
      <c r="B54" s="103">
        <v>50</v>
      </c>
      <c r="C54" s="170" t="s">
        <v>3816</v>
      </c>
    </row>
    <row r="55" spans="1:3" ht="15.75" customHeight="1" x14ac:dyDescent="0.25">
      <c r="A55" s="9" t="s">
        <v>3817</v>
      </c>
      <c r="B55" s="103">
        <v>50</v>
      </c>
      <c r="C55" s="170" t="s">
        <v>3818</v>
      </c>
    </row>
    <row r="56" spans="1:3" ht="15.75" customHeight="1" x14ac:dyDescent="0.25">
      <c r="A56" s="9" t="s">
        <v>3819</v>
      </c>
      <c r="B56" s="104">
        <v>80</v>
      </c>
      <c r="C56" s="170" t="s">
        <v>3820</v>
      </c>
    </row>
    <row r="57" spans="1:3" ht="15.75" customHeight="1" x14ac:dyDescent="0.25">
      <c r="A57" s="9" t="s">
        <v>3821</v>
      </c>
      <c r="B57" s="104">
        <v>80</v>
      </c>
      <c r="C57" s="170" t="s">
        <v>3822</v>
      </c>
    </row>
    <row r="58" spans="1:3" ht="15.75" customHeight="1" x14ac:dyDescent="0.25">
      <c r="A58" s="9" t="s">
        <v>3823</v>
      </c>
      <c r="B58" s="104">
        <v>80</v>
      </c>
      <c r="C58" s="170" t="s">
        <v>3824</v>
      </c>
    </row>
    <row r="59" spans="1:3" ht="15.75" customHeight="1" x14ac:dyDescent="0.25">
      <c r="A59" s="9" t="s">
        <v>3825</v>
      </c>
      <c r="B59" s="104">
        <v>80</v>
      </c>
      <c r="C59" s="170" t="s">
        <v>3826</v>
      </c>
    </row>
    <row r="60" spans="1:3" ht="15.75" customHeight="1" x14ac:dyDescent="0.25">
      <c r="A60" s="9" t="s">
        <v>3827</v>
      </c>
      <c r="B60" s="104">
        <v>80</v>
      </c>
      <c r="C60" s="170" t="s">
        <v>3828</v>
      </c>
    </row>
    <row r="61" spans="1:3" ht="15.75" customHeight="1" x14ac:dyDescent="0.25">
      <c r="A61" s="9" t="s">
        <v>3829</v>
      </c>
      <c r="B61" s="104">
        <v>80</v>
      </c>
      <c r="C61" s="170" t="s">
        <v>3830</v>
      </c>
    </row>
    <row r="62" spans="1:3" ht="15.75" customHeight="1" x14ac:dyDescent="0.25">
      <c r="A62" s="9" t="s">
        <v>3831</v>
      </c>
      <c r="B62" s="104">
        <v>80</v>
      </c>
      <c r="C62" s="170" t="s">
        <v>3832</v>
      </c>
    </row>
    <row r="63" spans="1:3" ht="15.75" customHeight="1" x14ac:dyDescent="0.25">
      <c r="A63" s="9" t="s">
        <v>3833</v>
      </c>
      <c r="B63" s="104">
        <v>80</v>
      </c>
      <c r="C63" s="170" t="s">
        <v>3834</v>
      </c>
    </row>
    <row r="64" spans="1:3" ht="15.75" customHeight="1" x14ac:dyDescent="0.25">
      <c r="A64" s="35"/>
    </row>
    <row r="65" spans="1:1" ht="15.75" customHeight="1" x14ac:dyDescent="0.25">
      <c r="A65" s="35"/>
    </row>
    <row r="66" spans="1:1" ht="15.75" customHeight="1" x14ac:dyDescent="0.25">
      <c r="A66" s="35"/>
    </row>
    <row r="67" spans="1:1" ht="15.75" customHeight="1" x14ac:dyDescent="0.25">
      <c r="A67" s="35"/>
    </row>
    <row r="68" spans="1:1" ht="15.75" customHeight="1" x14ac:dyDescent="0.25">
      <c r="A68" s="35"/>
    </row>
    <row r="69" spans="1:1" ht="15.75" customHeight="1" x14ac:dyDescent="0.25">
      <c r="A69" s="35"/>
    </row>
    <row r="70" spans="1:1" ht="15.75" customHeight="1" x14ac:dyDescent="0.25">
      <c r="A70" s="35"/>
    </row>
    <row r="71" spans="1:1" ht="15.75" customHeight="1" x14ac:dyDescent="0.25">
      <c r="A71" s="35"/>
    </row>
    <row r="72" spans="1:1" ht="15.75" customHeight="1" x14ac:dyDescent="0.25">
      <c r="A72" s="35"/>
    </row>
    <row r="73" spans="1:1" ht="15.75" customHeight="1" x14ac:dyDescent="0.25">
      <c r="A73" s="35"/>
    </row>
    <row r="74" spans="1:1" ht="15.75" customHeight="1" x14ac:dyDescent="0.25">
      <c r="A74" s="35"/>
    </row>
    <row r="75" spans="1:1" ht="15.75" customHeight="1" x14ac:dyDescent="0.25">
      <c r="A75" s="35"/>
    </row>
    <row r="76" spans="1:1" ht="15.75" customHeight="1" x14ac:dyDescent="0.25">
      <c r="A76" s="35"/>
    </row>
    <row r="77" spans="1:1" ht="15.75" customHeight="1" x14ac:dyDescent="0.25">
      <c r="A77" s="35"/>
    </row>
    <row r="78" spans="1:1" ht="15.75" customHeight="1" x14ac:dyDescent="0.25">
      <c r="A78" s="35"/>
    </row>
    <row r="79" spans="1:1" ht="15.75" customHeight="1" x14ac:dyDescent="0.25">
      <c r="A79" s="35"/>
    </row>
    <row r="80" spans="1:1" ht="15.75" customHeight="1" x14ac:dyDescent="0.25">
      <c r="A80" s="35"/>
    </row>
    <row r="81" spans="1:1" ht="15.75" customHeight="1" x14ac:dyDescent="0.25">
      <c r="A81" s="35"/>
    </row>
    <row r="82" spans="1:1" ht="15.75" customHeight="1" x14ac:dyDescent="0.25">
      <c r="A82" s="35"/>
    </row>
    <row r="83" spans="1:1" ht="15.75" customHeight="1" x14ac:dyDescent="0.25">
      <c r="A83" s="35"/>
    </row>
    <row r="84" spans="1:1" ht="15.75" customHeight="1" x14ac:dyDescent="0.25">
      <c r="A84" s="35"/>
    </row>
    <row r="85" spans="1:1" ht="15.75" customHeight="1" x14ac:dyDescent="0.25">
      <c r="A85" s="35"/>
    </row>
    <row r="86" spans="1:1" ht="15.75" customHeight="1" x14ac:dyDescent="0.25">
      <c r="A86" s="35"/>
    </row>
    <row r="87" spans="1:1" ht="15.75" customHeight="1" x14ac:dyDescent="0.25">
      <c r="A87" s="35"/>
    </row>
    <row r="88" spans="1:1" ht="15.75" customHeight="1" x14ac:dyDescent="0.25">
      <c r="A88" s="35"/>
    </row>
    <row r="89" spans="1:1" ht="15.75" customHeight="1" x14ac:dyDescent="0.25">
      <c r="A89" s="35"/>
    </row>
    <row r="90" spans="1:1" ht="15.75" customHeight="1" x14ac:dyDescent="0.25">
      <c r="A90" s="35"/>
    </row>
    <row r="91" spans="1:1" ht="15.75" customHeight="1" x14ac:dyDescent="0.25">
      <c r="A91" s="35"/>
    </row>
    <row r="92" spans="1:1" ht="15.75" customHeight="1" x14ac:dyDescent="0.25">
      <c r="A92" s="35"/>
    </row>
    <row r="93" spans="1:1" ht="15.75" customHeight="1" x14ac:dyDescent="0.25">
      <c r="A93" s="35"/>
    </row>
    <row r="94" spans="1:1" ht="15.75" customHeight="1" x14ac:dyDescent="0.25">
      <c r="A94" s="35"/>
    </row>
    <row r="95" spans="1:1" ht="15.75" customHeight="1" x14ac:dyDescent="0.25">
      <c r="A95" s="35"/>
    </row>
    <row r="96" spans="1:1" ht="15.75" customHeight="1" x14ac:dyDescent="0.25">
      <c r="A96" s="35"/>
    </row>
    <row r="97" spans="1:1" ht="15.75" customHeight="1" x14ac:dyDescent="0.25">
      <c r="A97" s="35"/>
    </row>
    <row r="98" spans="1:1" ht="15.75" customHeight="1" x14ac:dyDescent="0.25">
      <c r="A98" s="35"/>
    </row>
    <row r="99" spans="1:1" ht="15.75" customHeight="1" x14ac:dyDescent="0.25">
      <c r="A99" s="35"/>
    </row>
    <row r="100" spans="1:1" ht="15.75" customHeight="1" x14ac:dyDescent="0.25">
      <c r="A100" s="35"/>
    </row>
    <row r="101" spans="1:1" ht="15.75" customHeight="1" x14ac:dyDescent="0.25">
      <c r="A101" s="35"/>
    </row>
    <row r="102" spans="1:1" ht="15.75" customHeight="1" x14ac:dyDescent="0.25">
      <c r="A102" s="35"/>
    </row>
    <row r="103" spans="1:1" ht="15.75" customHeight="1" x14ac:dyDescent="0.25">
      <c r="A103" s="35"/>
    </row>
    <row r="104" spans="1:1" ht="15.75" customHeight="1" x14ac:dyDescent="0.25">
      <c r="A104" s="35"/>
    </row>
    <row r="105" spans="1:1" ht="15.75" customHeight="1" x14ac:dyDescent="0.25">
      <c r="A105" s="35"/>
    </row>
    <row r="106" spans="1:1" ht="15.75" customHeight="1" x14ac:dyDescent="0.25">
      <c r="A106" s="35"/>
    </row>
    <row r="107" spans="1:1" ht="15.75" customHeight="1" x14ac:dyDescent="0.25">
      <c r="A107" s="35"/>
    </row>
    <row r="108" spans="1:1" ht="15.75" customHeight="1" x14ac:dyDescent="0.25">
      <c r="A108" s="35"/>
    </row>
    <row r="109" spans="1:1" ht="15.75" customHeight="1" x14ac:dyDescent="0.25">
      <c r="A109" s="35"/>
    </row>
    <row r="110" spans="1:1" ht="15.75" customHeight="1" x14ac:dyDescent="0.25">
      <c r="A110" s="35"/>
    </row>
    <row r="111" spans="1:1" ht="15.75" customHeight="1" x14ac:dyDescent="0.25">
      <c r="A111" s="35"/>
    </row>
    <row r="112" spans="1:1" ht="15.75" customHeight="1" x14ac:dyDescent="0.25">
      <c r="A112" s="35"/>
    </row>
    <row r="113" spans="1:1" ht="15.75" customHeight="1" x14ac:dyDescent="0.25">
      <c r="A113" s="35"/>
    </row>
    <row r="114" spans="1:1" ht="15.75" customHeight="1" x14ac:dyDescent="0.25">
      <c r="A114" s="35"/>
    </row>
    <row r="115" spans="1:1" ht="15.75" customHeight="1" x14ac:dyDescent="0.25">
      <c r="A115" s="35"/>
    </row>
    <row r="116" spans="1:1" ht="15.75" customHeight="1" x14ac:dyDescent="0.25">
      <c r="A116" s="35"/>
    </row>
    <row r="117" spans="1:1" ht="15.75" customHeight="1" x14ac:dyDescent="0.25">
      <c r="A117" s="35"/>
    </row>
    <row r="118" spans="1:1" ht="15.75" customHeight="1" x14ac:dyDescent="0.25">
      <c r="A118" s="35"/>
    </row>
    <row r="119" spans="1:1" ht="15.75" customHeight="1" x14ac:dyDescent="0.25">
      <c r="A119" s="35"/>
    </row>
    <row r="120" spans="1:1" ht="15.75" customHeight="1" x14ac:dyDescent="0.25">
      <c r="A120" s="35"/>
    </row>
    <row r="121" spans="1:1" ht="15.75" customHeight="1" x14ac:dyDescent="0.25">
      <c r="A121" s="35"/>
    </row>
    <row r="122" spans="1:1" ht="15.75" customHeight="1" x14ac:dyDescent="0.25">
      <c r="A122" s="35"/>
    </row>
    <row r="123" spans="1:1" ht="15.75" customHeight="1" x14ac:dyDescent="0.25">
      <c r="A123" s="35"/>
    </row>
    <row r="124" spans="1:1" ht="15.75" customHeight="1" x14ac:dyDescent="0.25">
      <c r="A124" s="35"/>
    </row>
    <row r="125" spans="1:1" ht="15.75" customHeight="1" x14ac:dyDescent="0.25">
      <c r="A125" s="35"/>
    </row>
    <row r="126" spans="1:1" ht="15.75" customHeight="1" x14ac:dyDescent="0.25">
      <c r="A126" s="35"/>
    </row>
    <row r="127" spans="1:1" ht="15.75" customHeight="1" x14ac:dyDescent="0.25">
      <c r="A127" s="35"/>
    </row>
    <row r="128" spans="1:1" ht="15.75" customHeight="1" x14ac:dyDescent="0.25">
      <c r="A128" s="35"/>
    </row>
    <row r="129" spans="1:1" ht="15.75" customHeight="1" x14ac:dyDescent="0.25">
      <c r="A129" s="35"/>
    </row>
    <row r="130" spans="1:1" ht="15.75" customHeight="1" x14ac:dyDescent="0.25">
      <c r="A130" s="35"/>
    </row>
    <row r="131" spans="1:1" ht="15.75" customHeight="1" x14ac:dyDescent="0.25">
      <c r="A131" s="35"/>
    </row>
    <row r="132" spans="1:1" ht="15.75" customHeight="1" x14ac:dyDescent="0.25">
      <c r="A132" s="35"/>
    </row>
    <row r="133" spans="1:1" ht="15.75" customHeight="1" x14ac:dyDescent="0.25">
      <c r="A133" s="35"/>
    </row>
    <row r="134" spans="1:1" ht="15.75" customHeight="1" x14ac:dyDescent="0.25">
      <c r="A134" s="35"/>
    </row>
    <row r="135" spans="1:1" ht="15.75" customHeight="1" x14ac:dyDescent="0.25">
      <c r="A135" s="35"/>
    </row>
    <row r="136" spans="1:1" ht="15.75" customHeight="1" x14ac:dyDescent="0.25">
      <c r="A136" s="35"/>
    </row>
    <row r="137" spans="1:1" ht="15.75" customHeight="1" x14ac:dyDescent="0.25">
      <c r="A137" s="35"/>
    </row>
    <row r="138" spans="1:1" ht="15.75" customHeight="1" x14ac:dyDescent="0.25">
      <c r="A138" s="35"/>
    </row>
    <row r="139" spans="1:1" ht="15.75" customHeight="1" x14ac:dyDescent="0.25">
      <c r="A139" s="35"/>
    </row>
    <row r="140" spans="1:1" ht="15.75" customHeight="1" x14ac:dyDescent="0.25">
      <c r="A140" s="35"/>
    </row>
    <row r="141" spans="1:1" ht="15.75" customHeight="1" x14ac:dyDescent="0.25">
      <c r="A141" s="35"/>
    </row>
    <row r="142" spans="1:1" ht="15.75" customHeight="1" x14ac:dyDescent="0.25">
      <c r="A142" s="35"/>
    </row>
    <row r="143" spans="1:1" ht="15.75" customHeight="1" x14ac:dyDescent="0.25">
      <c r="A143" s="35"/>
    </row>
    <row r="144" spans="1:1" ht="15.75" customHeight="1" x14ac:dyDescent="0.25">
      <c r="A144" s="35"/>
    </row>
    <row r="145" spans="1:1" ht="15.75" customHeight="1" x14ac:dyDescent="0.25">
      <c r="A145" s="35"/>
    </row>
    <row r="146" spans="1:1" ht="15.75" customHeight="1" x14ac:dyDescent="0.25">
      <c r="A146" s="35"/>
    </row>
    <row r="147" spans="1:1" ht="15.75" customHeight="1" x14ac:dyDescent="0.25">
      <c r="A147" s="35"/>
    </row>
    <row r="148" spans="1:1" ht="15.75" customHeight="1" x14ac:dyDescent="0.25">
      <c r="A148" s="35"/>
    </row>
    <row r="149" spans="1:1" ht="15.75" customHeight="1" x14ac:dyDescent="0.25">
      <c r="A149" s="35"/>
    </row>
    <row r="150" spans="1:1" ht="15.75" customHeight="1" x14ac:dyDescent="0.25">
      <c r="A150" s="35"/>
    </row>
    <row r="151" spans="1:1" ht="15.75" customHeight="1" x14ac:dyDescent="0.25">
      <c r="A151" s="35"/>
    </row>
    <row r="152" spans="1:1" ht="15.75" customHeight="1" x14ac:dyDescent="0.25">
      <c r="A152" s="35"/>
    </row>
    <row r="153" spans="1:1" ht="15.75" customHeight="1" x14ac:dyDescent="0.25">
      <c r="A153" s="35"/>
    </row>
    <row r="154" spans="1:1" ht="15.75" customHeight="1" x14ac:dyDescent="0.25">
      <c r="A154" s="35"/>
    </row>
    <row r="155" spans="1:1" ht="15.75" customHeight="1" x14ac:dyDescent="0.25">
      <c r="A155" s="35"/>
    </row>
    <row r="156" spans="1:1" ht="15.75" customHeight="1" x14ac:dyDescent="0.25">
      <c r="A156" s="35"/>
    </row>
    <row r="157" spans="1:1" ht="15.75" customHeight="1" x14ac:dyDescent="0.25">
      <c r="A157" s="35"/>
    </row>
    <row r="158" spans="1:1" ht="15.75" customHeight="1" x14ac:dyDescent="0.25">
      <c r="A158" s="35"/>
    </row>
    <row r="159" spans="1:1" ht="15.75" customHeight="1" x14ac:dyDescent="0.25">
      <c r="A159" s="35"/>
    </row>
    <row r="160" spans="1:1" ht="15.75" customHeight="1" x14ac:dyDescent="0.25">
      <c r="A160" s="35"/>
    </row>
    <row r="161" spans="1:1" ht="15.75" customHeight="1" x14ac:dyDescent="0.25">
      <c r="A161" s="35"/>
    </row>
    <row r="162" spans="1:1" ht="15.75" customHeight="1" x14ac:dyDescent="0.25">
      <c r="A162" s="35"/>
    </row>
    <row r="163" spans="1:1" ht="15.75" customHeight="1" x14ac:dyDescent="0.25">
      <c r="A163" s="35"/>
    </row>
    <row r="164" spans="1:1" ht="15.75" customHeight="1" x14ac:dyDescent="0.25">
      <c r="A164" s="35"/>
    </row>
    <row r="165" spans="1:1" ht="15.75" customHeight="1" x14ac:dyDescent="0.25">
      <c r="A165" s="35"/>
    </row>
    <row r="166" spans="1:1" ht="15.75" customHeight="1" x14ac:dyDescent="0.25">
      <c r="A166" s="35"/>
    </row>
    <row r="167" spans="1:1" ht="15.75" customHeight="1" x14ac:dyDescent="0.25">
      <c r="A167" s="35"/>
    </row>
    <row r="168" spans="1:1" ht="15.75" customHeight="1" x14ac:dyDescent="0.25">
      <c r="A168" s="35"/>
    </row>
    <row r="169" spans="1:1" ht="15.75" customHeight="1" x14ac:dyDescent="0.25">
      <c r="A169" s="35"/>
    </row>
    <row r="170" spans="1:1" ht="15.75" customHeight="1" x14ac:dyDescent="0.25">
      <c r="A170" s="35"/>
    </row>
    <row r="171" spans="1:1" ht="15.75" customHeight="1" x14ac:dyDescent="0.25">
      <c r="A171" s="35"/>
    </row>
    <row r="172" spans="1:1" ht="15.75" customHeight="1" x14ac:dyDescent="0.25">
      <c r="A172" s="35"/>
    </row>
    <row r="173" spans="1:1" ht="15.75" customHeight="1" x14ac:dyDescent="0.25">
      <c r="A173" s="35"/>
    </row>
    <row r="174" spans="1:1" ht="15.75" customHeight="1" x14ac:dyDescent="0.25">
      <c r="A174" s="35"/>
    </row>
    <row r="175" spans="1:1" ht="15.75" customHeight="1" x14ac:dyDescent="0.25">
      <c r="A175" s="35"/>
    </row>
    <row r="176" spans="1:1" ht="15.75" customHeight="1" x14ac:dyDescent="0.25">
      <c r="A176" s="35"/>
    </row>
    <row r="177" spans="1:1" ht="15.75" customHeight="1" x14ac:dyDescent="0.25">
      <c r="A177" s="35"/>
    </row>
    <row r="178" spans="1:1" ht="15.75" customHeight="1" x14ac:dyDescent="0.25">
      <c r="A178" s="35"/>
    </row>
    <row r="179" spans="1:1" ht="15.75" customHeight="1" x14ac:dyDescent="0.25">
      <c r="A179" s="35"/>
    </row>
    <row r="180" spans="1:1" ht="15.75" customHeight="1" x14ac:dyDescent="0.25">
      <c r="A180" s="35"/>
    </row>
    <row r="181" spans="1:1" ht="15.75" customHeight="1" x14ac:dyDescent="0.25">
      <c r="A181" s="35"/>
    </row>
    <row r="182" spans="1:1" ht="15.75" customHeight="1" x14ac:dyDescent="0.25">
      <c r="A182" s="35"/>
    </row>
    <row r="183" spans="1:1" ht="15.75" customHeight="1" x14ac:dyDescent="0.25">
      <c r="A183" s="35"/>
    </row>
    <row r="184" spans="1:1" ht="15.75" customHeight="1" x14ac:dyDescent="0.25">
      <c r="A184" s="35"/>
    </row>
    <row r="185" spans="1:1" ht="15.75" customHeight="1" x14ac:dyDescent="0.25">
      <c r="A185" s="35"/>
    </row>
    <row r="186" spans="1:1" ht="15.75" customHeight="1" x14ac:dyDescent="0.25">
      <c r="A186" s="35"/>
    </row>
    <row r="187" spans="1:1" ht="15.75" customHeight="1" x14ac:dyDescent="0.25">
      <c r="A187" s="35"/>
    </row>
    <row r="188" spans="1:1" ht="15.75" customHeight="1" x14ac:dyDescent="0.25">
      <c r="A188" s="35"/>
    </row>
    <row r="189" spans="1:1" ht="15.75" customHeight="1" x14ac:dyDescent="0.25">
      <c r="A189" s="35"/>
    </row>
    <row r="190" spans="1:1" ht="15.75" customHeight="1" x14ac:dyDescent="0.25">
      <c r="A190" s="35"/>
    </row>
    <row r="191" spans="1:1" ht="15.75" customHeight="1" x14ac:dyDescent="0.25">
      <c r="A191" s="35"/>
    </row>
    <row r="192" spans="1:1" ht="15.75" customHeight="1" x14ac:dyDescent="0.25">
      <c r="A192" s="35"/>
    </row>
    <row r="193" spans="1:1" ht="15.75" customHeight="1" x14ac:dyDescent="0.25">
      <c r="A193" s="35"/>
    </row>
    <row r="194" spans="1:1" ht="15.75" customHeight="1" x14ac:dyDescent="0.25">
      <c r="A194" s="35"/>
    </row>
    <row r="195" spans="1:1" ht="15.75" customHeight="1" x14ac:dyDescent="0.25">
      <c r="A195" s="35"/>
    </row>
    <row r="196" spans="1:1" ht="15.75" customHeight="1" x14ac:dyDescent="0.25">
      <c r="A196" s="35"/>
    </row>
    <row r="197" spans="1:1" ht="15.75" customHeight="1" x14ac:dyDescent="0.25">
      <c r="A197" s="35"/>
    </row>
    <row r="198" spans="1:1" ht="15.75" customHeight="1" x14ac:dyDescent="0.25">
      <c r="A198" s="35"/>
    </row>
    <row r="199" spans="1:1" ht="15.75" customHeight="1" x14ac:dyDescent="0.25">
      <c r="A199" s="35"/>
    </row>
    <row r="200" spans="1:1" ht="15.75" customHeight="1" x14ac:dyDescent="0.25">
      <c r="A200" s="35"/>
    </row>
    <row r="201" spans="1:1" ht="15.75" customHeight="1" x14ac:dyDescent="0.25">
      <c r="A201" s="35"/>
    </row>
    <row r="202" spans="1:1" ht="15.75" customHeight="1" x14ac:dyDescent="0.25">
      <c r="A202" s="35"/>
    </row>
    <row r="203" spans="1:1" ht="15.75" customHeight="1" x14ac:dyDescent="0.25">
      <c r="A203" s="35"/>
    </row>
    <row r="204" spans="1:1" ht="15.75" customHeight="1" x14ac:dyDescent="0.25">
      <c r="A204" s="35"/>
    </row>
    <row r="205" spans="1:1" ht="15.75" customHeight="1" x14ac:dyDescent="0.25">
      <c r="A205" s="35"/>
    </row>
    <row r="206" spans="1:1" ht="15.75" customHeight="1" x14ac:dyDescent="0.25">
      <c r="A206" s="35"/>
    </row>
    <row r="207" spans="1:1" ht="15.75" customHeight="1" x14ac:dyDescent="0.25">
      <c r="A207" s="35"/>
    </row>
    <row r="208" spans="1:1" ht="15.75" customHeight="1" x14ac:dyDescent="0.25">
      <c r="A208" s="35"/>
    </row>
    <row r="209" spans="1:1" ht="15.75" customHeight="1" x14ac:dyDescent="0.25">
      <c r="A209" s="35"/>
    </row>
    <row r="210" spans="1:1" ht="15.75" customHeight="1" x14ac:dyDescent="0.25">
      <c r="A210" s="35"/>
    </row>
    <row r="211" spans="1:1" ht="15.75" customHeight="1" x14ac:dyDescent="0.25">
      <c r="A211" s="35"/>
    </row>
    <row r="212" spans="1:1" ht="15.75" customHeight="1" x14ac:dyDescent="0.25">
      <c r="A212" s="35"/>
    </row>
    <row r="213" spans="1:1" ht="15.75" customHeight="1" x14ac:dyDescent="0.25">
      <c r="A213" s="35"/>
    </row>
    <row r="214" spans="1:1" ht="15.75" customHeight="1" x14ac:dyDescent="0.25">
      <c r="A214" s="35"/>
    </row>
    <row r="215" spans="1:1" ht="15.75" customHeight="1" x14ac:dyDescent="0.25">
      <c r="A215" s="35"/>
    </row>
    <row r="216" spans="1:1" ht="15.75" customHeight="1" x14ac:dyDescent="0.25">
      <c r="A216" s="35"/>
    </row>
    <row r="217" spans="1:1" ht="15.75" customHeight="1" x14ac:dyDescent="0.25">
      <c r="A217" s="35"/>
    </row>
    <row r="218" spans="1:1" ht="15.75" customHeight="1" x14ac:dyDescent="0.25">
      <c r="A218" s="35"/>
    </row>
    <row r="219" spans="1:1" ht="15.75" customHeight="1" x14ac:dyDescent="0.25">
      <c r="A219" s="35"/>
    </row>
    <row r="220" spans="1:1" ht="15.75" customHeight="1" x14ac:dyDescent="0.25">
      <c r="A220" s="35"/>
    </row>
    <row r="221" spans="1:1" ht="15.75" customHeight="1" x14ac:dyDescent="0.25">
      <c r="A221" s="35"/>
    </row>
    <row r="222" spans="1:1" ht="15.75" customHeight="1" x14ac:dyDescent="0.25">
      <c r="A222" s="35"/>
    </row>
    <row r="223" spans="1:1" ht="15.75" customHeight="1" x14ac:dyDescent="0.25">
      <c r="A223" s="35"/>
    </row>
    <row r="224" spans="1:1" ht="15.75" customHeight="1" x14ac:dyDescent="0.25">
      <c r="A224" s="35"/>
    </row>
    <row r="225" spans="1:1" ht="15.75" customHeight="1" x14ac:dyDescent="0.25">
      <c r="A225" s="35"/>
    </row>
    <row r="226" spans="1:1" ht="15.75" customHeight="1" x14ac:dyDescent="0.25">
      <c r="A226" s="35"/>
    </row>
    <row r="227" spans="1:1" ht="15.75" customHeight="1" x14ac:dyDescent="0.25">
      <c r="A227" s="35"/>
    </row>
    <row r="228" spans="1:1" ht="15.75" customHeight="1" x14ac:dyDescent="0.25">
      <c r="A228" s="35"/>
    </row>
    <row r="229" spans="1:1" ht="15.75" customHeight="1" x14ac:dyDescent="0.25">
      <c r="A229" s="35"/>
    </row>
    <row r="230" spans="1:1" ht="15.75" customHeight="1" x14ac:dyDescent="0.25">
      <c r="A230" s="35"/>
    </row>
    <row r="231" spans="1:1" ht="15.75" customHeight="1" x14ac:dyDescent="0.25">
      <c r="A231" s="35"/>
    </row>
    <row r="232" spans="1:1" ht="15.75" customHeight="1" x14ac:dyDescent="0.25">
      <c r="A232" s="35"/>
    </row>
    <row r="233" spans="1:1" ht="15.75" customHeight="1" x14ac:dyDescent="0.25">
      <c r="A233" s="35"/>
    </row>
    <row r="234" spans="1:1" ht="15.75" customHeight="1" x14ac:dyDescent="0.25">
      <c r="A234" s="35"/>
    </row>
    <row r="235" spans="1:1" ht="15.75" customHeight="1" x14ac:dyDescent="0.25">
      <c r="A235" s="35"/>
    </row>
    <row r="236" spans="1:1" ht="15.75" customHeight="1" x14ac:dyDescent="0.25">
      <c r="A236" s="35"/>
    </row>
    <row r="237" spans="1:1" ht="15.75" customHeight="1" x14ac:dyDescent="0.25">
      <c r="A237" s="35"/>
    </row>
    <row r="238" spans="1:1" ht="15.75" customHeight="1" x14ac:dyDescent="0.25">
      <c r="A238" s="35"/>
    </row>
    <row r="239" spans="1:1" ht="15.75" customHeight="1" x14ac:dyDescent="0.25">
      <c r="A239" s="35"/>
    </row>
    <row r="240" spans="1:1" ht="15.75" customHeight="1" x14ac:dyDescent="0.25">
      <c r="A240" s="35"/>
    </row>
    <row r="241" spans="1:1" ht="15.75" customHeight="1" x14ac:dyDescent="0.25">
      <c r="A241" s="35"/>
    </row>
    <row r="242" spans="1:1" ht="15.75" customHeight="1" x14ac:dyDescent="0.25">
      <c r="A242" s="35"/>
    </row>
    <row r="243" spans="1:1" ht="15.75" customHeight="1" x14ac:dyDescent="0.25">
      <c r="A243" s="35"/>
    </row>
    <row r="244" spans="1:1" ht="15.75" customHeight="1" x14ac:dyDescent="0.25">
      <c r="A244" s="35"/>
    </row>
    <row r="245" spans="1:1" ht="15.75" customHeight="1" x14ac:dyDescent="0.25">
      <c r="A245" s="35"/>
    </row>
    <row r="246" spans="1:1" ht="15.75" customHeight="1" x14ac:dyDescent="0.25">
      <c r="A246" s="35"/>
    </row>
    <row r="247" spans="1:1" ht="15.75" customHeight="1" x14ac:dyDescent="0.25">
      <c r="A247" s="35"/>
    </row>
    <row r="248" spans="1:1" ht="15.75" customHeight="1" x14ac:dyDescent="0.25">
      <c r="A248" s="35"/>
    </row>
    <row r="249" spans="1:1" ht="15.75" customHeight="1" x14ac:dyDescent="0.25">
      <c r="A249" s="35"/>
    </row>
    <row r="250" spans="1:1" ht="15.75" customHeight="1" x14ac:dyDescent="0.25">
      <c r="A250" s="35"/>
    </row>
    <row r="251" spans="1:1" ht="15.75" customHeight="1" x14ac:dyDescent="0.25">
      <c r="A251" s="35"/>
    </row>
    <row r="252" spans="1:1" ht="15.75" customHeight="1" x14ac:dyDescent="0.25">
      <c r="A252" s="35"/>
    </row>
    <row r="253" spans="1:1" ht="15.75" customHeight="1" x14ac:dyDescent="0.25">
      <c r="A253" s="35"/>
    </row>
    <row r="254" spans="1:1" ht="15.75" customHeight="1" x14ac:dyDescent="0.25">
      <c r="A254" s="35"/>
    </row>
    <row r="255" spans="1:1" ht="15.75" customHeight="1" x14ac:dyDescent="0.25">
      <c r="A255" s="35"/>
    </row>
    <row r="256" spans="1:1" ht="15.75" customHeight="1" x14ac:dyDescent="0.25">
      <c r="A256" s="35"/>
    </row>
    <row r="257" spans="1:1" ht="15.75" customHeight="1" x14ac:dyDescent="0.25">
      <c r="A257" s="35"/>
    </row>
    <row r="258" spans="1:1" ht="15.75" customHeight="1" x14ac:dyDescent="0.25">
      <c r="A258" s="35"/>
    </row>
    <row r="259" spans="1:1" ht="15.75" customHeight="1" x14ac:dyDescent="0.25">
      <c r="A259" s="35"/>
    </row>
    <row r="260" spans="1:1" ht="15.75" customHeight="1" x14ac:dyDescent="0.25">
      <c r="A260" s="35"/>
    </row>
    <row r="261" spans="1:1" ht="15.75" customHeight="1" x14ac:dyDescent="0.25">
      <c r="A261" s="35"/>
    </row>
    <row r="262" spans="1:1" ht="15.75" customHeight="1" x14ac:dyDescent="0.25">
      <c r="A262" s="35"/>
    </row>
    <row r="263" spans="1:1" ht="15.75" customHeight="1" x14ac:dyDescent="0.25">
      <c r="A263" s="35"/>
    </row>
    <row r="264" spans="1:1" ht="15.75" customHeight="1" x14ac:dyDescent="0.25">
      <c r="A264" s="35"/>
    </row>
    <row r="265" spans="1:1" ht="15.75" customHeight="1" x14ac:dyDescent="0.25">
      <c r="A265" s="35"/>
    </row>
    <row r="266" spans="1:1" ht="15.75" customHeight="1" x14ac:dyDescent="0.25">
      <c r="A266" s="35"/>
    </row>
    <row r="267" spans="1:1" ht="15.75" customHeight="1" x14ac:dyDescent="0.25">
      <c r="A267" s="35"/>
    </row>
    <row r="268" spans="1:1" ht="15.75" customHeight="1" x14ac:dyDescent="0.25">
      <c r="A268" s="35"/>
    </row>
    <row r="269" spans="1:1" ht="15.75" customHeight="1" x14ac:dyDescent="0.25">
      <c r="A269" s="35"/>
    </row>
    <row r="270" spans="1:1" ht="15.75" customHeight="1" x14ac:dyDescent="0.25">
      <c r="A270" s="35"/>
    </row>
    <row r="271" spans="1:1" ht="15.75" customHeight="1" x14ac:dyDescent="0.25">
      <c r="A271" s="35"/>
    </row>
    <row r="272" spans="1:1" ht="15.75" customHeight="1" x14ac:dyDescent="0.25">
      <c r="A272" s="35"/>
    </row>
    <row r="273" spans="1:1" ht="15.75" customHeight="1" x14ac:dyDescent="0.25">
      <c r="A273" s="35"/>
    </row>
    <row r="274" spans="1:1" ht="15.75" customHeight="1" x14ac:dyDescent="0.25">
      <c r="A274" s="35"/>
    </row>
    <row r="275" spans="1:1" ht="15.75" customHeight="1" x14ac:dyDescent="0.25">
      <c r="A275" s="35"/>
    </row>
    <row r="276" spans="1:1" ht="15.75" customHeight="1" x14ac:dyDescent="0.25">
      <c r="A276" s="35"/>
    </row>
    <row r="277" spans="1:1" ht="15.75" customHeight="1" x14ac:dyDescent="0.25">
      <c r="A277" s="35"/>
    </row>
    <row r="278" spans="1:1" ht="15.75" customHeight="1" x14ac:dyDescent="0.25">
      <c r="A278" s="35"/>
    </row>
    <row r="279" spans="1:1" ht="15.75" customHeight="1" x14ac:dyDescent="0.25">
      <c r="A279" s="35"/>
    </row>
    <row r="280" spans="1:1" ht="15.75" customHeight="1" x14ac:dyDescent="0.25">
      <c r="A280" s="35"/>
    </row>
    <row r="281" spans="1:1" ht="15.75" customHeight="1" x14ac:dyDescent="0.25">
      <c r="A281" s="35"/>
    </row>
    <row r="282" spans="1:1" ht="15.75" customHeight="1" x14ac:dyDescent="0.25">
      <c r="A282" s="35"/>
    </row>
    <row r="283" spans="1:1" ht="15.75" customHeight="1" x14ac:dyDescent="0.25">
      <c r="A283" s="35"/>
    </row>
    <row r="284" spans="1:1" ht="15.75" customHeight="1" x14ac:dyDescent="0.25">
      <c r="A284" s="35"/>
    </row>
    <row r="285" spans="1:1" ht="15.75" customHeight="1" x14ac:dyDescent="0.25">
      <c r="A285" s="35"/>
    </row>
    <row r="286" spans="1:1" ht="15.75" customHeight="1" x14ac:dyDescent="0.25">
      <c r="A286" s="35"/>
    </row>
    <row r="287" spans="1:1" ht="15.75" customHeight="1" x14ac:dyDescent="0.25">
      <c r="A287" s="35"/>
    </row>
    <row r="288" spans="1:1" ht="15.75" customHeight="1" x14ac:dyDescent="0.25">
      <c r="A288" s="35"/>
    </row>
    <row r="289" spans="1:1" ht="15.75" customHeight="1" x14ac:dyDescent="0.25">
      <c r="A289" s="35"/>
    </row>
    <row r="290" spans="1:1" ht="15.75" customHeight="1" x14ac:dyDescent="0.25">
      <c r="A290" s="35"/>
    </row>
    <row r="291" spans="1:1" ht="15.75" customHeight="1" x14ac:dyDescent="0.25">
      <c r="A291" s="35"/>
    </row>
    <row r="292" spans="1:1" ht="15.75" customHeight="1" x14ac:dyDescent="0.25">
      <c r="A292" s="35"/>
    </row>
    <row r="293" spans="1:1" ht="15.75" customHeight="1" x14ac:dyDescent="0.25">
      <c r="A293" s="35"/>
    </row>
    <row r="294" spans="1:1" ht="15.75" customHeight="1" x14ac:dyDescent="0.25">
      <c r="A294" s="35"/>
    </row>
    <row r="295" spans="1:1" ht="15.75" customHeight="1" x14ac:dyDescent="0.25">
      <c r="A295" s="35"/>
    </row>
    <row r="296" spans="1:1" ht="15.75" customHeight="1" x14ac:dyDescent="0.25">
      <c r="A296" s="35"/>
    </row>
    <row r="297" spans="1:1" ht="15.75" customHeight="1" x14ac:dyDescent="0.25">
      <c r="A297" s="35"/>
    </row>
    <row r="298" spans="1:1" ht="15.75" customHeight="1" x14ac:dyDescent="0.25">
      <c r="A298" s="35"/>
    </row>
    <row r="299" spans="1:1" ht="15.75" customHeight="1" x14ac:dyDescent="0.25">
      <c r="A299" s="35"/>
    </row>
    <row r="300" spans="1:1" ht="15.75" customHeight="1" x14ac:dyDescent="0.25">
      <c r="A300" s="35"/>
    </row>
    <row r="301" spans="1:1" ht="15.75" customHeight="1" x14ac:dyDescent="0.25">
      <c r="A301" s="35"/>
    </row>
    <row r="302" spans="1:1" ht="15.75" customHeight="1" x14ac:dyDescent="0.25">
      <c r="A302" s="35"/>
    </row>
    <row r="303" spans="1:1" ht="15.75" customHeight="1" x14ac:dyDescent="0.25">
      <c r="A303" s="35"/>
    </row>
    <row r="304" spans="1:1" ht="15.75" customHeight="1" x14ac:dyDescent="0.25">
      <c r="A304" s="35"/>
    </row>
    <row r="305" spans="1:1" ht="15.75" customHeight="1" x14ac:dyDescent="0.25">
      <c r="A305" s="35"/>
    </row>
    <row r="306" spans="1:1" ht="15.75" customHeight="1" x14ac:dyDescent="0.25">
      <c r="A306" s="35"/>
    </row>
    <row r="307" spans="1:1" ht="15.75" customHeight="1" x14ac:dyDescent="0.25">
      <c r="A307" s="35"/>
    </row>
    <row r="308" spans="1:1" ht="15.75" customHeight="1" x14ac:dyDescent="0.25">
      <c r="A308" s="35"/>
    </row>
    <row r="309" spans="1:1" ht="15.75" customHeight="1" x14ac:dyDescent="0.25">
      <c r="A309" s="35"/>
    </row>
    <row r="310" spans="1:1" ht="15.75" customHeight="1" x14ac:dyDescent="0.25">
      <c r="A310" s="35"/>
    </row>
    <row r="311" spans="1:1" ht="15.75" customHeight="1" x14ac:dyDescent="0.25">
      <c r="A311" s="35"/>
    </row>
    <row r="312" spans="1:1" ht="15.75" customHeight="1" x14ac:dyDescent="0.25">
      <c r="A312" s="35"/>
    </row>
    <row r="313" spans="1:1" ht="15.75" customHeight="1" x14ac:dyDescent="0.25">
      <c r="A313" s="35"/>
    </row>
    <row r="314" spans="1:1" ht="15.75" customHeight="1" x14ac:dyDescent="0.25">
      <c r="A314" s="35"/>
    </row>
    <row r="315" spans="1:1" ht="15.75" customHeight="1" x14ac:dyDescent="0.25">
      <c r="A315" s="35"/>
    </row>
    <row r="316" spans="1:1" ht="15.75" customHeight="1" x14ac:dyDescent="0.25">
      <c r="A316" s="35"/>
    </row>
    <row r="317" spans="1:1" ht="15.75" customHeight="1" x14ac:dyDescent="0.25">
      <c r="A317" s="35"/>
    </row>
    <row r="318" spans="1:1" ht="15.75" customHeight="1" x14ac:dyDescent="0.25">
      <c r="A318" s="35"/>
    </row>
    <row r="319" spans="1:1" ht="15.75" customHeight="1" x14ac:dyDescent="0.25">
      <c r="A319" s="35"/>
    </row>
    <row r="320" spans="1:1" ht="15.75" customHeight="1" x14ac:dyDescent="0.25">
      <c r="A320" s="35"/>
    </row>
    <row r="321" spans="1:1" ht="15.75" customHeight="1" x14ac:dyDescent="0.25">
      <c r="A321" s="35"/>
    </row>
    <row r="322" spans="1:1" ht="15.75" customHeight="1" x14ac:dyDescent="0.25">
      <c r="A322" s="35"/>
    </row>
    <row r="323" spans="1:1" ht="15.75" customHeight="1" x14ac:dyDescent="0.25">
      <c r="A323" s="35"/>
    </row>
    <row r="324" spans="1:1" ht="15.75" customHeight="1" x14ac:dyDescent="0.25">
      <c r="A324" s="35"/>
    </row>
    <row r="325" spans="1:1" ht="15.75" customHeight="1" x14ac:dyDescent="0.25">
      <c r="A325" s="35"/>
    </row>
    <row r="326" spans="1:1" ht="15.75" customHeight="1" x14ac:dyDescent="0.25">
      <c r="A326" s="35"/>
    </row>
    <row r="327" spans="1:1" ht="15.75" customHeight="1" x14ac:dyDescent="0.25">
      <c r="A327" s="35"/>
    </row>
    <row r="328" spans="1:1" ht="15.75" customHeight="1" x14ac:dyDescent="0.25">
      <c r="A328" s="35"/>
    </row>
    <row r="329" spans="1:1" ht="15.75" customHeight="1" x14ac:dyDescent="0.25">
      <c r="A329" s="35"/>
    </row>
    <row r="330" spans="1:1" ht="15.75" customHeight="1" x14ac:dyDescent="0.25">
      <c r="A330" s="35"/>
    </row>
    <row r="331" spans="1:1" ht="15.75" customHeight="1" x14ac:dyDescent="0.25">
      <c r="A331" s="35"/>
    </row>
    <row r="332" spans="1:1" ht="15.75" customHeight="1" x14ac:dyDescent="0.25">
      <c r="A332" s="35"/>
    </row>
    <row r="333" spans="1:1" ht="15.75" customHeight="1" x14ac:dyDescent="0.25">
      <c r="A333" s="35"/>
    </row>
    <row r="334" spans="1:1" ht="15.75" customHeight="1" x14ac:dyDescent="0.25">
      <c r="A334" s="35"/>
    </row>
    <row r="335" spans="1:1" ht="15.75" customHeight="1" x14ac:dyDescent="0.25">
      <c r="A335" s="35"/>
    </row>
    <row r="336" spans="1:1" ht="15.75" customHeight="1" x14ac:dyDescent="0.25">
      <c r="A336" s="35"/>
    </row>
    <row r="337" spans="1:1" ht="15.75" customHeight="1" x14ac:dyDescent="0.25">
      <c r="A337" s="35"/>
    </row>
    <row r="338" spans="1:1" ht="15.75" customHeight="1" x14ac:dyDescent="0.25">
      <c r="A338" s="35"/>
    </row>
    <row r="339" spans="1:1" ht="15.75" customHeight="1" x14ac:dyDescent="0.25">
      <c r="A339" s="35"/>
    </row>
    <row r="340" spans="1:1" ht="15.75" customHeight="1" x14ac:dyDescent="0.25">
      <c r="A340" s="35"/>
    </row>
    <row r="341" spans="1:1" ht="15.75" customHeight="1" x14ac:dyDescent="0.25">
      <c r="A341" s="35"/>
    </row>
    <row r="342" spans="1:1" ht="15.75" customHeight="1" x14ac:dyDescent="0.25">
      <c r="A342" s="35"/>
    </row>
    <row r="343" spans="1:1" ht="15.75" customHeight="1" x14ac:dyDescent="0.25">
      <c r="A343" s="35"/>
    </row>
    <row r="344" spans="1:1" ht="15.75" customHeight="1" x14ac:dyDescent="0.25">
      <c r="A344" s="35"/>
    </row>
    <row r="345" spans="1:1" ht="15.75" customHeight="1" x14ac:dyDescent="0.25">
      <c r="A345" s="35"/>
    </row>
    <row r="346" spans="1:1" ht="15.75" customHeight="1" x14ac:dyDescent="0.25">
      <c r="A346" s="35"/>
    </row>
    <row r="347" spans="1:1" ht="15.75" customHeight="1" x14ac:dyDescent="0.25">
      <c r="A347" s="35"/>
    </row>
    <row r="348" spans="1:1" ht="15.75" customHeight="1" x14ac:dyDescent="0.25">
      <c r="A348" s="35"/>
    </row>
    <row r="349" spans="1:1" ht="15.75" customHeight="1" x14ac:dyDescent="0.25">
      <c r="A349" s="35"/>
    </row>
    <row r="350" spans="1:1" ht="15.75" customHeight="1" x14ac:dyDescent="0.25">
      <c r="A350" s="35"/>
    </row>
    <row r="351" spans="1:1" ht="15.75" customHeight="1" x14ac:dyDescent="0.25">
      <c r="A351" s="35"/>
    </row>
    <row r="352" spans="1:1" ht="15.75" customHeight="1" x14ac:dyDescent="0.25">
      <c r="A352" s="35"/>
    </row>
    <row r="353" spans="1:1" ht="15.75" customHeight="1" x14ac:dyDescent="0.25">
      <c r="A353" s="35"/>
    </row>
    <row r="354" spans="1:1" ht="15.75" customHeight="1" x14ac:dyDescent="0.25">
      <c r="A354" s="35"/>
    </row>
    <row r="355" spans="1:1" ht="15.75" customHeight="1" x14ac:dyDescent="0.25">
      <c r="A355" s="35"/>
    </row>
    <row r="356" spans="1:1" ht="15.75" customHeight="1" x14ac:dyDescent="0.25">
      <c r="A356" s="35"/>
    </row>
    <row r="357" spans="1:1" ht="15.75" customHeight="1" x14ac:dyDescent="0.25">
      <c r="A357" s="35"/>
    </row>
    <row r="358" spans="1:1" ht="15.75" customHeight="1" x14ac:dyDescent="0.25">
      <c r="A358" s="35"/>
    </row>
    <row r="359" spans="1:1" ht="15.75" customHeight="1" x14ac:dyDescent="0.25">
      <c r="A359" s="35"/>
    </row>
    <row r="360" spans="1:1" ht="15.75" customHeight="1" x14ac:dyDescent="0.25">
      <c r="A360" s="35"/>
    </row>
    <row r="361" spans="1:1" ht="15.75" customHeight="1" x14ac:dyDescent="0.25">
      <c r="A361" s="35"/>
    </row>
    <row r="362" spans="1:1" ht="15.75" customHeight="1" x14ac:dyDescent="0.25">
      <c r="A362" s="35"/>
    </row>
    <row r="363" spans="1:1" ht="15.75" customHeight="1" x14ac:dyDescent="0.25">
      <c r="A363" s="35"/>
    </row>
    <row r="364" spans="1:1" ht="15.75" customHeight="1" x14ac:dyDescent="0.25">
      <c r="A364" s="35"/>
    </row>
    <row r="365" spans="1:1" ht="15.75" customHeight="1" x14ac:dyDescent="0.25">
      <c r="A365" s="35"/>
    </row>
    <row r="366" spans="1:1" ht="15.75" customHeight="1" x14ac:dyDescent="0.25">
      <c r="A366" s="35"/>
    </row>
    <row r="367" spans="1:1" ht="15.75" customHeight="1" x14ac:dyDescent="0.25">
      <c r="A367" s="35"/>
    </row>
    <row r="368" spans="1:1" ht="15.75" customHeight="1" x14ac:dyDescent="0.25">
      <c r="A368" s="35"/>
    </row>
    <row r="369" spans="1:1" ht="15.75" customHeight="1" x14ac:dyDescent="0.25">
      <c r="A369" s="35"/>
    </row>
    <row r="370" spans="1:1" ht="15.75" customHeight="1" x14ac:dyDescent="0.25">
      <c r="A370" s="35"/>
    </row>
    <row r="371" spans="1:1" ht="15.75" customHeight="1" x14ac:dyDescent="0.25">
      <c r="A371" s="35"/>
    </row>
    <row r="372" spans="1:1" ht="15.75" customHeight="1" x14ac:dyDescent="0.25">
      <c r="A372" s="35"/>
    </row>
    <row r="373" spans="1:1" ht="15.75" customHeight="1" x14ac:dyDescent="0.25">
      <c r="A373" s="35"/>
    </row>
    <row r="374" spans="1:1" ht="15.75" customHeight="1" x14ac:dyDescent="0.25">
      <c r="A374" s="35"/>
    </row>
    <row r="375" spans="1:1" ht="15.75" customHeight="1" x14ac:dyDescent="0.25">
      <c r="A375" s="35"/>
    </row>
    <row r="376" spans="1:1" ht="15.75" customHeight="1" x14ac:dyDescent="0.25">
      <c r="A376" s="35"/>
    </row>
    <row r="377" spans="1:1" ht="15.75" customHeight="1" x14ac:dyDescent="0.25">
      <c r="A377" s="35"/>
    </row>
    <row r="378" spans="1:1" ht="15.75" customHeight="1" x14ac:dyDescent="0.25">
      <c r="A378" s="35"/>
    </row>
    <row r="379" spans="1:1" ht="15.75" customHeight="1" x14ac:dyDescent="0.25">
      <c r="A379" s="35"/>
    </row>
    <row r="380" spans="1:1" ht="15.75" customHeight="1" x14ac:dyDescent="0.25">
      <c r="A380" s="35"/>
    </row>
    <row r="381" spans="1:1" ht="15.75" customHeight="1" x14ac:dyDescent="0.25">
      <c r="A381" s="35"/>
    </row>
    <row r="382" spans="1:1" ht="15.75" customHeight="1" x14ac:dyDescent="0.25">
      <c r="A382" s="35"/>
    </row>
    <row r="383" spans="1:1" ht="15.75" customHeight="1" x14ac:dyDescent="0.25">
      <c r="A383" s="35"/>
    </row>
    <row r="384" spans="1:1" ht="15.75" customHeight="1" x14ac:dyDescent="0.25">
      <c r="A384" s="35"/>
    </row>
    <row r="385" spans="1:1" ht="15.75" customHeight="1" x14ac:dyDescent="0.25">
      <c r="A385" s="35"/>
    </row>
    <row r="386" spans="1:1" ht="15.75" customHeight="1" x14ac:dyDescent="0.25">
      <c r="A386" s="35"/>
    </row>
    <row r="387" spans="1:1" ht="15.75" customHeight="1" x14ac:dyDescent="0.25">
      <c r="A387" s="35"/>
    </row>
    <row r="388" spans="1:1" ht="15.75" customHeight="1" x14ac:dyDescent="0.25">
      <c r="A388" s="35"/>
    </row>
    <row r="389" spans="1:1" ht="15.75" customHeight="1" x14ac:dyDescent="0.25">
      <c r="A389" s="35"/>
    </row>
    <row r="390" spans="1:1" ht="15.75" customHeight="1" x14ac:dyDescent="0.25">
      <c r="A390" s="35"/>
    </row>
    <row r="391" spans="1:1" ht="15.75" customHeight="1" x14ac:dyDescent="0.25">
      <c r="A391" s="35"/>
    </row>
    <row r="392" spans="1:1" ht="15.75" customHeight="1" x14ac:dyDescent="0.25">
      <c r="A392" s="35"/>
    </row>
    <row r="393" spans="1:1" ht="15.75" customHeight="1" x14ac:dyDescent="0.25">
      <c r="A393" s="35"/>
    </row>
    <row r="394" spans="1:1" ht="15.75" customHeight="1" x14ac:dyDescent="0.25">
      <c r="A394" s="35"/>
    </row>
    <row r="395" spans="1:1" ht="15.75" customHeight="1" x14ac:dyDescent="0.25">
      <c r="A395" s="35"/>
    </row>
    <row r="396" spans="1:1" ht="15.75" customHeight="1" x14ac:dyDescent="0.25">
      <c r="A396" s="35"/>
    </row>
    <row r="397" spans="1:1" ht="15.75" customHeight="1" x14ac:dyDescent="0.25">
      <c r="A397" s="35"/>
    </row>
    <row r="398" spans="1:1" ht="15.75" customHeight="1" x14ac:dyDescent="0.25">
      <c r="A398" s="35"/>
    </row>
    <row r="399" spans="1:1" ht="15.75" customHeight="1" x14ac:dyDescent="0.25">
      <c r="A399" s="35"/>
    </row>
    <row r="400" spans="1:1" ht="15.75" customHeight="1" x14ac:dyDescent="0.25">
      <c r="A400" s="35"/>
    </row>
    <row r="401" spans="1:1" ht="15.75" customHeight="1" x14ac:dyDescent="0.25">
      <c r="A401" s="35"/>
    </row>
    <row r="402" spans="1:1" ht="15.75" customHeight="1" x14ac:dyDescent="0.25">
      <c r="A402" s="35"/>
    </row>
    <row r="403" spans="1:1" ht="15.75" customHeight="1" x14ac:dyDescent="0.25">
      <c r="A403" s="35"/>
    </row>
    <row r="404" spans="1:1" ht="15.75" customHeight="1" x14ac:dyDescent="0.25">
      <c r="A404" s="35"/>
    </row>
    <row r="405" spans="1:1" ht="15.75" customHeight="1" x14ac:dyDescent="0.25">
      <c r="A405" s="35"/>
    </row>
    <row r="406" spans="1:1" ht="15.75" customHeight="1" x14ac:dyDescent="0.25">
      <c r="A406" s="35"/>
    </row>
    <row r="407" spans="1:1" ht="15.75" customHeight="1" x14ac:dyDescent="0.25">
      <c r="A407" s="35"/>
    </row>
    <row r="408" spans="1:1" ht="15.75" customHeight="1" x14ac:dyDescent="0.25">
      <c r="A408" s="35"/>
    </row>
    <row r="409" spans="1:1" ht="15.75" customHeight="1" x14ac:dyDescent="0.25">
      <c r="A409" s="35"/>
    </row>
    <row r="410" spans="1:1" ht="15.75" customHeight="1" x14ac:dyDescent="0.25">
      <c r="A410" s="35"/>
    </row>
    <row r="411" spans="1:1" ht="15.75" customHeight="1" x14ac:dyDescent="0.25">
      <c r="A411" s="35"/>
    </row>
    <row r="412" spans="1:1" ht="15.75" customHeight="1" x14ac:dyDescent="0.25">
      <c r="A412" s="35"/>
    </row>
    <row r="413" spans="1:1" ht="15.75" customHeight="1" x14ac:dyDescent="0.25">
      <c r="A413" s="35"/>
    </row>
    <row r="414" spans="1:1" ht="15.75" customHeight="1" x14ac:dyDescent="0.25">
      <c r="A414" s="35"/>
    </row>
    <row r="415" spans="1:1" ht="15.75" customHeight="1" x14ac:dyDescent="0.25">
      <c r="A415" s="35"/>
    </row>
    <row r="416" spans="1:1" ht="15.75" customHeight="1" x14ac:dyDescent="0.25">
      <c r="A416" s="35"/>
    </row>
    <row r="417" spans="1:1" ht="15.75" customHeight="1" x14ac:dyDescent="0.25">
      <c r="A417" s="35"/>
    </row>
    <row r="418" spans="1:1" ht="15.75" customHeight="1" x14ac:dyDescent="0.25">
      <c r="A418" s="35"/>
    </row>
    <row r="419" spans="1:1" ht="15.75" customHeight="1" x14ac:dyDescent="0.25">
      <c r="A419" s="35"/>
    </row>
    <row r="420" spans="1:1" ht="15.75" customHeight="1" x14ac:dyDescent="0.25">
      <c r="A420" s="35"/>
    </row>
    <row r="421" spans="1:1" ht="15.75" customHeight="1" x14ac:dyDescent="0.25">
      <c r="A421" s="35"/>
    </row>
    <row r="422" spans="1:1" ht="15.75" customHeight="1" x14ac:dyDescent="0.25">
      <c r="A422" s="35"/>
    </row>
    <row r="423" spans="1:1" ht="15.75" customHeight="1" x14ac:dyDescent="0.25">
      <c r="A423" s="35"/>
    </row>
    <row r="424" spans="1:1" ht="15.75" customHeight="1" x14ac:dyDescent="0.25">
      <c r="A424" s="35"/>
    </row>
    <row r="425" spans="1:1" ht="15.75" customHeight="1" x14ac:dyDescent="0.25">
      <c r="A425" s="35"/>
    </row>
    <row r="426" spans="1:1" ht="15.75" customHeight="1" x14ac:dyDescent="0.25">
      <c r="A426" s="35"/>
    </row>
    <row r="427" spans="1:1" ht="15.75" customHeight="1" x14ac:dyDescent="0.25">
      <c r="A427" s="35"/>
    </row>
    <row r="428" spans="1:1" ht="15.75" customHeight="1" x14ac:dyDescent="0.25">
      <c r="A428" s="35"/>
    </row>
    <row r="429" spans="1:1" ht="15.75" customHeight="1" x14ac:dyDescent="0.25">
      <c r="A429" s="35"/>
    </row>
    <row r="430" spans="1:1" ht="15.75" customHeight="1" x14ac:dyDescent="0.25">
      <c r="A430" s="35"/>
    </row>
    <row r="431" spans="1:1" ht="15.75" customHeight="1" x14ac:dyDescent="0.25">
      <c r="A431" s="35"/>
    </row>
    <row r="432" spans="1:1" ht="15.75" customHeight="1" x14ac:dyDescent="0.25">
      <c r="A432" s="35"/>
    </row>
    <row r="433" spans="1:1" ht="15.75" customHeight="1" x14ac:dyDescent="0.25">
      <c r="A433" s="35"/>
    </row>
    <row r="434" spans="1:1" ht="15.75" customHeight="1" x14ac:dyDescent="0.25">
      <c r="A434" s="35"/>
    </row>
    <row r="435" spans="1:1" ht="15.75" customHeight="1" x14ac:dyDescent="0.25">
      <c r="A435" s="35"/>
    </row>
    <row r="436" spans="1:1" ht="15.75" customHeight="1" x14ac:dyDescent="0.25">
      <c r="A436" s="35"/>
    </row>
    <row r="437" spans="1:1" ht="15.75" customHeight="1" x14ac:dyDescent="0.25">
      <c r="A437" s="35"/>
    </row>
    <row r="438" spans="1:1" ht="15.75" customHeight="1" x14ac:dyDescent="0.25">
      <c r="A438" s="35"/>
    </row>
    <row r="439" spans="1:1" ht="15.75" customHeight="1" x14ac:dyDescent="0.25">
      <c r="A439" s="35"/>
    </row>
    <row r="440" spans="1:1" ht="15.75" customHeight="1" x14ac:dyDescent="0.25">
      <c r="A440" s="35"/>
    </row>
    <row r="441" spans="1:1" ht="15.75" customHeight="1" x14ac:dyDescent="0.25">
      <c r="A441" s="35"/>
    </row>
    <row r="442" spans="1:1" ht="15.75" customHeight="1" x14ac:dyDescent="0.25">
      <c r="A442" s="35"/>
    </row>
    <row r="443" spans="1:1" ht="15.75" customHeight="1" x14ac:dyDescent="0.25">
      <c r="A443" s="35"/>
    </row>
    <row r="444" spans="1:1" ht="15.75" customHeight="1" x14ac:dyDescent="0.25">
      <c r="A444" s="35"/>
    </row>
    <row r="445" spans="1:1" ht="15.75" customHeight="1" x14ac:dyDescent="0.25">
      <c r="A445" s="35"/>
    </row>
    <row r="446" spans="1:1" ht="15.75" customHeight="1" x14ac:dyDescent="0.25">
      <c r="A446" s="35"/>
    </row>
    <row r="447" spans="1:1" ht="15.75" customHeight="1" x14ac:dyDescent="0.25">
      <c r="A447" s="35"/>
    </row>
    <row r="448" spans="1:1" ht="15.75" customHeight="1" x14ac:dyDescent="0.25">
      <c r="A448" s="35"/>
    </row>
    <row r="449" spans="1:1" ht="15.75" customHeight="1" x14ac:dyDescent="0.25">
      <c r="A449" s="35"/>
    </row>
    <row r="450" spans="1:1" ht="15.75" customHeight="1" x14ac:dyDescent="0.25">
      <c r="A450" s="35"/>
    </row>
    <row r="451" spans="1:1" ht="15.75" customHeight="1" x14ac:dyDescent="0.25">
      <c r="A451" s="35"/>
    </row>
    <row r="452" spans="1:1" ht="15.75" customHeight="1" x14ac:dyDescent="0.25">
      <c r="A452" s="35"/>
    </row>
    <row r="453" spans="1:1" ht="15.75" customHeight="1" x14ac:dyDescent="0.25">
      <c r="A453" s="35"/>
    </row>
    <row r="454" spans="1:1" ht="15.75" customHeight="1" x14ac:dyDescent="0.25">
      <c r="A454" s="35"/>
    </row>
    <row r="455" spans="1:1" ht="15.75" customHeight="1" x14ac:dyDescent="0.25">
      <c r="A455" s="35"/>
    </row>
    <row r="456" spans="1:1" ht="15.75" customHeight="1" x14ac:dyDescent="0.25">
      <c r="A456" s="35"/>
    </row>
    <row r="457" spans="1:1" ht="15.75" customHeight="1" x14ac:dyDescent="0.25">
      <c r="A457" s="35"/>
    </row>
    <row r="458" spans="1:1" ht="15.75" customHeight="1" x14ac:dyDescent="0.25">
      <c r="A458" s="35"/>
    </row>
    <row r="459" spans="1:1" ht="15.75" customHeight="1" x14ac:dyDescent="0.25">
      <c r="A459" s="35"/>
    </row>
    <row r="460" spans="1:1" ht="15.75" customHeight="1" x14ac:dyDescent="0.25">
      <c r="A460" s="35"/>
    </row>
    <row r="461" spans="1:1" ht="15.75" customHeight="1" x14ac:dyDescent="0.25">
      <c r="A461" s="35"/>
    </row>
    <row r="462" spans="1:1" ht="15.75" customHeight="1" x14ac:dyDescent="0.25">
      <c r="A462" s="35"/>
    </row>
    <row r="463" spans="1:1" ht="15.75" customHeight="1" x14ac:dyDescent="0.25">
      <c r="A463" s="35"/>
    </row>
    <row r="464" spans="1:1" ht="15.75" customHeight="1" x14ac:dyDescent="0.25">
      <c r="A464" s="35"/>
    </row>
    <row r="465" spans="1:1" ht="15.75" customHeight="1" x14ac:dyDescent="0.25">
      <c r="A465" s="35"/>
    </row>
    <row r="466" spans="1:1" ht="15.75" customHeight="1" x14ac:dyDescent="0.25">
      <c r="A466" s="35"/>
    </row>
    <row r="467" spans="1:1" ht="15.75" customHeight="1" x14ac:dyDescent="0.25">
      <c r="A467" s="35"/>
    </row>
    <row r="468" spans="1:1" ht="15.75" customHeight="1" x14ac:dyDescent="0.25">
      <c r="A468" s="35"/>
    </row>
    <row r="469" spans="1:1" ht="15.75" customHeight="1" x14ac:dyDescent="0.25">
      <c r="A469" s="35"/>
    </row>
    <row r="470" spans="1:1" ht="15.75" customHeight="1" x14ac:dyDescent="0.25">
      <c r="A470" s="35"/>
    </row>
    <row r="471" spans="1:1" ht="15.75" customHeight="1" x14ac:dyDescent="0.25">
      <c r="A471" s="35"/>
    </row>
    <row r="472" spans="1:1" ht="15.75" customHeight="1" x14ac:dyDescent="0.25">
      <c r="A472" s="35"/>
    </row>
    <row r="473" spans="1:1" ht="15.75" customHeight="1" x14ac:dyDescent="0.25">
      <c r="A473" s="35"/>
    </row>
    <row r="474" spans="1:1" ht="15.75" customHeight="1" x14ac:dyDescent="0.25">
      <c r="A474" s="35"/>
    </row>
    <row r="475" spans="1:1" ht="15.75" customHeight="1" x14ac:dyDescent="0.25">
      <c r="A475" s="35"/>
    </row>
    <row r="476" spans="1:1" ht="15.75" customHeight="1" x14ac:dyDescent="0.25">
      <c r="A476" s="35"/>
    </row>
    <row r="477" spans="1:1" ht="15.75" customHeight="1" x14ac:dyDescent="0.25">
      <c r="A477" s="35"/>
    </row>
    <row r="478" spans="1:1" ht="15.75" customHeight="1" x14ac:dyDescent="0.25">
      <c r="A478" s="35"/>
    </row>
    <row r="479" spans="1:1" ht="15.75" customHeight="1" x14ac:dyDescent="0.25">
      <c r="A479" s="35"/>
    </row>
    <row r="480" spans="1:1" ht="15.75" customHeight="1" x14ac:dyDescent="0.25">
      <c r="A480" s="35"/>
    </row>
    <row r="481" spans="1:1" ht="15.75" customHeight="1" x14ac:dyDescent="0.25">
      <c r="A481" s="35"/>
    </row>
    <row r="482" spans="1:1" ht="15.75" customHeight="1" x14ac:dyDescent="0.25">
      <c r="A482" s="35"/>
    </row>
    <row r="483" spans="1:1" ht="15.75" customHeight="1" x14ac:dyDescent="0.25">
      <c r="A483" s="35"/>
    </row>
    <row r="484" spans="1:1" ht="15.75" customHeight="1" x14ac:dyDescent="0.25">
      <c r="A484" s="35"/>
    </row>
    <row r="485" spans="1:1" ht="15.75" customHeight="1" x14ac:dyDescent="0.25">
      <c r="A485" s="35"/>
    </row>
    <row r="486" spans="1:1" ht="15.75" customHeight="1" x14ac:dyDescent="0.25">
      <c r="A486" s="35"/>
    </row>
    <row r="487" spans="1:1" ht="15.75" customHeight="1" x14ac:dyDescent="0.25">
      <c r="A487" s="35"/>
    </row>
    <row r="488" spans="1:1" ht="15.75" customHeight="1" x14ac:dyDescent="0.25">
      <c r="A488" s="35"/>
    </row>
    <row r="489" spans="1:1" ht="15.75" customHeight="1" x14ac:dyDescent="0.25">
      <c r="A489" s="35"/>
    </row>
    <row r="490" spans="1:1" ht="15.75" customHeight="1" x14ac:dyDescent="0.25">
      <c r="A490" s="35"/>
    </row>
    <row r="491" spans="1:1" ht="15.75" customHeight="1" x14ac:dyDescent="0.25">
      <c r="A491" s="35"/>
    </row>
    <row r="492" spans="1:1" ht="15.75" customHeight="1" x14ac:dyDescent="0.25">
      <c r="A492" s="35"/>
    </row>
    <row r="493" spans="1:1" ht="15.75" customHeight="1" x14ac:dyDescent="0.25">
      <c r="A493" s="35"/>
    </row>
    <row r="494" spans="1:1" ht="15.75" customHeight="1" x14ac:dyDescent="0.25">
      <c r="A494" s="35"/>
    </row>
    <row r="495" spans="1:1" ht="15.75" customHeight="1" x14ac:dyDescent="0.25">
      <c r="A495" s="35"/>
    </row>
    <row r="496" spans="1:1" ht="15.75" customHeight="1" x14ac:dyDescent="0.25">
      <c r="A496" s="35"/>
    </row>
    <row r="497" spans="1:1" ht="15.75" customHeight="1" x14ac:dyDescent="0.25">
      <c r="A497" s="35"/>
    </row>
    <row r="498" spans="1:1" ht="15.75" customHeight="1" x14ac:dyDescent="0.25">
      <c r="A498" s="35"/>
    </row>
    <row r="499" spans="1:1" ht="15.75" customHeight="1" x14ac:dyDescent="0.25">
      <c r="A499" s="35"/>
    </row>
    <row r="500" spans="1:1" ht="15.75" customHeight="1" x14ac:dyDescent="0.25">
      <c r="A500" s="35"/>
    </row>
    <row r="501" spans="1:1" ht="15.75" customHeight="1" x14ac:dyDescent="0.25">
      <c r="A501" s="35"/>
    </row>
    <row r="502" spans="1:1" ht="15.75" customHeight="1" x14ac:dyDescent="0.25">
      <c r="A502" s="35"/>
    </row>
    <row r="503" spans="1:1" ht="15.75" customHeight="1" x14ac:dyDescent="0.25">
      <c r="A503" s="35"/>
    </row>
    <row r="504" spans="1:1" ht="15.75" customHeight="1" x14ac:dyDescent="0.25">
      <c r="A504" s="35"/>
    </row>
    <row r="505" spans="1:1" ht="15.75" customHeight="1" x14ac:dyDescent="0.25">
      <c r="A505" s="35"/>
    </row>
    <row r="506" spans="1:1" ht="15.75" customHeight="1" x14ac:dyDescent="0.25">
      <c r="A506" s="35"/>
    </row>
    <row r="507" spans="1:1" ht="15.75" customHeight="1" x14ac:dyDescent="0.25">
      <c r="A507" s="35"/>
    </row>
    <row r="508" spans="1:1" ht="15.75" customHeight="1" x14ac:dyDescent="0.25">
      <c r="A508" s="35"/>
    </row>
    <row r="509" spans="1:1" ht="15.75" customHeight="1" x14ac:dyDescent="0.25">
      <c r="A509" s="35"/>
    </row>
    <row r="510" spans="1:1" ht="15.75" customHeight="1" x14ac:dyDescent="0.25">
      <c r="A510" s="35"/>
    </row>
    <row r="511" spans="1:1" ht="15.75" customHeight="1" x14ac:dyDescent="0.25">
      <c r="A511" s="35"/>
    </row>
    <row r="512" spans="1:1" ht="15.75" customHeight="1" x14ac:dyDescent="0.25">
      <c r="A512" s="35"/>
    </row>
    <row r="513" spans="1:1" ht="15.75" customHeight="1" x14ac:dyDescent="0.25">
      <c r="A513" s="35"/>
    </row>
    <row r="514" spans="1:1" ht="15.75" customHeight="1" x14ac:dyDescent="0.25">
      <c r="A514" s="35"/>
    </row>
    <row r="515" spans="1:1" ht="15.75" customHeight="1" x14ac:dyDescent="0.25">
      <c r="A515" s="35"/>
    </row>
    <row r="516" spans="1:1" ht="15.75" customHeight="1" x14ac:dyDescent="0.25">
      <c r="A516" s="35"/>
    </row>
    <row r="517" spans="1:1" ht="15.75" customHeight="1" x14ac:dyDescent="0.25">
      <c r="A517" s="35"/>
    </row>
    <row r="518" spans="1:1" ht="15.75" customHeight="1" x14ac:dyDescent="0.25">
      <c r="A518" s="35"/>
    </row>
    <row r="519" spans="1:1" ht="15.75" customHeight="1" x14ac:dyDescent="0.25">
      <c r="A519" s="35"/>
    </row>
    <row r="520" spans="1:1" ht="15.75" customHeight="1" x14ac:dyDescent="0.25">
      <c r="A520" s="35"/>
    </row>
    <row r="521" spans="1:1" ht="15.75" customHeight="1" x14ac:dyDescent="0.25">
      <c r="A521" s="35"/>
    </row>
    <row r="522" spans="1:1" ht="15.75" customHeight="1" x14ac:dyDescent="0.25">
      <c r="A522" s="35"/>
    </row>
    <row r="523" spans="1:1" ht="15.75" customHeight="1" x14ac:dyDescent="0.25">
      <c r="A523" s="35"/>
    </row>
    <row r="524" spans="1:1" ht="15.75" customHeight="1" x14ac:dyDescent="0.25">
      <c r="A524" s="35"/>
    </row>
    <row r="525" spans="1:1" ht="15.75" customHeight="1" x14ac:dyDescent="0.25">
      <c r="A525" s="35"/>
    </row>
    <row r="526" spans="1:1" ht="15.75" customHeight="1" x14ac:dyDescent="0.25">
      <c r="A526" s="35"/>
    </row>
    <row r="527" spans="1:1" ht="15.75" customHeight="1" x14ac:dyDescent="0.25">
      <c r="A527" s="35"/>
    </row>
    <row r="528" spans="1:1" ht="15.75" customHeight="1" x14ac:dyDescent="0.25">
      <c r="A528" s="35"/>
    </row>
    <row r="529" spans="1:1" ht="15.75" customHeight="1" x14ac:dyDescent="0.25">
      <c r="A529" s="35"/>
    </row>
    <row r="530" spans="1:1" ht="15.75" customHeight="1" x14ac:dyDescent="0.25">
      <c r="A530" s="35"/>
    </row>
    <row r="531" spans="1:1" ht="15.75" customHeight="1" x14ac:dyDescent="0.25">
      <c r="A531" s="35"/>
    </row>
    <row r="532" spans="1:1" ht="15.75" customHeight="1" x14ac:dyDescent="0.25">
      <c r="A532" s="35"/>
    </row>
    <row r="533" spans="1:1" ht="15.75" customHeight="1" x14ac:dyDescent="0.25">
      <c r="A533" s="35"/>
    </row>
    <row r="534" spans="1:1" ht="15.75" customHeight="1" x14ac:dyDescent="0.25">
      <c r="A534" s="35"/>
    </row>
    <row r="535" spans="1:1" ht="15.75" customHeight="1" x14ac:dyDescent="0.25">
      <c r="A535" s="35"/>
    </row>
    <row r="536" spans="1:1" ht="15.75" customHeight="1" x14ac:dyDescent="0.25">
      <c r="A536" s="35"/>
    </row>
    <row r="537" spans="1:1" ht="15.75" customHeight="1" x14ac:dyDescent="0.25">
      <c r="A537" s="35"/>
    </row>
    <row r="538" spans="1:1" ht="15.75" customHeight="1" x14ac:dyDescent="0.25">
      <c r="A538" s="35"/>
    </row>
    <row r="539" spans="1:1" ht="15.75" customHeight="1" x14ac:dyDescent="0.25">
      <c r="A539" s="35"/>
    </row>
    <row r="540" spans="1:1" ht="15.75" customHeight="1" x14ac:dyDescent="0.25">
      <c r="A540" s="35"/>
    </row>
    <row r="541" spans="1:1" ht="15.75" customHeight="1" x14ac:dyDescent="0.25">
      <c r="A541" s="35"/>
    </row>
    <row r="542" spans="1:1" ht="15.75" customHeight="1" x14ac:dyDescent="0.25">
      <c r="A542" s="35"/>
    </row>
    <row r="543" spans="1:1" ht="15.75" customHeight="1" x14ac:dyDescent="0.25">
      <c r="A543" s="35"/>
    </row>
    <row r="544" spans="1:1" ht="15.75" customHeight="1" x14ac:dyDescent="0.25">
      <c r="A544" s="35"/>
    </row>
    <row r="545" spans="1:1" ht="15.75" customHeight="1" x14ac:dyDescent="0.25">
      <c r="A545" s="35"/>
    </row>
    <row r="546" spans="1:1" ht="15.75" customHeight="1" x14ac:dyDescent="0.25">
      <c r="A546" s="35"/>
    </row>
    <row r="547" spans="1:1" ht="15.75" customHeight="1" x14ac:dyDescent="0.25">
      <c r="A547" s="35"/>
    </row>
    <row r="548" spans="1:1" ht="15.75" customHeight="1" x14ac:dyDescent="0.25">
      <c r="A548" s="35"/>
    </row>
    <row r="549" spans="1:1" ht="15.75" customHeight="1" x14ac:dyDescent="0.25">
      <c r="A549" s="35"/>
    </row>
    <row r="550" spans="1:1" ht="15.75" customHeight="1" x14ac:dyDescent="0.25">
      <c r="A550" s="35"/>
    </row>
    <row r="551" spans="1:1" ht="15.75" customHeight="1" x14ac:dyDescent="0.25">
      <c r="A551" s="35"/>
    </row>
    <row r="552" spans="1:1" ht="15.75" customHeight="1" x14ac:dyDescent="0.25">
      <c r="A552" s="35"/>
    </row>
    <row r="553" spans="1:1" ht="15.75" customHeight="1" x14ac:dyDescent="0.25">
      <c r="A553" s="35"/>
    </row>
    <row r="554" spans="1:1" ht="15.75" customHeight="1" x14ac:dyDescent="0.25">
      <c r="A554" s="35"/>
    </row>
    <row r="555" spans="1:1" ht="15.75" customHeight="1" x14ac:dyDescent="0.25">
      <c r="A555" s="35"/>
    </row>
    <row r="556" spans="1:1" ht="15.75" customHeight="1" x14ac:dyDescent="0.25">
      <c r="A556" s="35"/>
    </row>
    <row r="557" spans="1:1" ht="15.75" customHeight="1" x14ac:dyDescent="0.25">
      <c r="A557" s="35"/>
    </row>
    <row r="558" spans="1:1" ht="15.75" customHeight="1" x14ac:dyDescent="0.25">
      <c r="A558" s="35"/>
    </row>
    <row r="559" spans="1:1" ht="15.75" customHeight="1" x14ac:dyDescent="0.25">
      <c r="A559" s="35"/>
    </row>
    <row r="560" spans="1:1" ht="15.75" customHeight="1" x14ac:dyDescent="0.25">
      <c r="A560" s="35"/>
    </row>
    <row r="561" spans="1:1" ht="15.75" customHeight="1" x14ac:dyDescent="0.25">
      <c r="A561" s="35"/>
    </row>
    <row r="562" spans="1:1" ht="15.75" customHeight="1" x14ac:dyDescent="0.25">
      <c r="A562" s="35"/>
    </row>
    <row r="563" spans="1:1" ht="15.75" customHeight="1" x14ac:dyDescent="0.25">
      <c r="A563" s="35"/>
    </row>
    <row r="564" spans="1:1" ht="15.75" customHeight="1" x14ac:dyDescent="0.25">
      <c r="A564" s="35"/>
    </row>
    <row r="565" spans="1:1" ht="15.75" customHeight="1" x14ac:dyDescent="0.25">
      <c r="A565" s="35"/>
    </row>
    <row r="566" spans="1:1" ht="15.75" customHeight="1" x14ac:dyDescent="0.25">
      <c r="A566" s="35"/>
    </row>
    <row r="567" spans="1:1" ht="15.75" customHeight="1" x14ac:dyDescent="0.25">
      <c r="A567" s="35"/>
    </row>
    <row r="568" spans="1:1" ht="15.75" customHeight="1" x14ac:dyDescent="0.25">
      <c r="A568" s="35"/>
    </row>
    <row r="569" spans="1:1" ht="15.75" customHeight="1" x14ac:dyDescent="0.25">
      <c r="A569" s="35"/>
    </row>
    <row r="570" spans="1:1" ht="15.75" customHeight="1" x14ac:dyDescent="0.25">
      <c r="A570" s="35"/>
    </row>
    <row r="571" spans="1:1" ht="15.75" customHeight="1" x14ac:dyDescent="0.25">
      <c r="A571" s="35"/>
    </row>
    <row r="572" spans="1:1" ht="15.75" customHeight="1" x14ac:dyDescent="0.25">
      <c r="A572" s="35"/>
    </row>
    <row r="573" spans="1:1" ht="15.75" customHeight="1" x14ac:dyDescent="0.25">
      <c r="A573" s="35"/>
    </row>
    <row r="574" spans="1:1" ht="15.75" customHeight="1" x14ac:dyDescent="0.25">
      <c r="A574" s="35"/>
    </row>
    <row r="575" spans="1:1" ht="15.75" customHeight="1" x14ac:dyDescent="0.25">
      <c r="A575" s="35"/>
    </row>
    <row r="576" spans="1:1" ht="15.75" customHeight="1" x14ac:dyDescent="0.25">
      <c r="A576" s="35"/>
    </row>
    <row r="577" spans="1:1" ht="15.75" customHeight="1" x14ac:dyDescent="0.25">
      <c r="A577" s="35"/>
    </row>
    <row r="578" spans="1:1" ht="15.75" customHeight="1" x14ac:dyDescent="0.25">
      <c r="A578" s="35"/>
    </row>
    <row r="579" spans="1:1" ht="15.75" customHeight="1" x14ac:dyDescent="0.25">
      <c r="A579" s="35"/>
    </row>
    <row r="580" spans="1:1" ht="15.75" customHeight="1" x14ac:dyDescent="0.25">
      <c r="A580" s="35"/>
    </row>
    <row r="581" spans="1:1" ht="15.75" customHeight="1" x14ac:dyDescent="0.25">
      <c r="A581" s="35"/>
    </row>
    <row r="582" spans="1:1" ht="15.75" customHeight="1" x14ac:dyDescent="0.25">
      <c r="A582" s="35"/>
    </row>
    <row r="583" spans="1:1" ht="15.75" customHeight="1" x14ac:dyDescent="0.25">
      <c r="A583" s="35"/>
    </row>
    <row r="584" spans="1:1" ht="15.75" customHeight="1" x14ac:dyDescent="0.25">
      <c r="A584" s="35"/>
    </row>
    <row r="585" spans="1:1" ht="15.75" customHeight="1" x14ac:dyDescent="0.25">
      <c r="A585" s="35"/>
    </row>
    <row r="586" spans="1:1" ht="15.75" customHeight="1" x14ac:dyDescent="0.25">
      <c r="A586" s="35"/>
    </row>
    <row r="587" spans="1:1" ht="15.75" customHeight="1" x14ac:dyDescent="0.25">
      <c r="A587" s="35"/>
    </row>
    <row r="588" spans="1:1" ht="15.75" customHeight="1" x14ac:dyDescent="0.25">
      <c r="A588" s="35"/>
    </row>
    <row r="589" spans="1:1" ht="15.75" customHeight="1" x14ac:dyDescent="0.25">
      <c r="A589" s="35"/>
    </row>
    <row r="590" spans="1:1" ht="15.75" customHeight="1" x14ac:dyDescent="0.25">
      <c r="A590" s="35"/>
    </row>
    <row r="591" spans="1:1" ht="15.75" customHeight="1" x14ac:dyDescent="0.25">
      <c r="A591" s="35"/>
    </row>
    <row r="592" spans="1:1" ht="15.75" customHeight="1" x14ac:dyDescent="0.25">
      <c r="A592" s="35"/>
    </row>
    <row r="593" spans="1:1" ht="15.75" customHeight="1" x14ac:dyDescent="0.25">
      <c r="A593" s="35"/>
    </row>
    <row r="594" spans="1:1" ht="15.75" customHeight="1" x14ac:dyDescent="0.25">
      <c r="A594" s="35"/>
    </row>
    <row r="595" spans="1:1" ht="15.75" customHeight="1" x14ac:dyDescent="0.25">
      <c r="A595" s="35"/>
    </row>
    <row r="596" spans="1:1" ht="15.75" customHeight="1" x14ac:dyDescent="0.25">
      <c r="A596" s="35"/>
    </row>
    <row r="597" spans="1:1" ht="15.75" customHeight="1" x14ac:dyDescent="0.25">
      <c r="A597" s="35"/>
    </row>
    <row r="598" spans="1:1" ht="15.75" customHeight="1" x14ac:dyDescent="0.25">
      <c r="A598" s="35"/>
    </row>
    <row r="599" spans="1:1" ht="15.75" customHeight="1" x14ac:dyDescent="0.25">
      <c r="A599" s="35"/>
    </row>
    <row r="600" spans="1:1" ht="15.75" customHeight="1" x14ac:dyDescent="0.25">
      <c r="A600" s="35"/>
    </row>
    <row r="601" spans="1:1" ht="15.75" customHeight="1" x14ac:dyDescent="0.25">
      <c r="A601" s="35"/>
    </row>
    <row r="602" spans="1:1" ht="15.75" customHeight="1" x14ac:dyDescent="0.25">
      <c r="A602" s="35"/>
    </row>
    <row r="603" spans="1:1" ht="15.75" customHeight="1" x14ac:dyDescent="0.25">
      <c r="A603" s="35"/>
    </row>
    <row r="604" spans="1:1" ht="15.75" customHeight="1" x14ac:dyDescent="0.25">
      <c r="A604" s="35"/>
    </row>
    <row r="605" spans="1:1" ht="15.75" customHeight="1" x14ac:dyDescent="0.25">
      <c r="A605" s="35"/>
    </row>
    <row r="606" spans="1:1" ht="15.75" customHeight="1" x14ac:dyDescent="0.25">
      <c r="A606" s="35"/>
    </row>
    <row r="607" spans="1:1" ht="15.75" customHeight="1" x14ac:dyDescent="0.25">
      <c r="A607" s="35"/>
    </row>
    <row r="608" spans="1:1" ht="15.75" customHeight="1" x14ac:dyDescent="0.25">
      <c r="A608" s="35"/>
    </row>
    <row r="609" spans="1:1" ht="15.75" customHeight="1" x14ac:dyDescent="0.25">
      <c r="A609" s="35"/>
    </row>
    <row r="610" spans="1:1" ht="15.75" customHeight="1" x14ac:dyDescent="0.25">
      <c r="A610" s="35"/>
    </row>
    <row r="611" spans="1:1" ht="15.75" customHeight="1" x14ac:dyDescent="0.25">
      <c r="A611" s="35"/>
    </row>
    <row r="612" spans="1:1" ht="15.75" customHeight="1" x14ac:dyDescent="0.25">
      <c r="A612" s="35"/>
    </row>
    <row r="613" spans="1:1" ht="15.75" customHeight="1" x14ac:dyDescent="0.25">
      <c r="A613" s="35"/>
    </row>
    <row r="614" spans="1:1" ht="15.75" customHeight="1" x14ac:dyDescent="0.25">
      <c r="A614" s="35"/>
    </row>
    <row r="615" spans="1:1" ht="15.75" customHeight="1" x14ac:dyDescent="0.25">
      <c r="A615" s="35"/>
    </row>
    <row r="616" spans="1:1" ht="15.75" customHeight="1" x14ac:dyDescent="0.25">
      <c r="A616" s="35"/>
    </row>
    <row r="617" spans="1:1" ht="15.75" customHeight="1" x14ac:dyDescent="0.25">
      <c r="A617" s="35"/>
    </row>
    <row r="618" spans="1:1" ht="15.75" customHeight="1" x14ac:dyDescent="0.25">
      <c r="A618" s="35"/>
    </row>
    <row r="619" spans="1:1" ht="15.75" customHeight="1" x14ac:dyDescent="0.25">
      <c r="A619" s="35"/>
    </row>
    <row r="620" spans="1:1" ht="15.75" customHeight="1" x14ac:dyDescent="0.25">
      <c r="A620" s="35"/>
    </row>
    <row r="621" spans="1:1" ht="15.75" customHeight="1" x14ac:dyDescent="0.25">
      <c r="A621" s="35"/>
    </row>
    <row r="622" spans="1:1" ht="15.75" customHeight="1" x14ac:dyDescent="0.25">
      <c r="A622" s="35"/>
    </row>
    <row r="623" spans="1:1" ht="15.75" customHeight="1" x14ac:dyDescent="0.25">
      <c r="A623" s="35"/>
    </row>
    <row r="624" spans="1:1" ht="15.75" customHeight="1" x14ac:dyDescent="0.25">
      <c r="A624" s="35"/>
    </row>
    <row r="625" spans="1:1" ht="15.75" customHeight="1" x14ac:dyDescent="0.25">
      <c r="A625" s="35"/>
    </row>
    <row r="626" spans="1:1" ht="15.75" customHeight="1" x14ac:dyDescent="0.25">
      <c r="A626" s="35"/>
    </row>
    <row r="627" spans="1:1" ht="15.75" customHeight="1" x14ac:dyDescent="0.25">
      <c r="A627" s="35"/>
    </row>
    <row r="628" spans="1:1" ht="15.75" customHeight="1" x14ac:dyDescent="0.25">
      <c r="A628" s="35"/>
    </row>
    <row r="629" spans="1:1" ht="15.75" customHeight="1" x14ac:dyDescent="0.25">
      <c r="A629" s="35"/>
    </row>
    <row r="630" spans="1:1" ht="15.75" customHeight="1" x14ac:dyDescent="0.25">
      <c r="A630" s="35"/>
    </row>
    <row r="631" spans="1:1" ht="15.75" customHeight="1" x14ac:dyDescent="0.25">
      <c r="A631" s="35"/>
    </row>
    <row r="632" spans="1:1" ht="15.75" customHeight="1" x14ac:dyDescent="0.25">
      <c r="A632" s="35"/>
    </row>
    <row r="633" spans="1:1" ht="15.75" customHeight="1" x14ac:dyDescent="0.25">
      <c r="A633" s="35"/>
    </row>
    <row r="634" spans="1:1" ht="15.75" customHeight="1" x14ac:dyDescent="0.25">
      <c r="A634" s="35"/>
    </row>
    <row r="635" spans="1:1" ht="15.75" customHeight="1" x14ac:dyDescent="0.25">
      <c r="A635" s="35"/>
    </row>
    <row r="636" spans="1:1" ht="15.75" customHeight="1" x14ac:dyDescent="0.25">
      <c r="A636" s="35"/>
    </row>
    <row r="637" spans="1:1" ht="15.75" customHeight="1" x14ac:dyDescent="0.25">
      <c r="A637" s="35"/>
    </row>
    <row r="638" spans="1:1" ht="15.75" customHeight="1" x14ac:dyDescent="0.25">
      <c r="A638" s="35"/>
    </row>
    <row r="639" spans="1:1" ht="15.75" customHeight="1" x14ac:dyDescent="0.25">
      <c r="A639" s="35"/>
    </row>
    <row r="640" spans="1:1" ht="15.75" customHeight="1" x14ac:dyDescent="0.25">
      <c r="A640" s="35"/>
    </row>
    <row r="641" spans="1:1" ht="15.75" customHeight="1" x14ac:dyDescent="0.25">
      <c r="A641" s="35"/>
    </row>
    <row r="642" spans="1:1" ht="15.75" customHeight="1" x14ac:dyDescent="0.25">
      <c r="A642" s="35"/>
    </row>
    <row r="643" spans="1:1" ht="15.75" customHeight="1" x14ac:dyDescent="0.25">
      <c r="A643" s="35"/>
    </row>
    <row r="644" spans="1:1" ht="15.75" customHeight="1" x14ac:dyDescent="0.25">
      <c r="A644" s="35"/>
    </row>
    <row r="645" spans="1:1" ht="15.75" customHeight="1" x14ac:dyDescent="0.25">
      <c r="A645" s="35"/>
    </row>
    <row r="646" spans="1:1" ht="15.75" customHeight="1" x14ac:dyDescent="0.25">
      <c r="A646" s="35"/>
    </row>
    <row r="647" spans="1:1" ht="15.75" customHeight="1" x14ac:dyDescent="0.25">
      <c r="A647" s="35"/>
    </row>
    <row r="648" spans="1:1" ht="15.75" customHeight="1" x14ac:dyDescent="0.25">
      <c r="A648" s="35"/>
    </row>
    <row r="649" spans="1:1" ht="15.75" customHeight="1" x14ac:dyDescent="0.25">
      <c r="A649" s="35"/>
    </row>
    <row r="650" spans="1:1" ht="15.75" customHeight="1" x14ac:dyDescent="0.25">
      <c r="A650" s="35"/>
    </row>
    <row r="651" spans="1:1" ht="15.75" customHeight="1" x14ac:dyDescent="0.25">
      <c r="A651" s="35"/>
    </row>
    <row r="652" spans="1:1" ht="15.75" customHeight="1" x14ac:dyDescent="0.25">
      <c r="A652" s="35"/>
    </row>
    <row r="653" spans="1:1" ht="15.75" customHeight="1" x14ac:dyDescent="0.25">
      <c r="A653" s="35"/>
    </row>
    <row r="654" spans="1:1" ht="15.75" customHeight="1" x14ac:dyDescent="0.25">
      <c r="A654" s="35"/>
    </row>
    <row r="655" spans="1:1" ht="15.75" customHeight="1" x14ac:dyDescent="0.25">
      <c r="A655" s="35"/>
    </row>
    <row r="656" spans="1:1" ht="15.75" customHeight="1" x14ac:dyDescent="0.25">
      <c r="A656" s="35"/>
    </row>
    <row r="657" spans="1:1" ht="15.75" customHeight="1" x14ac:dyDescent="0.25">
      <c r="A657" s="35"/>
    </row>
    <row r="658" spans="1:1" ht="15.75" customHeight="1" x14ac:dyDescent="0.25">
      <c r="A658" s="35"/>
    </row>
    <row r="659" spans="1:1" ht="15.75" customHeight="1" x14ac:dyDescent="0.25">
      <c r="A659" s="35"/>
    </row>
    <row r="660" spans="1:1" ht="15.75" customHeight="1" x14ac:dyDescent="0.25">
      <c r="A660" s="35"/>
    </row>
    <row r="661" spans="1:1" ht="15.75" customHeight="1" x14ac:dyDescent="0.25">
      <c r="A661" s="35"/>
    </row>
    <row r="662" spans="1:1" ht="15.75" customHeight="1" x14ac:dyDescent="0.25">
      <c r="A662" s="35"/>
    </row>
    <row r="663" spans="1:1" ht="15.75" customHeight="1" x14ac:dyDescent="0.25">
      <c r="A663" s="35"/>
    </row>
    <row r="664" spans="1:1" ht="15.75" customHeight="1" x14ac:dyDescent="0.25">
      <c r="A664" s="35"/>
    </row>
    <row r="665" spans="1:1" ht="15.75" customHeight="1" x14ac:dyDescent="0.25">
      <c r="A665" s="35"/>
    </row>
    <row r="666" spans="1:1" ht="15.75" customHeight="1" x14ac:dyDescent="0.25">
      <c r="A666" s="35"/>
    </row>
    <row r="667" spans="1:1" ht="15.75" customHeight="1" x14ac:dyDescent="0.25">
      <c r="A667" s="35"/>
    </row>
    <row r="668" spans="1:1" ht="15.75" customHeight="1" x14ac:dyDescent="0.25">
      <c r="A668" s="35"/>
    </row>
    <row r="669" spans="1:1" ht="15.75" customHeight="1" x14ac:dyDescent="0.25">
      <c r="A669" s="35"/>
    </row>
    <row r="670" spans="1:1" ht="15.75" customHeight="1" x14ac:dyDescent="0.25">
      <c r="A670" s="35"/>
    </row>
    <row r="671" spans="1:1" ht="15.75" customHeight="1" x14ac:dyDescent="0.25">
      <c r="A671" s="35"/>
    </row>
    <row r="672" spans="1:1" ht="15.75" customHeight="1" x14ac:dyDescent="0.25">
      <c r="A672" s="35"/>
    </row>
    <row r="673" spans="1:1" ht="15.75" customHeight="1" x14ac:dyDescent="0.25">
      <c r="A673" s="35"/>
    </row>
    <row r="674" spans="1:1" ht="15.75" customHeight="1" x14ac:dyDescent="0.25">
      <c r="A674" s="35"/>
    </row>
    <row r="675" spans="1:1" ht="15.75" customHeight="1" x14ac:dyDescent="0.25">
      <c r="A675" s="35"/>
    </row>
    <row r="676" spans="1:1" ht="15.75" customHeight="1" x14ac:dyDescent="0.25">
      <c r="A676" s="35"/>
    </row>
    <row r="677" spans="1:1" ht="15.75" customHeight="1" x14ac:dyDescent="0.25">
      <c r="A677" s="35"/>
    </row>
    <row r="678" spans="1:1" ht="15.75" customHeight="1" x14ac:dyDescent="0.25">
      <c r="A678" s="35"/>
    </row>
    <row r="679" spans="1:1" ht="15.75" customHeight="1" x14ac:dyDescent="0.25">
      <c r="A679" s="35"/>
    </row>
    <row r="680" spans="1:1" ht="15.75" customHeight="1" x14ac:dyDescent="0.25">
      <c r="A680" s="35"/>
    </row>
    <row r="681" spans="1:1" ht="15.75" customHeight="1" x14ac:dyDescent="0.25">
      <c r="A681" s="35"/>
    </row>
    <row r="682" spans="1:1" ht="15.75" customHeight="1" x14ac:dyDescent="0.25">
      <c r="A682" s="35"/>
    </row>
    <row r="683" spans="1:1" ht="15.75" customHeight="1" x14ac:dyDescent="0.25">
      <c r="A683" s="35"/>
    </row>
    <row r="684" spans="1:1" ht="15.75" customHeight="1" x14ac:dyDescent="0.25">
      <c r="A684" s="35"/>
    </row>
    <row r="685" spans="1:1" ht="15.75" customHeight="1" x14ac:dyDescent="0.25">
      <c r="A685" s="35"/>
    </row>
    <row r="686" spans="1:1" ht="15.75" customHeight="1" x14ac:dyDescent="0.25">
      <c r="A686" s="35"/>
    </row>
    <row r="687" spans="1:1" ht="15.75" customHeight="1" x14ac:dyDescent="0.25">
      <c r="A687" s="35"/>
    </row>
    <row r="688" spans="1:1" ht="15.75" customHeight="1" x14ac:dyDescent="0.25">
      <c r="A688" s="35"/>
    </row>
    <row r="689" spans="1:1" ht="15.75" customHeight="1" x14ac:dyDescent="0.25">
      <c r="A689" s="35"/>
    </row>
    <row r="690" spans="1:1" ht="15.75" customHeight="1" x14ac:dyDescent="0.25">
      <c r="A690" s="35"/>
    </row>
    <row r="691" spans="1:1" ht="15.75" customHeight="1" x14ac:dyDescent="0.25">
      <c r="A691" s="35"/>
    </row>
    <row r="692" spans="1:1" ht="15.75" customHeight="1" x14ac:dyDescent="0.25">
      <c r="A692" s="35"/>
    </row>
    <row r="693" spans="1:1" ht="15.75" customHeight="1" x14ac:dyDescent="0.25">
      <c r="A693" s="35"/>
    </row>
    <row r="694" spans="1:1" ht="15.75" customHeight="1" x14ac:dyDescent="0.25">
      <c r="A694" s="35"/>
    </row>
    <row r="695" spans="1:1" ht="15.75" customHeight="1" x14ac:dyDescent="0.25">
      <c r="A695" s="35"/>
    </row>
    <row r="696" spans="1:1" ht="15.75" customHeight="1" x14ac:dyDescent="0.25">
      <c r="A696" s="35"/>
    </row>
    <row r="697" spans="1:1" ht="15.75" customHeight="1" x14ac:dyDescent="0.25">
      <c r="A697" s="35"/>
    </row>
    <row r="698" spans="1:1" ht="15.75" customHeight="1" x14ac:dyDescent="0.25">
      <c r="A698" s="35"/>
    </row>
    <row r="699" spans="1:1" ht="15.75" customHeight="1" x14ac:dyDescent="0.25">
      <c r="A699" s="35"/>
    </row>
    <row r="700" spans="1:1" ht="15.75" customHeight="1" x14ac:dyDescent="0.25">
      <c r="A700" s="35"/>
    </row>
    <row r="701" spans="1:1" ht="15.75" customHeight="1" x14ac:dyDescent="0.25">
      <c r="A701" s="35"/>
    </row>
    <row r="702" spans="1:1" ht="15.75" customHeight="1" x14ac:dyDescent="0.25">
      <c r="A702" s="35"/>
    </row>
    <row r="703" spans="1:1" ht="15.75" customHeight="1" x14ac:dyDescent="0.25">
      <c r="A703" s="35"/>
    </row>
    <row r="704" spans="1:1" ht="15.75" customHeight="1" x14ac:dyDescent="0.25">
      <c r="A704" s="35"/>
    </row>
    <row r="705" spans="1:1" ht="15.75" customHeight="1" x14ac:dyDescent="0.25">
      <c r="A705" s="35"/>
    </row>
    <row r="706" spans="1:1" ht="15.75" customHeight="1" x14ac:dyDescent="0.25">
      <c r="A706" s="35"/>
    </row>
    <row r="707" spans="1:1" ht="15.75" customHeight="1" x14ac:dyDescent="0.25">
      <c r="A707" s="35"/>
    </row>
    <row r="708" spans="1:1" ht="15.75" customHeight="1" x14ac:dyDescent="0.25">
      <c r="A708" s="35"/>
    </row>
    <row r="709" spans="1:1" ht="15.75" customHeight="1" x14ac:dyDescent="0.25">
      <c r="A709" s="35"/>
    </row>
    <row r="710" spans="1:1" ht="15.75" customHeight="1" x14ac:dyDescent="0.25">
      <c r="A710" s="35"/>
    </row>
    <row r="711" spans="1:1" ht="15.75" customHeight="1" x14ac:dyDescent="0.25">
      <c r="A711" s="35"/>
    </row>
    <row r="712" spans="1:1" ht="15.75" customHeight="1" x14ac:dyDescent="0.25">
      <c r="A712" s="35"/>
    </row>
    <row r="713" spans="1:1" ht="15.75" customHeight="1" x14ac:dyDescent="0.25">
      <c r="A713" s="35"/>
    </row>
    <row r="714" spans="1:1" ht="15.75" customHeight="1" x14ac:dyDescent="0.25">
      <c r="A714" s="35"/>
    </row>
    <row r="715" spans="1:1" ht="15.75" customHeight="1" x14ac:dyDescent="0.25">
      <c r="A715" s="35"/>
    </row>
    <row r="716" spans="1:1" ht="15.75" customHeight="1" x14ac:dyDescent="0.25">
      <c r="A716" s="35"/>
    </row>
    <row r="717" spans="1:1" ht="15.75" customHeight="1" x14ac:dyDescent="0.25">
      <c r="A717" s="35"/>
    </row>
    <row r="718" spans="1:1" ht="15.75" customHeight="1" x14ac:dyDescent="0.25">
      <c r="A718" s="35"/>
    </row>
    <row r="719" spans="1:1" ht="15.75" customHeight="1" x14ac:dyDescent="0.25">
      <c r="A719" s="35"/>
    </row>
    <row r="720" spans="1:1" ht="15.75" customHeight="1" x14ac:dyDescent="0.25">
      <c r="A720" s="35"/>
    </row>
    <row r="721" spans="1:1" ht="15.75" customHeight="1" x14ac:dyDescent="0.25">
      <c r="A721" s="35"/>
    </row>
    <row r="722" spans="1:1" ht="15.75" customHeight="1" x14ac:dyDescent="0.25">
      <c r="A722" s="35"/>
    </row>
    <row r="723" spans="1:1" ht="15.75" customHeight="1" x14ac:dyDescent="0.25">
      <c r="A723" s="35"/>
    </row>
    <row r="724" spans="1:1" ht="15.75" customHeight="1" x14ac:dyDescent="0.25">
      <c r="A724" s="35"/>
    </row>
    <row r="725" spans="1:1" ht="15.75" customHeight="1" x14ac:dyDescent="0.25">
      <c r="A725" s="35"/>
    </row>
    <row r="726" spans="1:1" ht="15.75" customHeight="1" x14ac:dyDescent="0.25">
      <c r="A726" s="35"/>
    </row>
    <row r="727" spans="1:1" ht="15.75" customHeight="1" x14ac:dyDescent="0.25">
      <c r="A727" s="35"/>
    </row>
    <row r="728" spans="1:1" ht="15.75" customHeight="1" x14ac:dyDescent="0.25">
      <c r="A728" s="35"/>
    </row>
    <row r="729" spans="1:1" ht="15.75" customHeight="1" x14ac:dyDescent="0.25">
      <c r="A729" s="35"/>
    </row>
    <row r="730" spans="1:1" ht="15.75" customHeight="1" x14ac:dyDescent="0.25">
      <c r="A730" s="35"/>
    </row>
    <row r="731" spans="1:1" ht="15.75" customHeight="1" x14ac:dyDescent="0.25">
      <c r="A731" s="35"/>
    </row>
    <row r="732" spans="1:1" ht="15.75" customHeight="1" x14ac:dyDescent="0.25">
      <c r="A732" s="35"/>
    </row>
    <row r="733" spans="1:1" ht="15.75" customHeight="1" x14ac:dyDescent="0.25">
      <c r="A733" s="35"/>
    </row>
    <row r="734" spans="1:1" ht="15.75" customHeight="1" x14ac:dyDescent="0.25">
      <c r="A734" s="35"/>
    </row>
    <row r="735" spans="1:1" ht="15.75" customHeight="1" x14ac:dyDescent="0.25">
      <c r="A735" s="35"/>
    </row>
    <row r="736" spans="1:1" ht="15.75" customHeight="1" x14ac:dyDescent="0.25">
      <c r="A736" s="35"/>
    </row>
    <row r="737" spans="1:1" ht="15.75" customHeight="1" x14ac:dyDescent="0.25">
      <c r="A737" s="35"/>
    </row>
    <row r="738" spans="1:1" ht="15.75" customHeight="1" x14ac:dyDescent="0.25">
      <c r="A738" s="35"/>
    </row>
    <row r="739" spans="1:1" ht="15.75" customHeight="1" x14ac:dyDescent="0.25">
      <c r="A739" s="35"/>
    </row>
    <row r="740" spans="1:1" ht="15.75" customHeight="1" x14ac:dyDescent="0.25">
      <c r="A740" s="35"/>
    </row>
    <row r="741" spans="1:1" ht="15.75" customHeight="1" x14ac:dyDescent="0.25">
      <c r="A741" s="35"/>
    </row>
    <row r="742" spans="1:1" ht="15.75" customHeight="1" x14ac:dyDescent="0.25">
      <c r="A742" s="35"/>
    </row>
    <row r="743" spans="1:1" ht="15.75" customHeight="1" x14ac:dyDescent="0.25">
      <c r="A743" s="35"/>
    </row>
    <row r="744" spans="1:1" ht="15.75" customHeight="1" x14ac:dyDescent="0.25">
      <c r="A744" s="35"/>
    </row>
    <row r="745" spans="1:1" ht="15.75" customHeight="1" x14ac:dyDescent="0.25">
      <c r="A745" s="35"/>
    </row>
    <row r="746" spans="1:1" ht="15.75" customHeight="1" x14ac:dyDescent="0.25">
      <c r="A746" s="35"/>
    </row>
    <row r="747" spans="1:1" ht="15.75" customHeight="1" x14ac:dyDescent="0.25">
      <c r="A747" s="35"/>
    </row>
    <row r="748" spans="1:1" ht="15.75" customHeight="1" x14ac:dyDescent="0.25">
      <c r="A748" s="35"/>
    </row>
    <row r="749" spans="1:1" ht="15.75" customHeight="1" x14ac:dyDescent="0.25">
      <c r="A749" s="35"/>
    </row>
    <row r="750" spans="1:1" ht="15.75" customHeight="1" x14ac:dyDescent="0.25">
      <c r="A750" s="35"/>
    </row>
    <row r="751" spans="1:1" ht="15.75" customHeight="1" x14ac:dyDescent="0.25">
      <c r="A751" s="35"/>
    </row>
    <row r="752" spans="1:1" ht="15.75" customHeight="1" x14ac:dyDescent="0.25">
      <c r="A752" s="35"/>
    </row>
    <row r="753" spans="1:1" ht="15.75" customHeight="1" x14ac:dyDescent="0.25">
      <c r="A753" s="35"/>
    </row>
    <row r="754" spans="1:1" ht="15.75" customHeight="1" x14ac:dyDescent="0.25">
      <c r="A754" s="35"/>
    </row>
    <row r="755" spans="1:1" ht="15.75" customHeight="1" x14ac:dyDescent="0.25">
      <c r="A755" s="35"/>
    </row>
    <row r="756" spans="1:1" ht="15.75" customHeight="1" x14ac:dyDescent="0.25">
      <c r="A756" s="35"/>
    </row>
    <row r="757" spans="1:1" ht="15.75" customHeight="1" x14ac:dyDescent="0.25">
      <c r="A757" s="35"/>
    </row>
    <row r="758" spans="1:1" ht="15.75" customHeight="1" x14ac:dyDescent="0.25">
      <c r="A758" s="35"/>
    </row>
    <row r="759" spans="1:1" ht="15.75" customHeight="1" x14ac:dyDescent="0.25">
      <c r="A759" s="35"/>
    </row>
    <row r="760" spans="1:1" ht="15.75" customHeight="1" x14ac:dyDescent="0.25">
      <c r="A760" s="35"/>
    </row>
    <row r="761" spans="1:1" ht="15.75" customHeight="1" x14ac:dyDescent="0.25">
      <c r="A761" s="35"/>
    </row>
    <row r="762" spans="1:1" ht="15.75" customHeight="1" x14ac:dyDescent="0.25">
      <c r="A762" s="35"/>
    </row>
    <row r="763" spans="1:1" ht="15.75" customHeight="1" x14ac:dyDescent="0.25">
      <c r="A763" s="35"/>
    </row>
    <row r="764" spans="1:1" ht="15.75" customHeight="1" x14ac:dyDescent="0.25">
      <c r="A764" s="35"/>
    </row>
    <row r="765" spans="1:1" ht="15.75" customHeight="1" x14ac:dyDescent="0.25">
      <c r="A765" s="35"/>
    </row>
    <row r="766" spans="1:1" ht="15.75" customHeight="1" x14ac:dyDescent="0.25">
      <c r="A766" s="35"/>
    </row>
    <row r="767" spans="1:1" ht="15.75" customHeight="1" x14ac:dyDescent="0.25">
      <c r="A767" s="35"/>
    </row>
    <row r="768" spans="1:1" ht="15.75" customHeight="1" x14ac:dyDescent="0.25">
      <c r="A768" s="35"/>
    </row>
    <row r="769" spans="1:1" ht="15.75" customHeight="1" x14ac:dyDescent="0.25">
      <c r="A769" s="35"/>
    </row>
    <row r="770" spans="1:1" ht="15.75" customHeight="1" x14ac:dyDescent="0.25">
      <c r="A770" s="35"/>
    </row>
    <row r="771" spans="1:1" ht="15.75" customHeight="1" x14ac:dyDescent="0.25">
      <c r="A771" s="35"/>
    </row>
    <row r="772" spans="1:1" ht="15.75" customHeight="1" x14ac:dyDescent="0.25">
      <c r="A772" s="35"/>
    </row>
    <row r="773" spans="1:1" ht="15.75" customHeight="1" x14ac:dyDescent="0.25">
      <c r="A773" s="35"/>
    </row>
    <row r="774" spans="1:1" ht="15.75" customHeight="1" x14ac:dyDescent="0.25">
      <c r="A774" s="35"/>
    </row>
    <row r="775" spans="1:1" ht="15.75" customHeight="1" x14ac:dyDescent="0.25">
      <c r="A775" s="35"/>
    </row>
    <row r="776" spans="1:1" ht="15.75" customHeight="1" x14ac:dyDescent="0.25">
      <c r="A776" s="35"/>
    </row>
    <row r="777" spans="1:1" ht="15.75" customHeight="1" x14ac:dyDescent="0.25">
      <c r="A777" s="35"/>
    </row>
    <row r="778" spans="1:1" ht="15.75" customHeight="1" x14ac:dyDescent="0.25">
      <c r="A778" s="35"/>
    </row>
    <row r="779" spans="1:1" ht="15.75" customHeight="1" x14ac:dyDescent="0.25">
      <c r="A779" s="35"/>
    </row>
    <row r="780" spans="1:1" ht="15.75" customHeight="1" x14ac:dyDescent="0.25">
      <c r="A780" s="35"/>
    </row>
    <row r="781" spans="1:1" ht="15.75" customHeight="1" x14ac:dyDescent="0.25">
      <c r="A781" s="35"/>
    </row>
    <row r="782" spans="1:1" ht="15.75" customHeight="1" x14ac:dyDescent="0.25">
      <c r="A782" s="35"/>
    </row>
    <row r="783" spans="1:1" ht="15.75" customHeight="1" x14ac:dyDescent="0.25">
      <c r="A783" s="35"/>
    </row>
    <row r="784" spans="1:1" ht="15.75" customHeight="1" x14ac:dyDescent="0.25">
      <c r="A784" s="35"/>
    </row>
    <row r="785" spans="1:1" ht="15.75" customHeight="1" x14ac:dyDescent="0.25">
      <c r="A785" s="35"/>
    </row>
    <row r="786" spans="1:1" ht="15.75" customHeight="1" x14ac:dyDescent="0.25">
      <c r="A786" s="35"/>
    </row>
    <row r="787" spans="1:1" ht="15.75" customHeight="1" x14ac:dyDescent="0.25">
      <c r="A787" s="35"/>
    </row>
    <row r="788" spans="1:1" ht="15.75" customHeight="1" x14ac:dyDescent="0.25">
      <c r="A788" s="35"/>
    </row>
    <row r="789" spans="1:1" ht="15.75" customHeight="1" x14ac:dyDescent="0.25">
      <c r="A789" s="35"/>
    </row>
    <row r="790" spans="1:1" ht="15.75" customHeight="1" x14ac:dyDescent="0.25">
      <c r="A790" s="35"/>
    </row>
    <row r="791" spans="1:1" ht="15.75" customHeight="1" x14ac:dyDescent="0.25">
      <c r="A791" s="35"/>
    </row>
    <row r="792" spans="1:1" ht="15.75" customHeight="1" x14ac:dyDescent="0.25">
      <c r="A792" s="35"/>
    </row>
    <row r="793" spans="1:1" ht="15.75" customHeight="1" x14ac:dyDescent="0.25">
      <c r="A793" s="35"/>
    </row>
    <row r="794" spans="1:1" ht="15.75" customHeight="1" x14ac:dyDescent="0.25">
      <c r="A794" s="35"/>
    </row>
    <row r="795" spans="1:1" ht="15.75" customHeight="1" x14ac:dyDescent="0.25">
      <c r="A795" s="35"/>
    </row>
    <row r="796" spans="1:1" ht="15.75" customHeight="1" x14ac:dyDescent="0.25">
      <c r="A796" s="35"/>
    </row>
    <row r="797" spans="1:1" ht="15.75" customHeight="1" x14ac:dyDescent="0.25">
      <c r="A797" s="35"/>
    </row>
    <row r="798" spans="1:1" ht="15.75" customHeight="1" x14ac:dyDescent="0.25">
      <c r="A798" s="35"/>
    </row>
    <row r="799" spans="1:1" ht="15.75" customHeight="1" x14ac:dyDescent="0.25">
      <c r="A799" s="35"/>
    </row>
    <row r="800" spans="1:1" ht="15.75" customHeight="1" x14ac:dyDescent="0.25">
      <c r="A800" s="35"/>
    </row>
    <row r="801" spans="1:1" ht="15.75" customHeight="1" x14ac:dyDescent="0.25">
      <c r="A801" s="35"/>
    </row>
    <row r="802" spans="1:1" ht="15.75" customHeight="1" x14ac:dyDescent="0.25">
      <c r="A802" s="35"/>
    </row>
    <row r="803" spans="1:1" ht="15.75" customHeight="1" x14ac:dyDescent="0.25">
      <c r="A803" s="35"/>
    </row>
    <row r="804" spans="1:1" ht="15.75" customHeight="1" x14ac:dyDescent="0.25">
      <c r="A804" s="35"/>
    </row>
    <row r="805" spans="1:1" ht="15.75" customHeight="1" x14ac:dyDescent="0.25">
      <c r="A805" s="35"/>
    </row>
    <row r="806" spans="1:1" ht="15.75" customHeight="1" x14ac:dyDescent="0.25">
      <c r="A806" s="35"/>
    </row>
    <row r="807" spans="1:1" ht="15.75" customHeight="1" x14ac:dyDescent="0.25">
      <c r="A807" s="35"/>
    </row>
    <row r="808" spans="1:1" ht="15.75" customHeight="1" x14ac:dyDescent="0.25">
      <c r="A808" s="35"/>
    </row>
    <row r="809" spans="1:1" ht="15.75" customHeight="1" x14ac:dyDescent="0.25">
      <c r="A809" s="35"/>
    </row>
    <row r="810" spans="1:1" ht="15.75" customHeight="1" x14ac:dyDescent="0.25">
      <c r="A810" s="35"/>
    </row>
    <row r="811" spans="1:1" ht="15.75" customHeight="1" x14ac:dyDescent="0.25">
      <c r="A811" s="35"/>
    </row>
    <row r="812" spans="1:1" ht="15.75" customHeight="1" x14ac:dyDescent="0.25">
      <c r="A812" s="35"/>
    </row>
    <row r="813" spans="1:1" ht="15.75" customHeight="1" x14ac:dyDescent="0.25">
      <c r="A813" s="35"/>
    </row>
    <row r="814" spans="1:1" ht="15.75" customHeight="1" x14ac:dyDescent="0.25">
      <c r="A814" s="35"/>
    </row>
    <row r="815" spans="1:1" ht="15.75" customHeight="1" x14ac:dyDescent="0.25">
      <c r="A815" s="35"/>
    </row>
    <row r="816" spans="1:1" ht="15.75" customHeight="1" x14ac:dyDescent="0.25">
      <c r="A816" s="35"/>
    </row>
    <row r="817" spans="1:1" ht="15.75" customHeight="1" x14ac:dyDescent="0.25">
      <c r="A817" s="35"/>
    </row>
    <row r="818" spans="1:1" ht="15.75" customHeight="1" x14ac:dyDescent="0.25">
      <c r="A818" s="35"/>
    </row>
    <row r="819" spans="1:1" ht="15.75" customHeight="1" x14ac:dyDescent="0.25">
      <c r="A819" s="35"/>
    </row>
    <row r="820" spans="1:1" ht="15.75" customHeight="1" x14ac:dyDescent="0.25">
      <c r="A820" s="35"/>
    </row>
    <row r="821" spans="1:1" ht="15.75" customHeight="1" x14ac:dyDescent="0.25">
      <c r="A821" s="35"/>
    </row>
    <row r="822" spans="1:1" ht="15.75" customHeight="1" x14ac:dyDescent="0.25">
      <c r="A822" s="35"/>
    </row>
    <row r="823" spans="1:1" ht="15.75" customHeight="1" x14ac:dyDescent="0.25">
      <c r="A823" s="35"/>
    </row>
    <row r="824" spans="1:1" ht="15.75" customHeight="1" x14ac:dyDescent="0.25">
      <c r="A824" s="35"/>
    </row>
    <row r="825" spans="1:1" ht="15.75" customHeight="1" x14ac:dyDescent="0.25">
      <c r="A825" s="35"/>
    </row>
    <row r="826" spans="1:1" ht="15.75" customHeight="1" x14ac:dyDescent="0.25">
      <c r="A826" s="35"/>
    </row>
    <row r="827" spans="1:1" ht="15.75" customHeight="1" x14ac:dyDescent="0.25">
      <c r="A827" s="35"/>
    </row>
    <row r="828" spans="1:1" ht="15.75" customHeight="1" x14ac:dyDescent="0.25">
      <c r="A828" s="35"/>
    </row>
    <row r="829" spans="1:1" ht="15.75" customHeight="1" x14ac:dyDescent="0.25">
      <c r="A829" s="35"/>
    </row>
    <row r="830" spans="1:1" ht="15.75" customHeight="1" x14ac:dyDescent="0.25">
      <c r="A830" s="35"/>
    </row>
    <row r="831" spans="1:1" ht="15.75" customHeight="1" x14ac:dyDescent="0.25">
      <c r="A831" s="35"/>
    </row>
    <row r="832" spans="1:1" ht="15.75" customHeight="1" x14ac:dyDescent="0.25">
      <c r="A832" s="35"/>
    </row>
    <row r="833" spans="1:1" ht="15.75" customHeight="1" x14ac:dyDescent="0.25">
      <c r="A833" s="35"/>
    </row>
    <row r="834" spans="1:1" ht="15.75" customHeight="1" x14ac:dyDescent="0.25">
      <c r="A834" s="35"/>
    </row>
    <row r="835" spans="1:1" ht="15.75" customHeight="1" x14ac:dyDescent="0.25">
      <c r="A835" s="35"/>
    </row>
    <row r="836" spans="1:1" ht="15.75" customHeight="1" x14ac:dyDescent="0.25">
      <c r="A836" s="35"/>
    </row>
    <row r="837" spans="1:1" ht="15.75" customHeight="1" x14ac:dyDescent="0.25">
      <c r="A837" s="35"/>
    </row>
    <row r="838" spans="1:1" ht="15.75" customHeight="1" x14ac:dyDescent="0.25">
      <c r="A838" s="35"/>
    </row>
    <row r="839" spans="1:1" ht="15.75" customHeight="1" x14ac:dyDescent="0.25">
      <c r="A839" s="35"/>
    </row>
    <row r="840" spans="1:1" ht="15.75" customHeight="1" x14ac:dyDescent="0.25">
      <c r="A840" s="35"/>
    </row>
    <row r="841" spans="1:1" ht="15.75" customHeight="1" x14ac:dyDescent="0.25">
      <c r="A841" s="35"/>
    </row>
    <row r="842" spans="1:1" ht="15.75" customHeight="1" x14ac:dyDescent="0.25">
      <c r="A842" s="35"/>
    </row>
    <row r="843" spans="1:1" ht="15.75" customHeight="1" x14ac:dyDescent="0.25">
      <c r="A843" s="35"/>
    </row>
    <row r="844" spans="1:1" ht="15.75" customHeight="1" x14ac:dyDescent="0.25">
      <c r="A844" s="35"/>
    </row>
    <row r="845" spans="1:1" ht="15.75" customHeight="1" x14ac:dyDescent="0.25">
      <c r="A845" s="35"/>
    </row>
    <row r="846" spans="1:1" ht="15.75" customHeight="1" x14ac:dyDescent="0.25">
      <c r="A846" s="35"/>
    </row>
    <row r="847" spans="1:1" ht="15.75" customHeight="1" x14ac:dyDescent="0.25">
      <c r="A847" s="35"/>
    </row>
    <row r="848" spans="1:1" ht="15.75" customHeight="1" x14ac:dyDescent="0.25">
      <c r="A848" s="35"/>
    </row>
    <row r="849" spans="1:1" ht="15.75" customHeight="1" x14ac:dyDescent="0.25">
      <c r="A849" s="35"/>
    </row>
    <row r="850" spans="1:1" ht="15.75" customHeight="1" x14ac:dyDescent="0.25">
      <c r="A850" s="35"/>
    </row>
    <row r="851" spans="1:1" ht="15.75" customHeight="1" x14ac:dyDescent="0.25">
      <c r="A851" s="35"/>
    </row>
    <row r="852" spans="1:1" ht="15.75" customHeight="1" x14ac:dyDescent="0.25">
      <c r="A852" s="35"/>
    </row>
    <row r="853" spans="1:1" ht="15.75" customHeight="1" x14ac:dyDescent="0.25">
      <c r="A853" s="35"/>
    </row>
    <row r="854" spans="1:1" ht="15.75" customHeight="1" x14ac:dyDescent="0.25">
      <c r="A854" s="35"/>
    </row>
    <row r="855" spans="1:1" ht="15.75" customHeight="1" x14ac:dyDescent="0.25">
      <c r="A855" s="35"/>
    </row>
    <row r="856" spans="1:1" ht="15.75" customHeight="1" x14ac:dyDescent="0.25">
      <c r="A856" s="35"/>
    </row>
    <row r="857" spans="1:1" ht="15.75" customHeight="1" x14ac:dyDescent="0.25">
      <c r="A857" s="35"/>
    </row>
    <row r="858" spans="1:1" ht="15.75" customHeight="1" x14ac:dyDescent="0.25">
      <c r="A858" s="35"/>
    </row>
    <row r="859" spans="1:1" ht="15.75" customHeight="1" x14ac:dyDescent="0.25">
      <c r="A859" s="35"/>
    </row>
    <row r="860" spans="1:1" ht="15.75" customHeight="1" x14ac:dyDescent="0.25">
      <c r="A860" s="35"/>
    </row>
    <row r="861" spans="1:1" ht="15.75" customHeight="1" x14ac:dyDescent="0.25">
      <c r="A861" s="35"/>
    </row>
    <row r="862" spans="1:1" ht="15.75" customHeight="1" x14ac:dyDescent="0.25">
      <c r="A862" s="35"/>
    </row>
    <row r="863" spans="1:1" ht="15.75" customHeight="1" x14ac:dyDescent="0.25">
      <c r="A863" s="35"/>
    </row>
    <row r="864" spans="1:1" ht="15.75" customHeight="1" x14ac:dyDescent="0.25">
      <c r="A864" s="35"/>
    </row>
    <row r="865" spans="1:1" ht="15.75" customHeight="1" x14ac:dyDescent="0.25">
      <c r="A865" s="35"/>
    </row>
    <row r="866" spans="1:1" ht="15.75" customHeight="1" x14ac:dyDescent="0.25">
      <c r="A866" s="35"/>
    </row>
    <row r="867" spans="1:1" ht="15.75" customHeight="1" x14ac:dyDescent="0.25">
      <c r="A867" s="35"/>
    </row>
    <row r="868" spans="1:1" ht="15.75" customHeight="1" x14ac:dyDescent="0.25">
      <c r="A868" s="35"/>
    </row>
    <row r="869" spans="1:1" ht="15.75" customHeight="1" x14ac:dyDescent="0.25">
      <c r="A869" s="35"/>
    </row>
    <row r="870" spans="1:1" ht="15.75" customHeight="1" x14ac:dyDescent="0.25">
      <c r="A870" s="35"/>
    </row>
    <row r="871" spans="1:1" ht="15.75" customHeight="1" x14ac:dyDescent="0.25">
      <c r="A871" s="35"/>
    </row>
    <row r="872" spans="1:1" ht="15.75" customHeight="1" x14ac:dyDescent="0.25">
      <c r="A872" s="35"/>
    </row>
    <row r="873" spans="1:1" ht="15.75" customHeight="1" x14ac:dyDescent="0.25">
      <c r="A873" s="35"/>
    </row>
    <row r="874" spans="1:1" ht="15.75" customHeight="1" x14ac:dyDescent="0.25">
      <c r="A874" s="35"/>
    </row>
    <row r="875" spans="1:1" ht="15.75" customHeight="1" x14ac:dyDescent="0.25">
      <c r="A875" s="35"/>
    </row>
    <row r="876" spans="1:1" ht="15.75" customHeight="1" x14ac:dyDescent="0.25">
      <c r="A876" s="35"/>
    </row>
    <row r="877" spans="1:1" ht="15.75" customHeight="1" x14ac:dyDescent="0.25">
      <c r="A877" s="35"/>
    </row>
    <row r="878" spans="1:1" ht="15.75" customHeight="1" x14ac:dyDescent="0.25">
      <c r="A878" s="35"/>
    </row>
    <row r="879" spans="1:1" ht="15.75" customHeight="1" x14ac:dyDescent="0.25">
      <c r="A879" s="35"/>
    </row>
    <row r="880" spans="1:1" ht="15.75" customHeight="1" x14ac:dyDescent="0.25">
      <c r="A880" s="35"/>
    </row>
    <row r="881" spans="1:1" ht="15.75" customHeight="1" x14ac:dyDescent="0.25">
      <c r="A881" s="35"/>
    </row>
    <row r="882" spans="1:1" ht="15.75" customHeight="1" x14ac:dyDescent="0.25">
      <c r="A882" s="35"/>
    </row>
    <row r="883" spans="1:1" ht="15.75" customHeight="1" x14ac:dyDescent="0.25">
      <c r="A883" s="35"/>
    </row>
    <row r="884" spans="1:1" ht="15.75" customHeight="1" x14ac:dyDescent="0.25">
      <c r="A884" s="35"/>
    </row>
    <row r="885" spans="1:1" ht="15.75" customHeight="1" x14ac:dyDescent="0.25">
      <c r="A885" s="35"/>
    </row>
    <row r="886" spans="1:1" ht="15.75" customHeight="1" x14ac:dyDescent="0.25">
      <c r="A886" s="35"/>
    </row>
    <row r="887" spans="1:1" ht="15.75" customHeight="1" x14ac:dyDescent="0.25">
      <c r="A887" s="35"/>
    </row>
    <row r="888" spans="1:1" ht="15.75" customHeight="1" x14ac:dyDescent="0.25">
      <c r="A888" s="35"/>
    </row>
    <row r="889" spans="1:1" ht="15.75" customHeight="1" x14ac:dyDescent="0.25">
      <c r="A889" s="35"/>
    </row>
    <row r="890" spans="1:1" ht="15.75" customHeight="1" x14ac:dyDescent="0.25">
      <c r="A890" s="35"/>
    </row>
    <row r="891" spans="1:1" ht="15.75" customHeight="1" x14ac:dyDescent="0.25">
      <c r="A891" s="35"/>
    </row>
    <row r="892" spans="1:1" ht="15.75" customHeight="1" x14ac:dyDescent="0.25">
      <c r="A892" s="35"/>
    </row>
    <row r="893" spans="1:1" ht="15.75" customHeight="1" x14ac:dyDescent="0.25">
      <c r="A893" s="35"/>
    </row>
    <row r="894" spans="1:1" ht="15.75" customHeight="1" x14ac:dyDescent="0.25">
      <c r="A894" s="35"/>
    </row>
    <row r="895" spans="1:1" ht="15.75" customHeight="1" x14ac:dyDescent="0.25">
      <c r="A895" s="35"/>
    </row>
    <row r="896" spans="1:1" ht="15.75" customHeight="1" x14ac:dyDescent="0.25">
      <c r="A896" s="35"/>
    </row>
    <row r="897" spans="1:1" ht="15.75" customHeight="1" x14ac:dyDescent="0.25">
      <c r="A897" s="35"/>
    </row>
    <row r="898" spans="1:1" ht="15.75" customHeight="1" x14ac:dyDescent="0.25">
      <c r="A898" s="35"/>
    </row>
    <row r="899" spans="1:1" ht="15.75" customHeight="1" x14ac:dyDescent="0.25">
      <c r="A899" s="35"/>
    </row>
    <row r="900" spans="1:1" ht="15.75" customHeight="1" x14ac:dyDescent="0.25">
      <c r="A900" s="35"/>
    </row>
    <row r="901" spans="1:1" ht="15.75" customHeight="1" x14ac:dyDescent="0.25">
      <c r="A901" s="35"/>
    </row>
    <row r="902" spans="1:1" ht="15.75" customHeight="1" x14ac:dyDescent="0.25">
      <c r="A902" s="35"/>
    </row>
    <row r="903" spans="1:1" ht="15.75" customHeight="1" x14ac:dyDescent="0.25">
      <c r="A903" s="35"/>
    </row>
    <row r="904" spans="1:1" ht="15.75" customHeight="1" x14ac:dyDescent="0.25">
      <c r="A904" s="35"/>
    </row>
    <row r="905" spans="1:1" ht="15.75" customHeight="1" x14ac:dyDescent="0.25">
      <c r="A905" s="35"/>
    </row>
    <row r="906" spans="1:1" ht="15.75" customHeight="1" x14ac:dyDescent="0.25">
      <c r="A906" s="35"/>
    </row>
    <row r="907" spans="1:1" ht="15.75" customHeight="1" x14ac:dyDescent="0.25">
      <c r="A907" s="35"/>
    </row>
    <row r="908" spans="1:1" ht="15.75" customHeight="1" x14ac:dyDescent="0.25">
      <c r="A908" s="35"/>
    </row>
    <row r="909" spans="1:1" ht="15.75" customHeight="1" x14ac:dyDescent="0.25">
      <c r="A909" s="35"/>
    </row>
    <row r="910" spans="1:1" ht="15.75" customHeight="1" x14ac:dyDescent="0.25">
      <c r="A910" s="35"/>
    </row>
    <row r="911" spans="1:1" ht="15.75" customHeight="1" x14ac:dyDescent="0.25">
      <c r="A911" s="35"/>
    </row>
    <row r="912" spans="1:1" ht="15.75" customHeight="1" x14ac:dyDescent="0.25">
      <c r="A912" s="35"/>
    </row>
    <row r="913" spans="1:1" ht="15.75" customHeight="1" x14ac:dyDescent="0.25">
      <c r="A913" s="35"/>
    </row>
    <row r="914" spans="1:1" ht="15.75" customHeight="1" x14ac:dyDescent="0.25">
      <c r="A914" s="35"/>
    </row>
    <row r="915" spans="1:1" ht="15.75" customHeight="1" x14ac:dyDescent="0.25">
      <c r="A915" s="35"/>
    </row>
    <row r="916" spans="1:1" ht="15.75" customHeight="1" x14ac:dyDescent="0.25">
      <c r="A916" s="35"/>
    </row>
    <row r="917" spans="1:1" ht="15.75" customHeight="1" x14ac:dyDescent="0.25">
      <c r="A917" s="35"/>
    </row>
    <row r="918" spans="1:1" ht="15.75" customHeight="1" x14ac:dyDescent="0.25">
      <c r="A918" s="35"/>
    </row>
    <row r="919" spans="1:1" ht="15.75" customHeight="1" x14ac:dyDescent="0.25">
      <c r="A919" s="35"/>
    </row>
    <row r="920" spans="1:1" ht="15.75" customHeight="1" x14ac:dyDescent="0.25">
      <c r="A920" s="35"/>
    </row>
    <row r="921" spans="1:1" ht="15.75" customHeight="1" x14ac:dyDescent="0.25">
      <c r="A921" s="35"/>
    </row>
    <row r="922" spans="1:1" ht="15.75" customHeight="1" x14ac:dyDescent="0.25">
      <c r="A922" s="35"/>
    </row>
    <row r="923" spans="1:1" ht="15.75" customHeight="1" x14ac:dyDescent="0.25">
      <c r="A923" s="35"/>
    </row>
    <row r="924" spans="1:1" ht="15.75" customHeight="1" x14ac:dyDescent="0.25">
      <c r="A924" s="35"/>
    </row>
    <row r="925" spans="1:1" ht="15.75" customHeight="1" x14ac:dyDescent="0.25">
      <c r="A925" s="35"/>
    </row>
    <row r="926" spans="1:1" ht="15.75" customHeight="1" x14ac:dyDescent="0.25">
      <c r="A926" s="35"/>
    </row>
    <row r="927" spans="1:1" ht="15.75" customHeight="1" x14ac:dyDescent="0.25">
      <c r="A927" s="35"/>
    </row>
    <row r="928" spans="1:1" ht="15.75" customHeight="1" x14ac:dyDescent="0.25">
      <c r="A928" s="35"/>
    </row>
    <row r="929" spans="1:1" ht="15.75" customHeight="1" x14ac:dyDescent="0.25">
      <c r="A929" s="35"/>
    </row>
    <row r="930" spans="1:1" ht="15.75" customHeight="1" x14ac:dyDescent="0.25">
      <c r="A930" s="35"/>
    </row>
    <row r="931" spans="1:1" ht="15.75" customHeight="1" x14ac:dyDescent="0.25">
      <c r="A931" s="35"/>
    </row>
    <row r="932" spans="1:1" ht="15.75" customHeight="1" x14ac:dyDescent="0.25">
      <c r="A932" s="35"/>
    </row>
    <row r="933" spans="1:1" ht="15.75" customHeight="1" x14ac:dyDescent="0.25">
      <c r="A933" s="35"/>
    </row>
    <row r="934" spans="1:1" ht="15.75" customHeight="1" x14ac:dyDescent="0.25">
      <c r="A934" s="35"/>
    </row>
    <row r="935" spans="1:1" ht="15.75" customHeight="1" x14ac:dyDescent="0.25">
      <c r="A935" s="35"/>
    </row>
    <row r="936" spans="1:1" ht="15.75" customHeight="1" x14ac:dyDescent="0.25">
      <c r="A936" s="35"/>
    </row>
    <row r="937" spans="1:1" ht="15.75" customHeight="1" x14ac:dyDescent="0.25">
      <c r="A937" s="35"/>
    </row>
    <row r="938" spans="1:1" ht="15.75" customHeight="1" x14ac:dyDescent="0.25">
      <c r="A938" s="35"/>
    </row>
    <row r="939" spans="1:1" ht="15.75" customHeight="1" x14ac:dyDescent="0.25">
      <c r="A939" s="35"/>
    </row>
    <row r="940" spans="1:1" ht="15.75" customHeight="1" x14ac:dyDescent="0.25">
      <c r="A940" s="35"/>
    </row>
    <row r="941" spans="1:1" ht="15.75" customHeight="1" x14ac:dyDescent="0.25">
      <c r="A941" s="35"/>
    </row>
    <row r="942" spans="1:1" ht="15.75" customHeight="1" x14ac:dyDescent="0.25">
      <c r="A942" s="35"/>
    </row>
    <row r="943" spans="1:1" ht="15.75" customHeight="1" x14ac:dyDescent="0.25">
      <c r="A943" s="35"/>
    </row>
    <row r="944" spans="1:1" ht="15.75" customHeight="1" x14ac:dyDescent="0.25">
      <c r="A944" s="35"/>
    </row>
    <row r="945" spans="1:1" ht="15.75" customHeight="1" x14ac:dyDescent="0.25">
      <c r="A945" s="35"/>
    </row>
    <row r="946" spans="1:1" ht="15.75" customHeight="1" x14ac:dyDescent="0.25">
      <c r="A946" s="35"/>
    </row>
    <row r="947" spans="1:1" ht="15.75" customHeight="1" x14ac:dyDescent="0.25">
      <c r="A947" s="35"/>
    </row>
    <row r="948" spans="1:1" ht="15.75" customHeight="1" x14ac:dyDescent="0.25">
      <c r="A948" s="35"/>
    </row>
    <row r="949" spans="1:1" ht="15.75" customHeight="1" x14ac:dyDescent="0.25">
      <c r="A949" s="35"/>
    </row>
    <row r="950" spans="1:1" ht="15.75" customHeight="1" x14ac:dyDescent="0.25">
      <c r="A950" s="35"/>
    </row>
    <row r="951" spans="1:1" ht="15.75" customHeight="1" x14ac:dyDescent="0.25">
      <c r="A951" s="35"/>
    </row>
    <row r="952" spans="1:1" ht="15.75" customHeight="1" x14ac:dyDescent="0.25">
      <c r="A952" s="35"/>
    </row>
    <row r="953" spans="1:1" ht="15.75" customHeight="1" x14ac:dyDescent="0.25">
      <c r="A953" s="35"/>
    </row>
    <row r="954" spans="1:1" ht="15.75" customHeight="1" x14ac:dyDescent="0.25">
      <c r="A954" s="35"/>
    </row>
    <row r="955" spans="1:1" ht="15.75" customHeight="1" x14ac:dyDescent="0.25">
      <c r="A955" s="35"/>
    </row>
    <row r="956" spans="1:1" ht="15.75" customHeight="1" x14ac:dyDescent="0.25">
      <c r="A956" s="35"/>
    </row>
    <row r="957" spans="1:1" ht="15.75" customHeight="1" x14ac:dyDescent="0.25">
      <c r="A957" s="35"/>
    </row>
    <row r="958" spans="1:1" ht="15.75" customHeight="1" x14ac:dyDescent="0.25">
      <c r="A958" s="35"/>
    </row>
    <row r="959" spans="1:1" ht="15.75" customHeight="1" x14ac:dyDescent="0.25">
      <c r="A959" s="35"/>
    </row>
    <row r="960" spans="1:1" ht="15.75" customHeight="1" x14ac:dyDescent="0.25">
      <c r="A960" s="35"/>
    </row>
    <row r="961" spans="1:1" ht="15.75" customHeight="1" x14ac:dyDescent="0.25">
      <c r="A961" s="35"/>
    </row>
    <row r="962" spans="1:1" ht="15.75" customHeight="1" x14ac:dyDescent="0.25">
      <c r="A962" s="35"/>
    </row>
    <row r="963" spans="1:1" ht="15.75" customHeight="1" x14ac:dyDescent="0.25">
      <c r="A963" s="35"/>
    </row>
    <row r="964" spans="1:1" ht="15.75" customHeight="1" x14ac:dyDescent="0.25">
      <c r="A964" s="35"/>
    </row>
    <row r="965" spans="1:1" ht="15.75" customHeight="1" x14ac:dyDescent="0.25">
      <c r="A965" s="35"/>
    </row>
    <row r="966" spans="1:1" ht="15.75" customHeight="1" x14ac:dyDescent="0.25">
      <c r="A966" s="35"/>
    </row>
    <row r="967" spans="1:1" ht="15.75" customHeight="1" x14ac:dyDescent="0.25">
      <c r="A967" s="35"/>
    </row>
    <row r="968" spans="1:1" ht="15.75" customHeight="1" x14ac:dyDescent="0.25">
      <c r="A968" s="35"/>
    </row>
    <row r="969" spans="1:1" ht="15.75" customHeight="1" x14ac:dyDescent="0.25">
      <c r="A969" s="35"/>
    </row>
    <row r="970" spans="1:1" ht="15.75" customHeight="1" x14ac:dyDescent="0.25">
      <c r="A970" s="35"/>
    </row>
    <row r="971" spans="1:1" ht="15.75" customHeight="1" x14ac:dyDescent="0.25">
      <c r="A971" s="35"/>
    </row>
    <row r="972" spans="1:1" ht="15.75" customHeight="1" x14ac:dyDescent="0.25">
      <c r="A972" s="35"/>
    </row>
    <row r="973" spans="1:1" ht="15.75" customHeight="1" x14ac:dyDescent="0.25">
      <c r="A973" s="35"/>
    </row>
    <row r="974" spans="1:1" ht="15.75" customHeight="1" x14ac:dyDescent="0.25">
      <c r="A974" s="35"/>
    </row>
    <row r="975" spans="1:1" ht="15.75" customHeight="1" x14ac:dyDescent="0.25">
      <c r="A975" s="35"/>
    </row>
    <row r="976" spans="1:1" ht="15.75" customHeight="1" x14ac:dyDescent="0.25">
      <c r="A976" s="35"/>
    </row>
    <row r="977" spans="1:1" ht="15.75" customHeight="1" x14ac:dyDescent="0.25">
      <c r="A977" s="35"/>
    </row>
    <row r="978" spans="1:1" ht="15.75" customHeight="1" x14ac:dyDescent="0.25">
      <c r="A978" s="35"/>
    </row>
    <row r="979" spans="1:1" ht="15.75" customHeight="1" x14ac:dyDescent="0.25">
      <c r="A979" s="35"/>
    </row>
    <row r="980" spans="1:1" ht="15.75" customHeight="1" x14ac:dyDescent="0.25">
      <c r="A980" s="35"/>
    </row>
    <row r="981" spans="1:1" ht="15.75" customHeight="1" x14ac:dyDescent="0.25">
      <c r="A981" s="35"/>
    </row>
    <row r="982" spans="1:1" ht="15.75" customHeight="1" x14ac:dyDescent="0.25">
      <c r="A982" s="35"/>
    </row>
    <row r="983" spans="1:1" ht="15.75" customHeight="1" x14ac:dyDescent="0.25">
      <c r="A983" s="35"/>
    </row>
    <row r="984" spans="1:1" ht="15.75" customHeight="1" x14ac:dyDescent="0.25">
      <c r="A984" s="35"/>
    </row>
    <row r="985" spans="1:1" ht="15.75" customHeight="1" x14ac:dyDescent="0.25">
      <c r="A985" s="35"/>
    </row>
    <row r="986" spans="1:1" ht="15.75" customHeight="1" x14ac:dyDescent="0.25">
      <c r="A986" s="35"/>
    </row>
    <row r="987" spans="1:1" ht="15.75" customHeight="1" x14ac:dyDescent="0.25">
      <c r="A987" s="35"/>
    </row>
    <row r="988" spans="1:1" ht="15.75" customHeight="1" x14ac:dyDescent="0.25">
      <c r="A988" s="35"/>
    </row>
    <row r="989" spans="1:1" ht="15.75" customHeight="1" x14ac:dyDescent="0.25">
      <c r="A989" s="35"/>
    </row>
    <row r="990" spans="1:1" ht="15.75" customHeight="1" x14ac:dyDescent="0.25">
      <c r="A990" s="35"/>
    </row>
    <row r="991" spans="1:1" ht="15.75" customHeight="1" x14ac:dyDescent="0.25">
      <c r="A991" s="35"/>
    </row>
    <row r="992" spans="1:1" ht="15.75" customHeight="1" x14ac:dyDescent="0.25">
      <c r="A992" s="35"/>
    </row>
    <row r="993" spans="1:1" ht="15.75" customHeight="1" x14ac:dyDescent="0.25">
      <c r="A993" s="35"/>
    </row>
    <row r="994" spans="1:1" ht="15.75" customHeight="1" x14ac:dyDescent="0.25">
      <c r="A994" s="35"/>
    </row>
    <row r="995" spans="1:1" ht="15.75" customHeight="1" x14ac:dyDescent="0.25">
      <c r="A995" s="35"/>
    </row>
    <row r="996" spans="1:1" ht="15.75" customHeight="1" x14ac:dyDescent="0.25">
      <c r="A996" s="35"/>
    </row>
    <row r="997" spans="1:1" ht="15.75" customHeight="1" x14ac:dyDescent="0.25">
      <c r="A997" s="35"/>
    </row>
    <row r="998" spans="1:1" ht="15.75" customHeight="1" x14ac:dyDescent="0.25">
      <c r="A998" s="35"/>
    </row>
    <row r="999" spans="1:1" ht="15.75" customHeight="1" x14ac:dyDescent="0.25">
      <c r="A999" s="35"/>
    </row>
    <row r="1000" spans="1:1" ht="15.75" customHeight="1" x14ac:dyDescent="0.25">
      <c r="A1000" s="35"/>
    </row>
  </sheetData>
  <autoFilter ref="A1:C1" xr:uid="{00000000-0009-0000-0000-00000C000000}"/>
  <mergeCells count="2">
    <mergeCell ref="E1:E5"/>
    <mergeCell ref="D2:D3"/>
  </mergeCells>
  <conditionalFormatting sqref="F1:F7 C1:C1000 F13:F26 F32:F59 D60:D1000 F65:F1000">
    <cfRule type="containsText" dxfId="8" priority="1" operator="containsText" text="Tough">
      <formula>NOT(ISERROR(SEARCH(("Tough"),(C1))))</formula>
    </cfRule>
    <cfRule type="containsText" dxfId="7" priority="2" operator="containsText" text="Beauty">
      <formula>NOT(ISERROR(SEARCH(("Beauty"),(C1))))</formula>
    </cfRule>
    <cfRule type="containsText" dxfId="6" priority="3" operator="containsText" text="Smart">
      <formula>NOT(ISERROR(SEARCH(("Smart"),(C1))))</formula>
    </cfRule>
    <cfRule type="containsText" dxfId="5" priority="4" operator="containsText" text="Cute">
      <formula>NOT(ISERROR(SEARCH(("Cute"),(C1))))</formula>
    </cfRule>
    <cfRule type="containsText" dxfId="4" priority="5" operator="containsText" text="Cool">
      <formula>NOT(ISERROR(SEARCH(("Cool"),(C1))))</formula>
    </cfRule>
  </conditionalFormatting>
  <pageMargins left="0.7" right="0.7" top="0.75" bottom="0.75" header="0" footer="0"/>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92D050"/>
  </sheetPr>
  <dimension ref="A1:K1168"/>
  <sheetViews>
    <sheetView workbookViewId="0">
      <selection activeCell="B946" sqref="B946"/>
    </sheetView>
  </sheetViews>
  <sheetFormatPr defaultColWidth="14.42578125" defaultRowHeight="15" customHeight="1" x14ac:dyDescent="0.25"/>
  <cols>
    <col min="1" max="1" width="5" customWidth="1"/>
    <col min="2" max="2" width="28.140625" customWidth="1"/>
    <col min="3" max="3" width="5.42578125" customWidth="1"/>
    <col min="4" max="7" width="6.28515625" customWidth="1"/>
    <col min="8" max="8" width="6.140625" customWidth="1"/>
    <col min="9" max="9" width="3.85546875" customWidth="1"/>
    <col min="10" max="10" width="7.42578125" customWidth="1"/>
    <col min="11" max="26" width="8.7109375" customWidth="1"/>
  </cols>
  <sheetData>
    <row r="1" spans="1:11" x14ac:dyDescent="0.25">
      <c r="A1" s="2" t="s">
        <v>3835</v>
      </c>
      <c r="B1" s="2" t="s">
        <v>3836</v>
      </c>
      <c r="C1" s="52" t="s">
        <v>202</v>
      </c>
      <c r="D1" s="52" t="s">
        <v>3837</v>
      </c>
      <c r="E1" s="52" t="s">
        <v>3838</v>
      </c>
      <c r="F1" s="52" t="s">
        <v>3839</v>
      </c>
      <c r="G1" s="52" t="s">
        <v>3840</v>
      </c>
      <c r="H1" s="52" t="s">
        <v>3841</v>
      </c>
      <c r="I1" s="52" t="s">
        <v>3842</v>
      </c>
      <c r="J1" s="105" t="s">
        <v>3843</v>
      </c>
      <c r="K1" s="52"/>
    </row>
    <row r="2" spans="1:11" x14ac:dyDescent="0.25">
      <c r="A2" s="2">
        <v>1</v>
      </c>
      <c r="B2" s="2" t="s">
        <v>3844</v>
      </c>
      <c r="C2" s="52">
        <v>4</v>
      </c>
      <c r="D2" s="52">
        <v>4</v>
      </c>
      <c r="E2" s="52">
        <v>4</v>
      </c>
      <c r="F2" s="52">
        <v>6</v>
      </c>
      <c r="G2" s="52">
        <v>6</v>
      </c>
      <c r="H2" s="52">
        <v>4</v>
      </c>
      <c r="I2" s="52">
        <v>28</v>
      </c>
      <c r="J2" s="105">
        <v>4.666666666666667</v>
      </c>
      <c r="K2" s="52"/>
    </row>
    <row r="3" spans="1:11" x14ac:dyDescent="0.25">
      <c r="A3" s="2">
        <v>2</v>
      </c>
      <c r="B3" s="2" t="s">
        <v>3845</v>
      </c>
      <c r="C3" s="52">
        <v>6</v>
      </c>
      <c r="D3" s="52">
        <v>6</v>
      </c>
      <c r="E3" s="52">
        <v>6</v>
      </c>
      <c r="F3" s="52">
        <v>8</v>
      </c>
      <c r="G3" s="52">
        <v>8</v>
      </c>
      <c r="H3" s="52">
        <v>6</v>
      </c>
      <c r="I3" s="52">
        <v>40</v>
      </c>
      <c r="J3" s="105">
        <v>6.666666666666667</v>
      </c>
      <c r="K3" s="52"/>
    </row>
    <row r="4" spans="1:11" x14ac:dyDescent="0.25">
      <c r="A4" s="2">
        <v>3</v>
      </c>
      <c r="B4" s="2" t="s">
        <v>3846</v>
      </c>
      <c r="C4" s="52">
        <v>8</v>
      </c>
      <c r="D4" s="52">
        <v>8</v>
      </c>
      <c r="E4" s="52">
        <v>8</v>
      </c>
      <c r="F4" s="52">
        <v>10</v>
      </c>
      <c r="G4" s="52">
        <v>10</v>
      </c>
      <c r="H4" s="52">
        <v>8</v>
      </c>
      <c r="I4" s="52">
        <v>52</v>
      </c>
      <c r="J4" s="105">
        <v>8.6666666666666661</v>
      </c>
      <c r="K4" s="52"/>
    </row>
    <row r="5" spans="1:11" x14ac:dyDescent="0.25">
      <c r="A5" s="2">
        <v>3</v>
      </c>
      <c r="B5" s="2" t="s">
        <v>3847</v>
      </c>
      <c r="C5" s="52">
        <v>8</v>
      </c>
      <c r="D5" s="52">
        <v>10</v>
      </c>
      <c r="E5" s="52">
        <v>12</v>
      </c>
      <c r="F5" s="52">
        <v>12</v>
      </c>
      <c r="G5" s="52">
        <v>12</v>
      </c>
      <c r="H5" s="52">
        <v>8</v>
      </c>
      <c r="I5" s="52">
        <v>62</v>
      </c>
      <c r="J5" s="105">
        <v>10.333333333333334</v>
      </c>
      <c r="K5" s="52"/>
    </row>
    <row r="6" spans="1:11" x14ac:dyDescent="0.25">
      <c r="A6" s="2">
        <v>4</v>
      </c>
      <c r="B6" s="2" t="s">
        <v>3848</v>
      </c>
      <c r="C6" s="52">
        <v>3</v>
      </c>
      <c r="D6" s="52">
        <v>5</v>
      </c>
      <c r="E6" s="52">
        <v>4</v>
      </c>
      <c r="F6" s="52">
        <v>6</v>
      </c>
      <c r="G6" s="52">
        <v>5</v>
      </c>
      <c r="H6" s="52">
        <v>6</v>
      </c>
      <c r="I6" s="52">
        <v>29</v>
      </c>
      <c r="J6" s="105">
        <v>4.833333333333333</v>
      </c>
      <c r="K6" s="52"/>
    </row>
    <row r="7" spans="1:11" x14ac:dyDescent="0.25">
      <c r="A7" s="2">
        <v>5</v>
      </c>
      <c r="B7" s="2" t="s">
        <v>3849</v>
      </c>
      <c r="C7" s="52">
        <v>5</v>
      </c>
      <c r="D7" s="52">
        <v>6</v>
      </c>
      <c r="E7" s="52">
        <v>5</v>
      </c>
      <c r="F7" s="52">
        <v>8</v>
      </c>
      <c r="G7" s="52">
        <v>6</v>
      </c>
      <c r="H7" s="52">
        <v>8</v>
      </c>
      <c r="I7" s="52">
        <v>38</v>
      </c>
      <c r="J7" s="105">
        <v>6.333333333333333</v>
      </c>
      <c r="K7" s="52"/>
    </row>
    <row r="8" spans="1:11" x14ac:dyDescent="0.25">
      <c r="A8" s="2">
        <v>6</v>
      </c>
      <c r="B8" s="2" t="s">
        <v>3850</v>
      </c>
      <c r="C8" s="52">
        <v>7</v>
      </c>
      <c r="D8" s="52">
        <v>8</v>
      </c>
      <c r="E8" s="52">
        <v>7</v>
      </c>
      <c r="F8" s="52">
        <v>10</v>
      </c>
      <c r="G8" s="52">
        <v>8</v>
      </c>
      <c r="H8" s="52">
        <v>10</v>
      </c>
      <c r="I8" s="52">
        <v>50</v>
      </c>
      <c r="J8" s="105">
        <v>8.3333333333333339</v>
      </c>
      <c r="K8" s="52"/>
    </row>
    <row r="9" spans="1:11" x14ac:dyDescent="0.25">
      <c r="A9" s="2">
        <v>6</v>
      </c>
      <c r="B9" s="2" t="s">
        <v>3851</v>
      </c>
      <c r="C9" s="52">
        <v>7</v>
      </c>
      <c r="D9" s="52">
        <v>13</v>
      </c>
      <c r="E9" s="52">
        <v>11</v>
      </c>
      <c r="F9" s="52">
        <v>13</v>
      </c>
      <c r="G9" s="52">
        <v>8</v>
      </c>
      <c r="H9" s="52">
        <v>10</v>
      </c>
      <c r="I9" s="52">
        <v>62</v>
      </c>
      <c r="J9" s="105">
        <v>10.333333333333334</v>
      </c>
      <c r="K9" s="52"/>
    </row>
    <row r="10" spans="1:11" x14ac:dyDescent="0.25">
      <c r="A10" s="2">
        <v>6</v>
      </c>
      <c r="B10" s="2" t="s">
        <v>3852</v>
      </c>
      <c r="C10" s="52">
        <v>7</v>
      </c>
      <c r="D10" s="52">
        <v>10</v>
      </c>
      <c r="E10" s="52">
        <v>7</v>
      </c>
      <c r="F10" s="52">
        <v>15</v>
      </c>
      <c r="G10" s="52">
        <v>11</v>
      </c>
      <c r="H10" s="52">
        <v>10</v>
      </c>
      <c r="I10" s="52">
        <v>60</v>
      </c>
      <c r="J10" s="105">
        <v>10</v>
      </c>
      <c r="K10" s="52"/>
    </row>
    <row r="11" spans="1:11" x14ac:dyDescent="0.25">
      <c r="A11" s="2">
        <v>7</v>
      </c>
      <c r="B11" s="2" t="s">
        <v>3853</v>
      </c>
      <c r="C11" s="52">
        <v>4</v>
      </c>
      <c r="D11" s="52">
        <v>4</v>
      </c>
      <c r="E11" s="52">
        <v>6</v>
      </c>
      <c r="F11" s="52">
        <v>5</v>
      </c>
      <c r="G11" s="52">
        <v>6</v>
      </c>
      <c r="H11" s="52">
        <v>4</v>
      </c>
      <c r="I11" s="52">
        <v>29</v>
      </c>
      <c r="J11" s="105">
        <v>4.833333333333333</v>
      </c>
      <c r="K11" s="52"/>
    </row>
    <row r="12" spans="1:11" x14ac:dyDescent="0.25">
      <c r="A12" s="2">
        <v>8</v>
      </c>
      <c r="B12" s="2" t="s">
        <v>3854</v>
      </c>
      <c r="C12" s="52">
        <v>5</v>
      </c>
      <c r="D12" s="52">
        <v>6</v>
      </c>
      <c r="E12" s="52">
        <v>8</v>
      </c>
      <c r="F12" s="52">
        <v>6</v>
      </c>
      <c r="G12" s="52">
        <v>8</v>
      </c>
      <c r="H12" s="52">
        <v>5</v>
      </c>
      <c r="I12" s="52">
        <v>38</v>
      </c>
      <c r="J12" s="105">
        <v>6.333333333333333</v>
      </c>
      <c r="K12" s="52"/>
    </row>
    <row r="13" spans="1:11" x14ac:dyDescent="0.25">
      <c r="A13" s="2">
        <v>9</v>
      </c>
      <c r="B13" s="2" t="s">
        <v>3855</v>
      </c>
      <c r="C13" s="52">
        <v>7</v>
      </c>
      <c r="D13" s="52">
        <v>8</v>
      </c>
      <c r="E13" s="52">
        <v>10</v>
      </c>
      <c r="F13" s="52">
        <v>8</v>
      </c>
      <c r="G13" s="52">
        <v>10</v>
      </c>
      <c r="H13" s="52">
        <v>7</v>
      </c>
      <c r="I13" s="52">
        <v>50</v>
      </c>
      <c r="J13" s="105">
        <v>8.3333333333333339</v>
      </c>
      <c r="K13" s="52"/>
    </row>
    <row r="14" spans="1:11" x14ac:dyDescent="0.25">
      <c r="A14" s="2">
        <v>9</v>
      </c>
      <c r="B14" s="2" t="s">
        <v>3856</v>
      </c>
      <c r="C14" s="52">
        <v>7</v>
      </c>
      <c r="D14" s="52">
        <v>10</v>
      </c>
      <c r="E14" s="52">
        <v>12</v>
      </c>
      <c r="F14" s="52">
        <v>13</v>
      </c>
      <c r="G14" s="52">
        <v>11</v>
      </c>
      <c r="H14" s="52">
        <v>7</v>
      </c>
      <c r="I14" s="52">
        <v>60</v>
      </c>
      <c r="J14" s="105">
        <v>10</v>
      </c>
      <c r="K14" s="52"/>
    </row>
    <row r="15" spans="1:11" x14ac:dyDescent="0.25">
      <c r="A15" s="2">
        <v>10</v>
      </c>
      <c r="B15" s="2" t="s">
        <v>3857</v>
      </c>
      <c r="C15" s="52">
        <v>4</v>
      </c>
      <c r="D15" s="52">
        <v>3</v>
      </c>
      <c r="E15" s="52">
        <v>3</v>
      </c>
      <c r="F15" s="52">
        <v>2</v>
      </c>
      <c r="G15" s="52">
        <v>2</v>
      </c>
      <c r="H15" s="52">
        <v>4</v>
      </c>
      <c r="I15" s="52">
        <v>18</v>
      </c>
      <c r="J15" s="105">
        <v>3</v>
      </c>
      <c r="K15" s="52"/>
    </row>
    <row r="16" spans="1:11" x14ac:dyDescent="0.25">
      <c r="A16" s="2">
        <v>11</v>
      </c>
      <c r="B16" s="2" t="s">
        <v>3858</v>
      </c>
      <c r="C16" s="52">
        <v>5</v>
      </c>
      <c r="D16" s="52">
        <v>2</v>
      </c>
      <c r="E16" s="52">
        <v>5</v>
      </c>
      <c r="F16" s="52">
        <v>2</v>
      </c>
      <c r="G16" s="52">
        <v>2</v>
      </c>
      <c r="H16" s="52">
        <v>3</v>
      </c>
      <c r="I16" s="52">
        <v>19</v>
      </c>
      <c r="J16" s="105">
        <v>3.1666666666666665</v>
      </c>
      <c r="K16" s="52"/>
    </row>
    <row r="17" spans="1:11" x14ac:dyDescent="0.25">
      <c r="A17" s="2">
        <v>12</v>
      </c>
      <c r="B17" s="2" t="s">
        <v>3859</v>
      </c>
      <c r="C17" s="52">
        <v>6</v>
      </c>
      <c r="D17" s="52">
        <v>4</v>
      </c>
      <c r="E17" s="52">
        <v>5</v>
      </c>
      <c r="F17" s="52">
        <v>9</v>
      </c>
      <c r="G17" s="52">
        <v>8</v>
      </c>
      <c r="H17" s="52">
        <v>7</v>
      </c>
      <c r="I17" s="52">
        <v>39</v>
      </c>
      <c r="J17" s="105">
        <v>6.5</v>
      </c>
      <c r="K17" s="52"/>
    </row>
    <row r="18" spans="1:11" x14ac:dyDescent="0.25">
      <c r="A18" s="2">
        <v>13</v>
      </c>
      <c r="B18" s="2" t="s">
        <v>3860</v>
      </c>
      <c r="C18" s="52">
        <v>4</v>
      </c>
      <c r="D18" s="52">
        <v>3</v>
      </c>
      <c r="E18" s="52">
        <v>3</v>
      </c>
      <c r="F18" s="52">
        <v>2</v>
      </c>
      <c r="G18" s="52">
        <v>2</v>
      </c>
      <c r="H18" s="52">
        <v>5</v>
      </c>
      <c r="I18" s="52">
        <v>19</v>
      </c>
      <c r="J18" s="105">
        <v>3.1666666666666665</v>
      </c>
      <c r="K18" s="52"/>
    </row>
    <row r="19" spans="1:11" x14ac:dyDescent="0.25">
      <c r="A19" s="2">
        <v>14</v>
      </c>
      <c r="B19" s="2" t="s">
        <v>3861</v>
      </c>
      <c r="C19" s="52">
        <v>4</v>
      </c>
      <c r="D19" s="52">
        <v>2</v>
      </c>
      <c r="E19" s="52">
        <v>5</v>
      </c>
      <c r="F19" s="52">
        <v>2</v>
      </c>
      <c r="G19" s="52">
        <v>2</v>
      </c>
      <c r="H19" s="52">
        <v>3</v>
      </c>
      <c r="I19" s="52">
        <v>18</v>
      </c>
      <c r="J19" s="105">
        <v>3</v>
      </c>
      <c r="K19" s="52"/>
    </row>
    <row r="20" spans="1:11" x14ac:dyDescent="0.25">
      <c r="A20" s="2">
        <v>15</v>
      </c>
      <c r="B20" s="2" t="s">
        <v>3862</v>
      </c>
      <c r="C20" s="52">
        <v>6</v>
      </c>
      <c r="D20" s="52">
        <v>9</v>
      </c>
      <c r="E20" s="52">
        <v>4</v>
      </c>
      <c r="F20" s="52">
        <v>4</v>
      </c>
      <c r="G20" s="52">
        <v>8</v>
      </c>
      <c r="H20" s="52">
        <v>7</v>
      </c>
      <c r="I20" s="52">
        <v>38</v>
      </c>
      <c r="J20" s="105">
        <v>6.333333333333333</v>
      </c>
      <c r="K20" s="52"/>
    </row>
    <row r="21" spans="1:11" ht="15.75" customHeight="1" x14ac:dyDescent="0.25">
      <c r="A21" s="2">
        <v>15</v>
      </c>
      <c r="B21" s="2" t="s">
        <v>3863</v>
      </c>
      <c r="C21" s="52">
        <v>6</v>
      </c>
      <c r="D21" s="52">
        <v>15</v>
      </c>
      <c r="E21" s="52">
        <v>4</v>
      </c>
      <c r="F21" s="52">
        <v>1</v>
      </c>
      <c r="G21" s="52">
        <v>8</v>
      </c>
      <c r="H21" s="52">
        <v>14</v>
      </c>
      <c r="I21" s="52">
        <v>48</v>
      </c>
      <c r="J21" s="105">
        <v>8</v>
      </c>
      <c r="K21" s="52"/>
    </row>
    <row r="22" spans="1:11" ht="15.75" customHeight="1" x14ac:dyDescent="0.25">
      <c r="A22" s="2">
        <v>16</v>
      </c>
      <c r="B22" s="2" t="s">
        <v>3864</v>
      </c>
      <c r="C22" s="52">
        <v>4</v>
      </c>
      <c r="D22" s="52">
        <v>4</v>
      </c>
      <c r="E22" s="52">
        <v>4</v>
      </c>
      <c r="F22" s="52">
        <v>3</v>
      </c>
      <c r="G22" s="52">
        <v>3</v>
      </c>
      <c r="H22" s="52">
        <v>5</v>
      </c>
      <c r="I22" s="52">
        <v>23</v>
      </c>
      <c r="J22" s="105">
        <v>3.8333333333333335</v>
      </c>
      <c r="K22" s="52"/>
    </row>
    <row r="23" spans="1:11" ht="15.75" customHeight="1" x14ac:dyDescent="0.25">
      <c r="A23" s="2">
        <v>17</v>
      </c>
      <c r="B23" s="2" t="s">
        <v>3865</v>
      </c>
      <c r="C23" s="52">
        <v>6</v>
      </c>
      <c r="D23" s="52">
        <v>6</v>
      </c>
      <c r="E23" s="52">
        <v>5</v>
      </c>
      <c r="F23" s="52">
        <v>5</v>
      </c>
      <c r="G23" s="52">
        <v>5</v>
      </c>
      <c r="H23" s="52">
        <v>7</v>
      </c>
      <c r="I23" s="52">
        <v>34</v>
      </c>
      <c r="J23" s="105">
        <v>5.666666666666667</v>
      </c>
      <c r="K23" s="52"/>
    </row>
    <row r="24" spans="1:11" ht="15.75" customHeight="1" x14ac:dyDescent="0.25">
      <c r="A24" s="2">
        <v>18</v>
      </c>
      <c r="B24" s="2" t="s">
        <v>3866</v>
      </c>
      <c r="C24" s="52">
        <v>8</v>
      </c>
      <c r="D24" s="52">
        <v>8</v>
      </c>
      <c r="E24" s="52">
        <v>7</v>
      </c>
      <c r="F24" s="52">
        <v>7</v>
      </c>
      <c r="G24" s="52">
        <v>7</v>
      </c>
      <c r="H24" s="52">
        <v>10</v>
      </c>
      <c r="I24" s="52">
        <v>47</v>
      </c>
      <c r="J24" s="105">
        <v>7.833333333333333</v>
      </c>
      <c r="K24" s="52"/>
    </row>
    <row r="25" spans="1:11" ht="15.75" customHeight="1" x14ac:dyDescent="0.25">
      <c r="A25" s="2">
        <v>18</v>
      </c>
      <c r="B25" s="2" t="s">
        <v>3867</v>
      </c>
      <c r="C25" s="52">
        <v>8</v>
      </c>
      <c r="D25" s="52">
        <v>8</v>
      </c>
      <c r="E25" s="52">
        <v>8</v>
      </c>
      <c r="F25" s="52">
        <v>13</v>
      </c>
      <c r="G25" s="52">
        <v>8</v>
      </c>
      <c r="H25" s="52">
        <v>12</v>
      </c>
      <c r="I25" s="52">
        <v>57</v>
      </c>
      <c r="J25" s="105">
        <v>9.5</v>
      </c>
      <c r="K25" s="52"/>
    </row>
    <row r="26" spans="1:11" ht="15.75" customHeight="1" x14ac:dyDescent="0.25">
      <c r="A26" s="2">
        <v>19</v>
      </c>
      <c r="B26" s="2" t="s">
        <v>3868</v>
      </c>
      <c r="C26" s="52">
        <v>3</v>
      </c>
      <c r="D26" s="52">
        <v>5</v>
      </c>
      <c r="E26" s="52">
        <v>3</v>
      </c>
      <c r="F26" s="52">
        <v>2</v>
      </c>
      <c r="G26" s="52">
        <v>3</v>
      </c>
      <c r="H26" s="52">
        <v>7</v>
      </c>
      <c r="I26" s="52">
        <v>23</v>
      </c>
      <c r="J26" s="105">
        <v>3.8333333333333335</v>
      </c>
      <c r="K26" s="52"/>
    </row>
    <row r="27" spans="1:11" ht="15.75" customHeight="1" x14ac:dyDescent="0.25">
      <c r="A27" s="2">
        <v>19</v>
      </c>
      <c r="B27" s="2" t="s">
        <v>3869</v>
      </c>
      <c r="C27" s="52">
        <v>3</v>
      </c>
      <c r="D27" s="52">
        <v>5</v>
      </c>
      <c r="E27" s="52">
        <v>3</v>
      </c>
      <c r="F27" s="52">
        <v>2</v>
      </c>
      <c r="G27" s="52">
        <v>3</v>
      </c>
      <c r="H27" s="52">
        <v>7</v>
      </c>
      <c r="I27" s="52">
        <v>23</v>
      </c>
      <c r="J27" s="105">
        <v>3.8333333333333335</v>
      </c>
      <c r="K27" s="52"/>
    </row>
    <row r="28" spans="1:11" ht="15.75" customHeight="1" x14ac:dyDescent="0.25">
      <c r="A28" s="2">
        <v>20</v>
      </c>
      <c r="B28" s="2" t="s">
        <v>3870</v>
      </c>
      <c r="C28" s="52">
        <v>5</v>
      </c>
      <c r="D28" s="52">
        <v>8</v>
      </c>
      <c r="E28" s="52">
        <v>6</v>
      </c>
      <c r="F28" s="52">
        <v>5</v>
      </c>
      <c r="G28" s="52">
        <v>7</v>
      </c>
      <c r="H28" s="52">
        <v>9</v>
      </c>
      <c r="I28" s="52">
        <v>40</v>
      </c>
      <c r="J28" s="105">
        <v>6.666666666666667</v>
      </c>
      <c r="K28" s="52"/>
    </row>
    <row r="29" spans="1:11" ht="15.75" customHeight="1" x14ac:dyDescent="0.25">
      <c r="A29" s="2">
        <v>20</v>
      </c>
      <c r="B29" s="2" t="s">
        <v>3871</v>
      </c>
      <c r="C29" s="52">
        <v>7</v>
      </c>
      <c r="D29" s="52">
        <v>7</v>
      </c>
      <c r="E29" s="52">
        <v>7</v>
      </c>
      <c r="F29" s="52">
        <v>4</v>
      </c>
      <c r="G29" s="52">
        <v>8</v>
      </c>
      <c r="H29" s="52">
        <v>7</v>
      </c>
      <c r="I29" s="52">
        <v>40</v>
      </c>
      <c r="J29" s="105">
        <v>6.666666666666667</v>
      </c>
      <c r="K29" s="52"/>
    </row>
    <row r="30" spans="1:11" ht="15.75" customHeight="1" x14ac:dyDescent="0.25">
      <c r="A30" s="2">
        <v>21</v>
      </c>
      <c r="B30" s="2" t="s">
        <v>233</v>
      </c>
      <c r="C30" s="52">
        <v>4</v>
      </c>
      <c r="D30" s="52">
        <v>6</v>
      </c>
      <c r="E30" s="52">
        <v>3</v>
      </c>
      <c r="F30" s="52">
        <v>3</v>
      </c>
      <c r="G30" s="52">
        <v>3</v>
      </c>
      <c r="H30" s="52">
        <v>7</v>
      </c>
      <c r="I30" s="52">
        <v>26</v>
      </c>
      <c r="J30" s="105">
        <v>4.333333333333333</v>
      </c>
      <c r="K30" s="52"/>
    </row>
    <row r="31" spans="1:11" ht="15.75" customHeight="1" x14ac:dyDescent="0.25">
      <c r="A31" s="2">
        <v>22</v>
      </c>
      <c r="B31" s="2" t="s">
        <v>3872</v>
      </c>
      <c r="C31" s="52">
        <v>6</v>
      </c>
      <c r="D31" s="52">
        <v>9</v>
      </c>
      <c r="E31" s="52">
        <v>6</v>
      </c>
      <c r="F31" s="52">
        <v>6</v>
      </c>
      <c r="G31" s="52">
        <v>6</v>
      </c>
      <c r="H31" s="52">
        <v>10</v>
      </c>
      <c r="I31" s="52">
        <v>43</v>
      </c>
      <c r="J31" s="105">
        <v>7.166666666666667</v>
      </c>
      <c r="K31" s="52"/>
    </row>
    <row r="32" spans="1:11" ht="15.75" customHeight="1" x14ac:dyDescent="0.25">
      <c r="A32" s="2">
        <v>23</v>
      </c>
      <c r="B32" s="2" t="s">
        <v>3873</v>
      </c>
      <c r="C32" s="52">
        <v>3</v>
      </c>
      <c r="D32" s="52">
        <v>6</v>
      </c>
      <c r="E32" s="52">
        <v>4</v>
      </c>
      <c r="F32" s="52">
        <v>4</v>
      </c>
      <c r="G32" s="52">
        <v>5</v>
      </c>
      <c r="H32" s="52">
        <v>5</v>
      </c>
      <c r="I32" s="52">
        <v>27</v>
      </c>
      <c r="J32" s="105">
        <v>4.5</v>
      </c>
      <c r="K32" s="52"/>
    </row>
    <row r="33" spans="1:11" ht="15.75" customHeight="1" x14ac:dyDescent="0.25">
      <c r="A33" s="2">
        <v>24</v>
      </c>
      <c r="B33" s="2" t="s">
        <v>3874</v>
      </c>
      <c r="C33" s="52">
        <v>6</v>
      </c>
      <c r="D33" s="52">
        <v>9</v>
      </c>
      <c r="E33" s="52">
        <v>6</v>
      </c>
      <c r="F33" s="52">
        <v>6</v>
      </c>
      <c r="G33" s="52">
        <v>7</v>
      </c>
      <c r="H33" s="52">
        <v>8</v>
      </c>
      <c r="I33" s="52">
        <v>42</v>
      </c>
      <c r="J33" s="105">
        <v>7</v>
      </c>
      <c r="K33" s="52"/>
    </row>
    <row r="34" spans="1:11" ht="15.75" customHeight="1" x14ac:dyDescent="0.25">
      <c r="A34" s="2">
        <v>25</v>
      </c>
      <c r="B34" s="2" t="s">
        <v>3875</v>
      </c>
      <c r="C34" s="52">
        <v>3</v>
      </c>
      <c r="D34" s="52">
        <v>5</v>
      </c>
      <c r="E34" s="52">
        <v>4</v>
      </c>
      <c r="F34" s="52">
        <v>5</v>
      </c>
      <c r="G34" s="52">
        <v>5</v>
      </c>
      <c r="H34" s="52">
        <v>9</v>
      </c>
      <c r="I34" s="52">
        <v>31</v>
      </c>
      <c r="J34" s="105">
        <v>5.166666666666667</v>
      </c>
      <c r="K34" s="52"/>
    </row>
    <row r="35" spans="1:11" ht="15.75" customHeight="1" x14ac:dyDescent="0.25">
      <c r="A35" s="2">
        <v>25</v>
      </c>
      <c r="B35" s="2" t="s">
        <v>3876</v>
      </c>
      <c r="C35" s="52">
        <v>4</v>
      </c>
      <c r="D35" s="52">
        <v>8</v>
      </c>
      <c r="E35" s="52">
        <v>5</v>
      </c>
      <c r="F35" s="52">
        <v>7</v>
      </c>
      <c r="G35" s="52">
        <v>6</v>
      </c>
      <c r="H35" s="52">
        <v>12</v>
      </c>
      <c r="I35" s="52">
        <v>42</v>
      </c>
      <c r="J35" s="105">
        <v>7</v>
      </c>
      <c r="K35" s="52"/>
    </row>
    <row r="36" spans="1:11" ht="15.75" customHeight="1" x14ac:dyDescent="0.25">
      <c r="A36" s="2">
        <v>26</v>
      </c>
      <c r="B36" s="2" t="s">
        <v>3877</v>
      </c>
      <c r="C36" s="52">
        <v>6</v>
      </c>
      <c r="D36" s="52">
        <v>9</v>
      </c>
      <c r="E36" s="52">
        <v>5</v>
      </c>
      <c r="F36" s="52">
        <v>9</v>
      </c>
      <c r="G36" s="52">
        <v>8</v>
      </c>
      <c r="H36" s="52">
        <v>11</v>
      </c>
      <c r="I36" s="52">
        <v>48</v>
      </c>
      <c r="J36" s="105">
        <v>8</v>
      </c>
      <c r="K36" s="52"/>
    </row>
    <row r="37" spans="1:11" ht="15.75" customHeight="1" x14ac:dyDescent="0.25">
      <c r="A37" s="2">
        <v>26</v>
      </c>
      <c r="B37" s="2" t="s">
        <v>3878</v>
      </c>
      <c r="C37" s="52">
        <v>6</v>
      </c>
      <c r="D37" s="52">
        <v>8</v>
      </c>
      <c r="E37" s="52">
        <v>5</v>
      </c>
      <c r="F37" s="52">
        <v>9</v>
      </c>
      <c r="G37" s="52">
        <v>8</v>
      </c>
      <c r="H37" s="52">
        <v>11</v>
      </c>
      <c r="I37" s="52">
        <v>47</v>
      </c>
      <c r="J37" s="105">
        <v>7.833333333333333</v>
      </c>
      <c r="K37" s="52"/>
    </row>
    <row r="38" spans="1:11" ht="15.75" customHeight="1" x14ac:dyDescent="0.25">
      <c r="A38" s="2">
        <v>27</v>
      </c>
      <c r="B38" s="2" t="s">
        <v>3879</v>
      </c>
      <c r="C38" s="52">
        <v>5</v>
      </c>
      <c r="D38" s="52">
        <v>7</v>
      </c>
      <c r="E38" s="52">
        <v>8</v>
      </c>
      <c r="F38" s="52">
        <v>2</v>
      </c>
      <c r="G38" s="52">
        <v>3</v>
      </c>
      <c r="H38" s="52">
        <v>4</v>
      </c>
      <c r="I38" s="52">
        <v>29</v>
      </c>
      <c r="J38" s="105">
        <v>4.833333333333333</v>
      </c>
      <c r="K38" s="52"/>
    </row>
    <row r="39" spans="1:11" ht="15.75" customHeight="1" x14ac:dyDescent="0.25">
      <c r="A39" s="2">
        <v>27</v>
      </c>
      <c r="B39" s="2" t="s">
        <v>3880</v>
      </c>
      <c r="C39" s="52">
        <v>5</v>
      </c>
      <c r="D39" s="52">
        <v>7</v>
      </c>
      <c r="E39" s="52">
        <v>9</v>
      </c>
      <c r="F39" s="52">
        <v>1</v>
      </c>
      <c r="G39" s="52">
        <v>3</v>
      </c>
      <c r="H39" s="52">
        <v>4</v>
      </c>
      <c r="I39" s="52">
        <v>29</v>
      </c>
      <c r="J39" s="105">
        <v>4.833333333333333</v>
      </c>
      <c r="K39" s="52"/>
    </row>
    <row r="40" spans="1:11" ht="15.75" customHeight="1" x14ac:dyDescent="0.25">
      <c r="A40" s="2">
        <v>28</v>
      </c>
      <c r="B40" s="2" t="s">
        <v>3881</v>
      </c>
      <c r="C40" s="52">
        <v>7</v>
      </c>
      <c r="D40" s="52">
        <v>10</v>
      </c>
      <c r="E40" s="52">
        <v>11</v>
      </c>
      <c r="F40" s="52">
        <v>4</v>
      </c>
      <c r="G40" s="52">
        <v>5</v>
      </c>
      <c r="H40" s="52">
        <v>6</v>
      </c>
      <c r="I40" s="52">
        <v>43</v>
      </c>
      <c r="J40" s="105">
        <v>7.166666666666667</v>
      </c>
      <c r="K40" s="52"/>
    </row>
    <row r="41" spans="1:11" ht="15.75" customHeight="1" x14ac:dyDescent="0.25">
      <c r="A41" s="2">
        <v>28</v>
      </c>
      <c r="B41" s="2" t="s">
        <v>3882</v>
      </c>
      <c r="C41" s="52">
        <v>7</v>
      </c>
      <c r="D41" s="52">
        <v>10</v>
      </c>
      <c r="E41" s="52">
        <v>12</v>
      </c>
      <c r="F41" s="52">
        <v>2</v>
      </c>
      <c r="G41" s="52">
        <v>6</v>
      </c>
      <c r="H41" s="52">
        <v>6</v>
      </c>
      <c r="I41" s="52">
        <v>43</v>
      </c>
      <c r="J41" s="105">
        <v>7.166666666666667</v>
      </c>
      <c r="K41" s="52"/>
    </row>
    <row r="42" spans="1:11" ht="15.75" customHeight="1" x14ac:dyDescent="0.25">
      <c r="A42" s="2">
        <v>29</v>
      </c>
      <c r="B42" s="2" t="s">
        <v>3883</v>
      </c>
      <c r="C42" s="52">
        <v>5</v>
      </c>
      <c r="D42" s="52">
        <v>4</v>
      </c>
      <c r="E42" s="52">
        <v>5</v>
      </c>
      <c r="F42" s="52">
        <v>4</v>
      </c>
      <c r="G42" s="52">
        <v>4</v>
      </c>
      <c r="H42" s="52">
        <v>4</v>
      </c>
      <c r="I42" s="52">
        <v>26</v>
      </c>
      <c r="J42" s="105">
        <v>4.333333333333333</v>
      </c>
      <c r="K42" s="52"/>
    </row>
    <row r="43" spans="1:11" ht="15.75" customHeight="1" x14ac:dyDescent="0.25">
      <c r="A43" s="2">
        <v>30</v>
      </c>
      <c r="B43" s="2" t="s">
        <v>3884</v>
      </c>
      <c r="C43" s="52">
        <v>7</v>
      </c>
      <c r="D43" s="52">
        <v>6</v>
      </c>
      <c r="E43" s="52">
        <v>6</v>
      </c>
      <c r="F43" s="52">
        <v>5</v>
      </c>
      <c r="G43" s="52">
        <v>5</v>
      </c>
      <c r="H43" s="52">
        <v>5</v>
      </c>
      <c r="I43" s="52">
        <v>34</v>
      </c>
      <c r="J43" s="105">
        <v>5.666666666666667</v>
      </c>
      <c r="K43" s="52"/>
    </row>
    <row r="44" spans="1:11" ht="15.75" customHeight="1" x14ac:dyDescent="0.25">
      <c r="A44" s="2">
        <v>31</v>
      </c>
      <c r="B44" s="2" t="s">
        <v>3885</v>
      </c>
      <c r="C44" s="52">
        <v>9</v>
      </c>
      <c r="D44" s="52">
        <v>9</v>
      </c>
      <c r="E44" s="52">
        <v>8</v>
      </c>
      <c r="F44" s="52">
        <v>7</v>
      </c>
      <c r="G44" s="52">
        <v>8</v>
      </c>
      <c r="H44" s="52">
        <v>7</v>
      </c>
      <c r="I44" s="52">
        <v>48</v>
      </c>
      <c r="J44" s="105">
        <v>8</v>
      </c>
      <c r="K44" s="52"/>
    </row>
    <row r="45" spans="1:11" ht="15.75" customHeight="1" x14ac:dyDescent="0.25">
      <c r="A45" s="2">
        <v>32</v>
      </c>
      <c r="B45" s="2" t="s">
        <v>3886</v>
      </c>
      <c r="C45" s="52">
        <v>4</v>
      </c>
      <c r="D45" s="52">
        <v>5</v>
      </c>
      <c r="E45" s="52">
        <v>4</v>
      </c>
      <c r="F45" s="52">
        <v>4</v>
      </c>
      <c r="G45" s="52">
        <v>4</v>
      </c>
      <c r="H45" s="52">
        <v>5</v>
      </c>
      <c r="I45" s="52">
        <v>26</v>
      </c>
      <c r="J45" s="105">
        <v>4.333333333333333</v>
      </c>
      <c r="K45" s="52"/>
    </row>
    <row r="46" spans="1:11" ht="15.75" customHeight="1" x14ac:dyDescent="0.25">
      <c r="A46" s="2">
        <v>33</v>
      </c>
      <c r="B46" s="2" t="s">
        <v>3887</v>
      </c>
      <c r="C46" s="52">
        <v>6</v>
      </c>
      <c r="D46" s="52">
        <v>7</v>
      </c>
      <c r="E46" s="52">
        <v>5</v>
      </c>
      <c r="F46" s="52">
        <v>5</v>
      </c>
      <c r="G46" s="52">
        <v>5</v>
      </c>
      <c r="H46" s="52">
        <v>6</v>
      </c>
      <c r="I46" s="52">
        <v>34</v>
      </c>
      <c r="J46" s="105">
        <v>5.666666666666667</v>
      </c>
      <c r="K46" s="52"/>
    </row>
    <row r="47" spans="1:11" ht="15.75" customHeight="1" x14ac:dyDescent="0.25">
      <c r="A47" s="2">
        <v>34</v>
      </c>
      <c r="B47" s="2" t="s">
        <v>3888</v>
      </c>
      <c r="C47" s="52">
        <v>8</v>
      </c>
      <c r="D47" s="52">
        <v>10</v>
      </c>
      <c r="E47" s="52">
        <v>7</v>
      </c>
      <c r="F47" s="52">
        <v>8</v>
      </c>
      <c r="G47" s="52">
        <v>7</v>
      </c>
      <c r="H47" s="52">
        <v>8</v>
      </c>
      <c r="I47" s="52">
        <v>48</v>
      </c>
      <c r="J47" s="105">
        <v>8</v>
      </c>
      <c r="K47" s="52"/>
    </row>
    <row r="48" spans="1:11" ht="15.75" customHeight="1" x14ac:dyDescent="0.25">
      <c r="A48" s="2">
        <v>35</v>
      </c>
      <c r="B48" s="2" t="s">
        <v>3889</v>
      </c>
      <c r="C48" s="52">
        <v>7</v>
      </c>
      <c r="D48" s="52">
        <v>4</v>
      </c>
      <c r="E48" s="52">
        <v>4</v>
      </c>
      <c r="F48" s="52">
        <v>6</v>
      </c>
      <c r="G48" s="52">
        <v>6</v>
      </c>
      <c r="H48" s="52">
        <v>3</v>
      </c>
      <c r="I48" s="52">
        <v>30</v>
      </c>
      <c r="J48" s="105">
        <v>5</v>
      </c>
      <c r="K48" s="52"/>
    </row>
    <row r="49" spans="1:11" ht="15.75" customHeight="1" x14ac:dyDescent="0.25">
      <c r="A49" s="2">
        <v>36</v>
      </c>
      <c r="B49" s="2" t="s">
        <v>3890</v>
      </c>
      <c r="C49" s="52">
        <v>9</v>
      </c>
      <c r="D49" s="52">
        <v>7</v>
      </c>
      <c r="E49" s="52">
        <v>7</v>
      </c>
      <c r="F49" s="52">
        <v>9</v>
      </c>
      <c r="G49" s="52">
        <v>9</v>
      </c>
      <c r="H49" s="52">
        <v>6</v>
      </c>
      <c r="I49" s="52">
        <v>47</v>
      </c>
      <c r="J49" s="105">
        <v>7.833333333333333</v>
      </c>
      <c r="K49" s="52"/>
    </row>
    <row r="50" spans="1:11" ht="15.75" customHeight="1" x14ac:dyDescent="0.25">
      <c r="A50" s="2">
        <v>37</v>
      </c>
      <c r="B50" s="2" t="s">
        <v>3891</v>
      </c>
      <c r="C50" s="52">
        <v>3</v>
      </c>
      <c r="D50" s="52">
        <v>4</v>
      </c>
      <c r="E50" s="52">
        <v>4</v>
      </c>
      <c r="F50" s="52">
        <v>5</v>
      </c>
      <c r="G50" s="52">
        <v>6</v>
      </c>
      <c r="H50" s="52">
        <v>6</v>
      </c>
      <c r="I50" s="52">
        <v>28</v>
      </c>
      <c r="J50" s="105">
        <v>4.666666666666667</v>
      </c>
      <c r="K50" s="52"/>
    </row>
    <row r="51" spans="1:11" ht="15.75" customHeight="1" x14ac:dyDescent="0.25">
      <c r="A51" s="2">
        <v>37</v>
      </c>
      <c r="B51" s="2" t="s">
        <v>3892</v>
      </c>
      <c r="C51" s="52">
        <v>3</v>
      </c>
      <c r="D51" s="52">
        <v>4</v>
      </c>
      <c r="E51" s="52">
        <v>4</v>
      </c>
      <c r="F51" s="52">
        <v>5</v>
      </c>
      <c r="G51" s="52">
        <v>6</v>
      </c>
      <c r="H51" s="52">
        <v>6</v>
      </c>
      <c r="I51" s="52">
        <v>28</v>
      </c>
      <c r="J51" s="105">
        <v>4.666666666666667</v>
      </c>
      <c r="K51" s="52"/>
    </row>
    <row r="52" spans="1:11" ht="15.75" customHeight="1" x14ac:dyDescent="0.25">
      <c r="A52" s="2">
        <v>38</v>
      </c>
      <c r="B52" s="2" t="s">
        <v>3893</v>
      </c>
      <c r="C52" s="52">
        <v>7</v>
      </c>
      <c r="D52" s="52">
        <v>7</v>
      </c>
      <c r="E52" s="52">
        <v>7</v>
      </c>
      <c r="F52" s="52">
        <v>8</v>
      </c>
      <c r="G52" s="52">
        <v>10</v>
      </c>
      <c r="H52" s="52">
        <v>10</v>
      </c>
      <c r="I52" s="52">
        <v>49</v>
      </c>
      <c r="J52" s="105">
        <v>8.1666666666666661</v>
      </c>
      <c r="K52" s="52"/>
    </row>
    <row r="53" spans="1:11" ht="15.75" customHeight="1" x14ac:dyDescent="0.25">
      <c r="A53" s="2">
        <v>38</v>
      </c>
      <c r="B53" s="2" t="s">
        <v>3894</v>
      </c>
      <c r="C53" s="52">
        <v>7</v>
      </c>
      <c r="D53" s="52">
        <v>6</v>
      </c>
      <c r="E53" s="52">
        <v>7</v>
      </c>
      <c r="F53" s="52">
        <v>8</v>
      </c>
      <c r="G53" s="52">
        <v>10</v>
      </c>
      <c r="H53" s="52">
        <v>10</v>
      </c>
      <c r="I53" s="52">
        <v>48</v>
      </c>
      <c r="J53" s="105">
        <v>8</v>
      </c>
      <c r="K53" s="52"/>
    </row>
    <row r="54" spans="1:11" ht="15.75" customHeight="1" x14ac:dyDescent="0.25">
      <c r="A54" s="2">
        <v>39</v>
      </c>
      <c r="B54" s="2" t="s">
        <v>3895</v>
      </c>
      <c r="C54" s="52">
        <v>11</v>
      </c>
      <c r="D54" s="52">
        <v>4</v>
      </c>
      <c r="E54" s="52">
        <v>2</v>
      </c>
      <c r="F54" s="52">
        <v>4</v>
      </c>
      <c r="G54" s="52">
        <v>2</v>
      </c>
      <c r="H54" s="52">
        <v>2</v>
      </c>
      <c r="I54" s="52">
        <v>25</v>
      </c>
      <c r="J54" s="105">
        <v>4.166666666666667</v>
      </c>
      <c r="K54" s="52"/>
    </row>
    <row r="55" spans="1:11" ht="15.75" customHeight="1" x14ac:dyDescent="0.25">
      <c r="A55" s="2">
        <v>40</v>
      </c>
      <c r="B55" s="2" t="s">
        <v>3896</v>
      </c>
      <c r="C55" s="52">
        <v>14</v>
      </c>
      <c r="D55" s="52">
        <v>7</v>
      </c>
      <c r="E55" s="52">
        <v>4</v>
      </c>
      <c r="F55" s="52">
        <v>8</v>
      </c>
      <c r="G55" s="52">
        <v>5</v>
      </c>
      <c r="H55" s="52">
        <v>4</v>
      </c>
      <c r="I55" s="52">
        <v>42</v>
      </c>
      <c r="J55" s="105">
        <v>7</v>
      </c>
      <c r="K55" s="52"/>
    </row>
    <row r="56" spans="1:11" ht="15.75" customHeight="1" x14ac:dyDescent="0.25">
      <c r="A56" s="2">
        <v>41</v>
      </c>
      <c r="B56" s="2" t="s">
        <v>3897</v>
      </c>
      <c r="C56" s="52">
        <v>4</v>
      </c>
      <c r="D56" s="52">
        <v>4</v>
      </c>
      <c r="E56" s="52">
        <v>3</v>
      </c>
      <c r="F56" s="52">
        <v>3</v>
      </c>
      <c r="G56" s="52">
        <v>4</v>
      </c>
      <c r="H56" s="52">
        <v>5</v>
      </c>
      <c r="I56" s="52">
        <v>23</v>
      </c>
      <c r="J56" s="105">
        <v>3.8333333333333335</v>
      </c>
      <c r="K56" s="52"/>
    </row>
    <row r="57" spans="1:11" ht="15.75" customHeight="1" x14ac:dyDescent="0.25">
      <c r="A57" s="2">
        <v>42</v>
      </c>
      <c r="B57" s="2" t="s">
        <v>3898</v>
      </c>
      <c r="C57" s="52">
        <v>7</v>
      </c>
      <c r="D57" s="52">
        <v>8</v>
      </c>
      <c r="E57" s="52">
        <v>7</v>
      </c>
      <c r="F57" s="52">
        <v>6</v>
      </c>
      <c r="G57" s="52">
        <v>7</v>
      </c>
      <c r="H57" s="52">
        <v>9</v>
      </c>
      <c r="I57" s="52">
        <v>44</v>
      </c>
      <c r="J57" s="105">
        <v>7.333333333333333</v>
      </c>
      <c r="K57" s="52"/>
    </row>
    <row r="58" spans="1:11" ht="15.75" customHeight="1" x14ac:dyDescent="0.25">
      <c r="A58" s="2">
        <v>43</v>
      </c>
      <c r="B58" s="2" t="s">
        <v>3899</v>
      </c>
      <c r="C58" s="52">
        <v>4</v>
      </c>
      <c r="D58" s="52">
        <v>5</v>
      </c>
      <c r="E58" s="52">
        <v>5</v>
      </c>
      <c r="F58" s="52">
        <v>7</v>
      </c>
      <c r="G58" s="52">
        <v>6</v>
      </c>
      <c r="H58" s="52">
        <v>3</v>
      </c>
      <c r="I58" s="52">
        <v>30</v>
      </c>
      <c r="J58" s="105">
        <v>5</v>
      </c>
      <c r="K58" s="52"/>
    </row>
    <row r="59" spans="1:11" ht="15.75" customHeight="1" x14ac:dyDescent="0.25">
      <c r="A59" s="2">
        <v>44</v>
      </c>
      <c r="B59" s="2" t="s">
        <v>3900</v>
      </c>
      <c r="C59" s="52">
        <v>6</v>
      </c>
      <c r="D59" s="52">
        <v>6</v>
      </c>
      <c r="E59" s="52">
        <v>7</v>
      </c>
      <c r="F59" s="52">
        <v>8</v>
      </c>
      <c r="G59" s="52">
        <v>7</v>
      </c>
      <c r="H59" s="52">
        <v>4</v>
      </c>
      <c r="I59" s="52">
        <v>38</v>
      </c>
      <c r="J59" s="105">
        <v>6.333333333333333</v>
      </c>
      <c r="K59" s="52"/>
    </row>
    <row r="60" spans="1:11" ht="15.75" customHeight="1" x14ac:dyDescent="0.25">
      <c r="A60" s="2">
        <v>45</v>
      </c>
      <c r="B60" s="2" t="s">
        <v>3901</v>
      </c>
      <c r="C60" s="52">
        <v>7</v>
      </c>
      <c r="D60" s="52">
        <v>8</v>
      </c>
      <c r="E60" s="52">
        <v>8</v>
      </c>
      <c r="F60" s="52">
        <v>11</v>
      </c>
      <c r="G60" s="52">
        <v>9</v>
      </c>
      <c r="H60" s="52">
        <v>5</v>
      </c>
      <c r="I60" s="52">
        <v>48</v>
      </c>
      <c r="J60" s="105">
        <v>8</v>
      </c>
      <c r="K60" s="52"/>
    </row>
    <row r="61" spans="1:11" ht="15.75" customHeight="1" x14ac:dyDescent="0.25">
      <c r="A61" s="2">
        <v>46</v>
      </c>
      <c r="B61" s="2" t="s">
        <v>3902</v>
      </c>
      <c r="C61" s="52">
        <v>3</v>
      </c>
      <c r="D61" s="52">
        <v>7</v>
      </c>
      <c r="E61" s="52">
        <v>5</v>
      </c>
      <c r="F61" s="52">
        <v>4</v>
      </c>
      <c r="G61" s="52">
        <v>5</v>
      </c>
      <c r="H61" s="52">
        <v>2</v>
      </c>
      <c r="I61" s="52">
        <v>26</v>
      </c>
      <c r="J61" s="105">
        <v>4.333333333333333</v>
      </c>
      <c r="K61" s="52"/>
    </row>
    <row r="62" spans="1:11" ht="15.75" customHeight="1" x14ac:dyDescent="0.25">
      <c r="A62" s="2">
        <v>47</v>
      </c>
      <c r="B62" s="2" t="s">
        <v>3903</v>
      </c>
      <c r="C62" s="52">
        <v>6</v>
      </c>
      <c r="D62" s="52">
        <v>9</v>
      </c>
      <c r="E62" s="52">
        <v>8</v>
      </c>
      <c r="F62" s="52">
        <v>6</v>
      </c>
      <c r="G62" s="52">
        <v>8</v>
      </c>
      <c r="H62" s="52">
        <v>3</v>
      </c>
      <c r="I62" s="52">
        <v>40</v>
      </c>
      <c r="J62" s="105">
        <v>6.666666666666667</v>
      </c>
      <c r="K62" s="52"/>
    </row>
    <row r="63" spans="1:11" ht="15.75" customHeight="1" x14ac:dyDescent="0.25">
      <c r="A63" s="2">
        <v>48</v>
      </c>
      <c r="B63" s="2" t="s">
        <v>3904</v>
      </c>
      <c r="C63" s="52">
        <v>6</v>
      </c>
      <c r="D63" s="52">
        <v>5</v>
      </c>
      <c r="E63" s="52">
        <v>5</v>
      </c>
      <c r="F63" s="52">
        <v>4</v>
      </c>
      <c r="G63" s="52">
        <v>5</v>
      </c>
      <c r="H63" s="52">
        <v>4</v>
      </c>
      <c r="I63" s="52">
        <v>29</v>
      </c>
      <c r="J63" s="105">
        <v>4.833333333333333</v>
      </c>
      <c r="K63" s="52"/>
    </row>
    <row r="64" spans="1:11" ht="15.75" customHeight="1" x14ac:dyDescent="0.25">
      <c r="A64" s="2">
        <v>49</v>
      </c>
      <c r="B64" s="2" t="s">
        <v>3905</v>
      </c>
      <c r="C64" s="52">
        <v>7</v>
      </c>
      <c r="D64" s="52">
        <v>6</v>
      </c>
      <c r="E64" s="52">
        <v>6</v>
      </c>
      <c r="F64" s="52">
        <v>9</v>
      </c>
      <c r="G64" s="52">
        <v>7</v>
      </c>
      <c r="H64" s="52">
        <v>9</v>
      </c>
      <c r="I64" s="52">
        <v>44</v>
      </c>
      <c r="J64" s="105">
        <v>7.333333333333333</v>
      </c>
      <c r="K64" s="52"/>
    </row>
    <row r="65" spans="1:11" ht="15.75" customHeight="1" x14ac:dyDescent="0.25">
      <c r="A65" s="2">
        <v>50</v>
      </c>
      <c r="B65" s="2" t="s">
        <v>3906</v>
      </c>
      <c r="C65" s="52">
        <v>1</v>
      </c>
      <c r="D65" s="52">
        <v>5</v>
      </c>
      <c r="E65" s="52">
        <v>2</v>
      </c>
      <c r="F65" s="52">
        <v>3</v>
      </c>
      <c r="G65" s="52">
        <v>4</v>
      </c>
      <c r="H65" s="52">
        <v>9</v>
      </c>
      <c r="I65" s="52">
        <v>24</v>
      </c>
      <c r="J65" s="105">
        <v>4</v>
      </c>
      <c r="K65" s="52"/>
    </row>
    <row r="66" spans="1:11" ht="15.75" customHeight="1" x14ac:dyDescent="0.25">
      <c r="A66" s="2">
        <v>50</v>
      </c>
      <c r="B66" s="2" t="s">
        <v>3907</v>
      </c>
      <c r="C66" s="52">
        <v>1</v>
      </c>
      <c r="D66" s="52">
        <v>5</v>
      </c>
      <c r="E66" s="52">
        <v>3</v>
      </c>
      <c r="F66" s="52">
        <v>3</v>
      </c>
      <c r="G66" s="52">
        <v>4</v>
      </c>
      <c r="H66" s="52">
        <v>9</v>
      </c>
      <c r="I66" s="52">
        <v>25</v>
      </c>
      <c r="J66" s="105">
        <v>4.166666666666667</v>
      </c>
      <c r="K66" s="52"/>
    </row>
    <row r="67" spans="1:11" ht="15.75" customHeight="1" x14ac:dyDescent="0.25">
      <c r="A67" s="2">
        <v>51</v>
      </c>
      <c r="B67" s="2" t="s">
        <v>3908</v>
      </c>
      <c r="C67" s="52">
        <v>3</v>
      </c>
      <c r="D67" s="52">
        <v>10</v>
      </c>
      <c r="E67" s="52">
        <v>5</v>
      </c>
      <c r="F67" s="52">
        <v>5</v>
      </c>
      <c r="G67" s="52">
        <v>7</v>
      </c>
      <c r="H67" s="52">
        <v>12</v>
      </c>
      <c r="I67" s="52">
        <v>42</v>
      </c>
      <c r="J67" s="105">
        <v>7</v>
      </c>
      <c r="K67" s="52"/>
    </row>
    <row r="68" spans="1:11" ht="15.75" customHeight="1" x14ac:dyDescent="0.25">
      <c r="A68" s="2">
        <v>51</v>
      </c>
      <c r="B68" s="2" t="s">
        <v>3909</v>
      </c>
      <c r="C68" s="52">
        <v>3</v>
      </c>
      <c r="D68" s="52">
        <v>10</v>
      </c>
      <c r="E68" s="52">
        <v>6</v>
      </c>
      <c r="F68" s="52">
        <v>5</v>
      </c>
      <c r="G68" s="52">
        <v>7</v>
      </c>
      <c r="H68" s="52">
        <v>11</v>
      </c>
      <c r="I68" s="52">
        <v>42</v>
      </c>
      <c r="J68" s="105">
        <v>7</v>
      </c>
      <c r="K68" s="52"/>
    </row>
    <row r="69" spans="1:11" ht="15.75" customHeight="1" x14ac:dyDescent="0.25">
      <c r="A69" s="2">
        <v>52</v>
      </c>
      <c r="B69" s="2" t="s">
        <v>3910</v>
      </c>
      <c r="C69" s="52">
        <v>4</v>
      </c>
      <c r="D69" s="52">
        <v>4</v>
      </c>
      <c r="E69" s="52">
        <v>3</v>
      </c>
      <c r="F69" s="52">
        <v>4</v>
      </c>
      <c r="G69" s="52">
        <v>4</v>
      </c>
      <c r="H69" s="52">
        <v>9</v>
      </c>
      <c r="I69" s="52">
        <v>28</v>
      </c>
      <c r="J69" s="105">
        <v>4.666666666666667</v>
      </c>
      <c r="K69" s="52"/>
    </row>
    <row r="70" spans="1:11" ht="15.75" customHeight="1" x14ac:dyDescent="0.25">
      <c r="A70" s="2">
        <v>52</v>
      </c>
      <c r="B70" s="2" t="s">
        <v>3911</v>
      </c>
      <c r="C70" s="52">
        <v>4</v>
      </c>
      <c r="D70" s="52">
        <v>3</v>
      </c>
      <c r="E70" s="52">
        <v>3</v>
      </c>
      <c r="F70" s="52">
        <v>5</v>
      </c>
      <c r="G70" s="52">
        <v>4</v>
      </c>
      <c r="H70" s="52">
        <v>9</v>
      </c>
      <c r="I70" s="52">
        <v>28</v>
      </c>
      <c r="J70" s="105">
        <v>4.666666666666667</v>
      </c>
      <c r="K70" s="52"/>
    </row>
    <row r="71" spans="1:11" ht="15.75" customHeight="1" x14ac:dyDescent="0.25">
      <c r="A71" s="2">
        <v>52</v>
      </c>
      <c r="B71" s="2" t="s">
        <v>3912</v>
      </c>
      <c r="C71" s="52">
        <v>5</v>
      </c>
      <c r="D71" s="52">
        <v>6</v>
      </c>
      <c r="E71" s="52">
        <v>5</v>
      </c>
      <c r="F71" s="52">
        <v>4</v>
      </c>
      <c r="G71" s="52">
        <v>4</v>
      </c>
      <c r="H71" s="52">
        <v>4</v>
      </c>
      <c r="I71" s="52">
        <v>28</v>
      </c>
      <c r="J71" s="105">
        <v>4.666666666666667</v>
      </c>
      <c r="K71" s="52"/>
    </row>
    <row r="72" spans="1:11" ht="15.75" customHeight="1" x14ac:dyDescent="0.25">
      <c r="A72" s="2">
        <v>53</v>
      </c>
      <c r="B72" s="2" t="s">
        <v>3913</v>
      </c>
      <c r="C72" s="52">
        <v>6</v>
      </c>
      <c r="D72" s="52">
        <v>7</v>
      </c>
      <c r="E72" s="52">
        <v>6</v>
      </c>
      <c r="F72" s="52">
        <v>6</v>
      </c>
      <c r="G72" s="52">
        <v>6</v>
      </c>
      <c r="H72" s="52">
        <v>11</v>
      </c>
      <c r="I72" s="52">
        <v>42</v>
      </c>
      <c r="J72" s="105">
        <v>7</v>
      </c>
      <c r="K72" s="52"/>
    </row>
    <row r="73" spans="1:11" ht="15.75" customHeight="1" x14ac:dyDescent="0.25">
      <c r="A73" s="2">
        <v>53</v>
      </c>
      <c r="B73" s="2" t="s">
        <v>3914</v>
      </c>
      <c r="C73" s="52">
        <v>6</v>
      </c>
      <c r="D73" s="52">
        <v>6</v>
      </c>
      <c r="E73" s="52">
        <v>6</v>
      </c>
      <c r="F73" s="52">
        <v>7</v>
      </c>
      <c r="G73" s="52">
        <v>6</v>
      </c>
      <c r="H73" s="52">
        <v>11</v>
      </c>
      <c r="I73" s="52">
        <v>42</v>
      </c>
      <c r="J73" s="105">
        <v>7</v>
      </c>
      <c r="K73" s="52"/>
    </row>
    <row r="74" spans="1:11" ht="15.75" customHeight="1" x14ac:dyDescent="0.25">
      <c r="A74" s="2">
        <v>54</v>
      </c>
      <c r="B74" s="2" t="s">
        <v>3915</v>
      </c>
      <c r="C74" s="52">
        <v>5</v>
      </c>
      <c r="D74" s="52">
        <v>5</v>
      </c>
      <c r="E74" s="52">
        <v>4</v>
      </c>
      <c r="F74" s="52">
        <v>6</v>
      </c>
      <c r="G74" s="52">
        <v>5</v>
      </c>
      <c r="H74" s="52">
        <v>5</v>
      </c>
      <c r="I74" s="52">
        <v>30</v>
      </c>
      <c r="J74" s="105">
        <v>5</v>
      </c>
      <c r="K74" s="52"/>
    </row>
    <row r="75" spans="1:11" ht="15.75" customHeight="1" x14ac:dyDescent="0.25">
      <c r="A75" s="2">
        <v>55</v>
      </c>
      <c r="B75" s="2" t="s">
        <v>3916</v>
      </c>
      <c r="C75" s="52">
        <v>8</v>
      </c>
      <c r="D75" s="52">
        <v>8</v>
      </c>
      <c r="E75" s="52">
        <v>7</v>
      </c>
      <c r="F75" s="52">
        <v>9</v>
      </c>
      <c r="G75" s="52">
        <v>8</v>
      </c>
      <c r="H75" s="52">
        <v>8</v>
      </c>
      <c r="I75" s="52">
        <v>48</v>
      </c>
      <c r="J75" s="105">
        <v>8</v>
      </c>
      <c r="K75" s="52"/>
    </row>
    <row r="76" spans="1:11" ht="15.75" customHeight="1" x14ac:dyDescent="0.25">
      <c r="A76" s="2">
        <v>56</v>
      </c>
      <c r="B76" s="2" t="s">
        <v>3917</v>
      </c>
      <c r="C76" s="52">
        <v>4</v>
      </c>
      <c r="D76" s="52">
        <v>8</v>
      </c>
      <c r="E76" s="52">
        <v>3</v>
      </c>
      <c r="F76" s="52">
        <v>3</v>
      </c>
      <c r="G76" s="52">
        <v>4</v>
      </c>
      <c r="H76" s="52">
        <v>7</v>
      </c>
      <c r="I76" s="52">
        <v>29</v>
      </c>
      <c r="J76" s="105">
        <v>4.833333333333333</v>
      </c>
      <c r="K76" s="52"/>
    </row>
    <row r="77" spans="1:11" ht="15.75" customHeight="1" x14ac:dyDescent="0.25">
      <c r="A77" s="2">
        <v>57</v>
      </c>
      <c r="B77" s="2" t="s">
        <v>3918</v>
      </c>
      <c r="C77" s="52">
        <v>6</v>
      </c>
      <c r="D77" s="52">
        <v>10</v>
      </c>
      <c r="E77" s="52">
        <v>6</v>
      </c>
      <c r="F77" s="52">
        <v>6</v>
      </c>
      <c r="G77" s="52">
        <v>7</v>
      </c>
      <c r="H77" s="52">
        <v>9</v>
      </c>
      <c r="I77" s="52">
        <v>44</v>
      </c>
      <c r="J77" s="105">
        <v>7.333333333333333</v>
      </c>
      <c r="K77" s="52"/>
    </row>
    <row r="78" spans="1:11" ht="15.75" customHeight="1" x14ac:dyDescent="0.25">
      <c r="A78" s="2">
        <v>58</v>
      </c>
      <c r="B78" s="2" t="s">
        <v>3919</v>
      </c>
      <c r="C78" s="52">
        <v>5</v>
      </c>
      <c r="D78" s="52">
        <v>7</v>
      </c>
      <c r="E78" s="52">
        <v>4</v>
      </c>
      <c r="F78" s="52">
        <v>7</v>
      </c>
      <c r="G78" s="52">
        <v>5</v>
      </c>
      <c r="H78" s="52">
        <v>6</v>
      </c>
      <c r="I78" s="52">
        <v>34</v>
      </c>
      <c r="J78" s="105">
        <v>5.666666666666667</v>
      </c>
      <c r="K78" s="52"/>
    </row>
    <row r="79" spans="1:11" ht="15.75" customHeight="1" x14ac:dyDescent="0.25">
      <c r="A79" s="2">
        <v>59</v>
      </c>
      <c r="B79" s="2" t="s">
        <v>3920</v>
      </c>
      <c r="C79" s="52">
        <v>9</v>
      </c>
      <c r="D79" s="52">
        <v>11</v>
      </c>
      <c r="E79" s="52">
        <v>8</v>
      </c>
      <c r="F79" s="52">
        <v>10</v>
      </c>
      <c r="G79" s="52">
        <v>8</v>
      </c>
      <c r="H79" s="52">
        <v>9</v>
      </c>
      <c r="I79" s="52">
        <v>55</v>
      </c>
      <c r="J79" s="105">
        <v>9.1666666666666661</v>
      </c>
      <c r="K79" s="52"/>
    </row>
    <row r="80" spans="1:11" ht="15.75" customHeight="1" x14ac:dyDescent="0.25">
      <c r="A80" s="2">
        <v>60</v>
      </c>
      <c r="B80" s="2" t="s">
        <v>3921</v>
      </c>
      <c r="C80" s="52">
        <v>4</v>
      </c>
      <c r="D80" s="52">
        <v>5</v>
      </c>
      <c r="E80" s="52">
        <v>4</v>
      </c>
      <c r="F80" s="52">
        <v>4</v>
      </c>
      <c r="G80" s="52">
        <v>4</v>
      </c>
      <c r="H80" s="52">
        <v>9</v>
      </c>
      <c r="I80" s="52">
        <v>30</v>
      </c>
      <c r="J80" s="105">
        <v>5</v>
      </c>
      <c r="K80" s="52"/>
    </row>
    <row r="81" spans="1:11" ht="15.75" customHeight="1" x14ac:dyDescent="0.25">
      <c r="A81" s="2">
        <v>61</v>
      </c>
      <c r="B81" s="2" t="s">
        <v>3922</v>
      </c>
      <c r="C81" s="52">
        <v>6</v>
      </c>
      <c r="D81" s="52">
        <v>6</v>
      </c>
      <c r="E81" s="52">
        <v>6</v>
      </c>
      <c r="F81" s="52">
        <v>5</v>
      </c>
      <c r="G81" s="52">
        <v>5</v>
      </c>
      <c r="H81" s="52">
        <v>9</v>
      </c>
      <c r="I81" s="52">
        <v>37</v>
      </c>
      <c r="J81" s="105">
        <v>6.166666666666667</v>
      </c>
      <c r="K81" s="52"/>
    </row>
    <row r="82" spans="1:11" ht="15.75" customHeight="1" x14ac:dyDescent="0.25">
      <c r="A82" s="2">
        <v>62</v>
      </c>
      <c r="B82" s="2" t="s">
        <v>3923</v>
      </c>
      <c r="C82" s="52">
        <v>9</v>
      </c>
      <c r="D82" s="52">
        <v>9</v>
      </c>
      <c r="E82" s="52">
        <v>9</v>
      </c>
      <c r="F82" s="52">
        <v>7</v>
      </c>
      <c r="G82" s="52">
        <v>9</v>
      </c>
      <c r="H82" s="52">
        <v>7</v>
      </c>
      <c r="I82" s="52">
        <v>50</v>
      </c>
      <c r="J82" s="105">
        <v>8.3333333333333339</v>
      </c>
      <c r="K82" s="52"/>
    </row>
    <row r="83" spans="1:11" ht="15.75" customHeight="1" x14ac:dyDescent="0.25">
      <c r="A83" s="2">
        <v>63</v>
      </c>
      <c r="B83" s="2" t="s">
        <v>3924</v>
      </c>
      <c r="C83" s="52">
        <v>2</v>
      </c>
      <c r="D83" s="52">
        <v>2</v>
      </c>
      <c r="E83" s="52">
        <v>1</v>
      </c>
      <c r="F83" s="52">
        <v>10</v>
      </c>
      <c r="G83" s="52">
        <v>5</v>
      </c>
      <c r="H83" s="52">
        <v>9</v>
      </c>
      <c r="I83" s="52">
        <v>29</v>
      </c>
      <c r="J83" s="105">
        <v>4.833333333333333</v>
      </c>
      <c r="K83" s="52"/>
    </row>
    <row r="84" spans="1:11" ht="15.75" customHeight="1" x14ac:dyDescent="0.25">
      <c r="A84" s="2">
        <v>64</v>
      </c>
      <c r="B84" s="2" t="s">
        <v>3925</v>
      </c>
      <c r="C84" s="52">
        <v>4</v>
      </c>
      <c r="D84" s="52">
        <v>3</v>
      </c>
      <c r="E84" s="52">
        <v>3</v>
      </c>
      <c r="F84" s="52">
        <v>12</v>
      </c>
      <c r="G84" s="52">
        <v>7</v>
      </c>
      <c r="H84" s="52">
        <v>10</v>
      </c>
      <c r="I84" s="52">
        <v>39</v>
      </c>
      <c r="J84" s="105">
        <v>6.5</v>
      </c>
      <c r="K84" s="52"/>
    </row>
    <row r="85" spans="1:11" ht="15.75" customHeight="1" x14ac:dyDescent="0.25">
      <c r="A85" s="2">
        <v>65</v>
      </c>
      <c r="B85" s="2" t="s">
        <v>3926</v>
      </c>
      <c r="C85" s="52">
        <v>5</v>
      </c>
      <c r="D85" s="52">
        <v>5</v>
      </c>
      <c r="E85" s="52">
        <v>4</v>
      </c>
      <c r="F85" s="52">
        <v>13</v>
      </c>
      <c r="G85" s="52">
        <v>9</v>
      </c>
      <c r="H85" s="52">
        <v>12</v>
      </c>
      <c r="I85" s="52">
        <v>48</v>
      </c>
      <c r="J85" s="105">
        <v>8</v>
      </c>
      <c r="K85" s="52"/>
    </row>
    <row r="86" spans="1:11" ht="15.75" customHeight="1" x14ac:dyDescent="0.25">
      <c r="A86" s="2">
        <v>65</v>
      </c>
      <c r="B86" s="2" t="s">
        <v>3927</v>
      </c>
      <c r="C86" s="52">
        <v>5</v>
      </c>
      <c r="D86" s="52">
        <v>5</v>
      </c>
      <c r="E86" s="52">
        <v>6</v>
      </c>
      <c r="F86" s="52">
        <v>17</v>
      </c>
      <c r="G86" s="52">
        <v>10</v>
      </c>
      <c r="H86" s="52">
        <v>15</v>
      </c>
      <c r="I86" s="52">
        <v>58</v>
      </c>
      <c r="J86" s="105">
        <v>9.6666666666666661</v>
      </c>
      <c r="K86" s="52"/>
    </row>
    <row r="87" spans="1:11" ht="15.75" customHeight="1" x14ac:dyDescent="0.25">
      <c r="A87" s="2">
        <v>66</v>
      </c>
      <c r="B87" s="2" t="s">
        <v>3928</v>
      </c>
      <c r="C87" s="52">
        <v>7</v>
      </c>
      <c r="D87" s="52">
        <v>8</v>
      </c>
      <c r="E87" s="52">
        <v>5</v>
      </c>
      <c r="F87" s="52">
        <v>3</v>
      </c>
      <c r="G87" s="52">
        <v>3</v>
      </c>
      <c r="H87" s="52">
        <v>3</v>
      </c>
      <c r="I87" s="52">
        <v>29</v>
      </c>
      <c r="J87" s="105">
        <v>4.833333333333333</v>
      </c>
      <c r="K87" s="52"/>
    </row>
    <row r="88" spans="1:11" ht="15.75" customHeight="1" x14ac:dyDescent="0.25">
      <c r="A88" s="2">
        <v>67</v>
      </c>
      <c r="B88" s="2" t="s">
        <v>3929</v>
      </c>
      <c r="C88" s="52">
        <v>8</v>
      </c>
      <c r="D88" s="52">
        <v>10</v>
      </c>
      <c r="E88" s="52">
        <v>7</v>
      </c>
      <c r="F88" s="52">
        <v>5</v>
      </c>
      <c r="G88" s="52">
        <v>6</v>
      </c>
      <c r="H88" s="52">
        <v>4</v>
      </c>
      <c r="I88" s="52">
        <v>40</v>
      </c>
      <c r="J88" s="105">
        <v>6.666666666666667</v>
      </c>
      <c r="K88" s="52"/>
    </row>
    <row r="89" spans="1:11" ht="15.75" customHeight="1" x14ac:dyDescent="0.25">
      <c r="A89" s="2">
        <v>68</v>
      </c>
      <c r="B89" s="2" t="s">
        <v>3930</v>
      </c>
      <c r="C89" s="52">
        <v>9</v>
      </c>
      <c r="D89" s="52">
        <v>13</v>
      </c>
      <c r="E89" s="52">
        <v>8</v>
      </c>
      <c r="F89" s="52">
        <v>6</v>
      </c>
      <c r="G89" s="52">
        <v>8</v>
      </c>
      <c r="H89" s="52">
        <v>5</v>
      </c>
      <c r="I89" s="52">
        <v>49</v>
      </c>
      <c r="J89" s="105">
        <v>8.1666666666666661</v>
      </c>
      <c r="K89" s="52"/>
    </row>
    <row r="90" spans="1:11" ht="15.75" customHeight="1" x14ac:dyDescent="0.25">
      <c r="A90" s="2">
        <v>69</v>
      </c>
      <c r="B90" s="2" t="s">
        <v>3931</v>
      </c>
      <c r="C90" s="52">
        <v>5</v>
      </c>
      <c r="D90" s="52">
        <v>7</v>
      </c>
      <c r="E90" s="52">
        <v>3</v>
      </c>
      <c r="F90" s="52">
        <v>7</v>
      </c>
      <c r="G90" s="52">
        <v>3</v>
      </c>
      <c r="H90" s="52">
        <v>4</v>
      </c>
      <c r="I90" s="52">
        <v>29</v>
      </c>
      <c r="J90" s="105">
        <v>4.833333333333333</v>
      </c>
      <c r="K90" s="52"/>
    </row>
    <row r="91" spans="1:11" ht="15.75" customHeight="1" x14ac:dyDescent="0.25">
      <c r="A91" s="2">
        <v>70</v>
      </c>
      <c r="B91" s="2" t="s">
        <v>3932</v>
      </c>
      <c r="C91" s="52">
        <v>6</v>
      </c>
      <c r="D91" s="52">
        <v>9</v>
      </c>
      <c r="E91" s="52">
        <v>5</v>
      </c>
      <c r="F91" s="52">
        <v>8</v>
      </c>
      <c r="G91" s="52">
        <v>4</v>
      </c>
      <c r="H91" s="52">
        <v>5</v>
      </c>
      <c r="I91" s="52">
        <v>37</v>
      </c>
      <c r="J91" s="105">
        <v>6.166666666666667</v>
      </c>
      <c r="K91" s="52"/>
    </row>
    <row r="92" spans="1:11" ht="15.75" customHeight="1" x14ac:dyDescent="0.25">
      <c r="A92" s="2">
        <v>71</v>
      </c>
      <c r="B92" s="2" t="s">
        <v>3933</v>
      </c>
      <c r="C92" s="52">
        <v>8</v>
      </c>
      <c r="D92" s="52">
        <v>10</v>
      </c>
      <c r="E92" s="52">
        <v>6</v>
      </c>
      <c r="F92" s="52">
        <v>10</v>
      </c>
      <c r="G92" s="52">
        <v>7</v>
      </c>
      <c r="H92" s="52">
        <v>7</v>
      </c>
      <c r="I92" s="52">
        <v>48</v>
      </c>
      <c r="J92" s="105">
        <v>8</v>
      </c>
      <c r="K92" s="52"/>
    </row>
    <row r="93" spans="1:11" ht="15.75" customHeight="1" x14ac:dyDescent="0.25">
      <c r="A93" s="2">
        <v>72</v>
      </c>
      <c r="B93" s="2" t="s">
        <v>3934</v>
      </c>
      <c r="C93" s="52">
        <v>4</v>
      </c>
      <c r="D93" s="52">
        <v>4</v>
      </c>
      <c r="E93" s="52">
        <v>3</v>
      </c>
      <c r="F93" s="52">
        <v>5</v>
      </c>
      <c r="G93" s="52">
        <v>10</v>
      </c>
      <c r="H93" s="52">
        <v>7</v>
      </c>
      <c r="I93" s="52">
        <v>33</v>
      </c>
      <c r="J93" s="105">
        <v>5.5</v>
      </c>
      <c r="K93" s="52"/>
    </row>
    <row r="94" spans="1:11" ht="15.75" customHeight="1" x14ac:dyDescent="0.25">
      <c r="A94" s="2">
        <v>73</v>
      </c>
      <c r="B94" s="2" t="s">
        <v>3935</v>
      </c>
      <c r="C94" s="52">
        <v>8</v>
      </c>
      <c r="D94" s="52">
        <v>7</v>
      </c>
      <c r="E94" s="52">
        <v>6</v>
      </c>
      <c r="F94" s="52">
        <v>8</v>
      </c>
      <c r="G94" s="52">
        <v>12</v>
      </c>
      <c r="H94" s="52">
        <v>10</v>
      </c>
      <c r="I94" s="52">
        <v>51</v>
      </c>
      <c r="J94" s="105">
        <v>8.5</v>
      </c>
      <c r="K94" s="52"/>
    </row>
    <row r="95" spans="1:11" ht="15.75" customHeight="1" x14ac:dyDescent="0.25">
      <c r="A95" s="2">
        <v>74</v>
      </c>
      <c r="B95" s="2" t="s">
        <v>3936</v>
      </c>
      <c r="C95" s="52">
        <v>4</v>
      </c>
      <c r="D95" s="52">
        <v>8</v>
      </c>
      <c r="E95" s="52">
        <v>10</v>
      </c>
      <c r="F95" s="52">
        <v>3</v>
      </c>
      <c r="G95" s="52">
        <v>3</v>
      </c>
      <c r="H95" s="52">
        <v>2</v>
      </c>
      <c r="I95" s="52">
        <v>30</v>
      </c>
      <c r="J95" s="105">
        <v>5</v>
      </c>
      <c r="K95" s="52"/>
    </row>
    <row r="96" spans="1:11" ht="15.75" customHeight="1" x14ac:dyDescent="0.25">
      <c r="A96" s="2">
        <v>74</v>
      </c>
      <c r="B96" s="2" t="s">
        <v>3937</v>
      </c>
      <c r="C96" s="52">
        <v>4</v>
      </c>
      <c r="D96" s="52">
        <v>8</v>
      </c>
      <c r="E96" s="52">
        <v>10</v>
      </c>
      <c r="F96" s="52">
        <v>3</v>
      </c>
      <c r="G96" s="52">
        <v>3</v>
      </c>
      <c r="H96" s="52">
        <v>2</v>
      </c>
      <c r="I96" s="52">
        <v>30</v>
      </c>
      <c r="J96" s="105">
        <v>5</v>
      </c>
      <c r="K96" s="52"/>
    </row>
    <row r="97" spans="1:11" ht="15.75" customHeight="1" x14ac:dyDescent="0.25">
      <c r="A97" s="2">
        <v>75</v>
      </c>
      <c r="B97" s="2" t="s">
        <v>3938</v>
      </c>
      <c r="C97" s="52">
        <v>5</v>
      </c>
      <c r="D97" s="52">
        <v>9</v>
      </c>
      <c r="E97" s="52">
        <v>11</v>
      </c>
      <c r="F97" s="52">
        <v>4</v>
      </c>
      <c r="G97" s="52">
        <v>4</v>
      </c>
      <c r="H97" s="52">
        <v>3</v>
      </c>
      <c r="I97" s="52">
        <v>36</v>
      </c>
      <c r="J97" s="105">
        <v>6</v>
      </c>
      <c r="K97" s="52"/>
    </row>
    <row r="98" spans="1:11" ht="15.75" customHeight="1" x14ac:dyDescent="0.25">
      <c r="A98" s="2">
        <v>75</v>
      </c>
      <c r="B98" s="2" t="s">
        <v>3939</v>
      </c>
      <c r="C98" s="52">
        <v>5</v>
      </c>
      <c r="D98" s="52">
        <v>9</v>
      </c>
      <c r="E98" s="52">
        <v>11</v>
      </c>
      <c r="F98" s="52">
        <v>4</v>
      </c>
      <c r="G98" s="52">
        <v>4</v>
      </c>
      <c r="H98" s="52">
        <v>3</v>
      </c>
      <c r="I98" s="52">
        <v>36</v>
      </c>
      <c r="J98" s="105">
        <v>6</v>
      </c>
      <c r="K98" s="52"/>
    </row>
    <row r="99" spans="1:11" ht="15.75" customHeight="1" x14ac:dyDescent="0.25">
      <c r="A99" s="2">
        <v>76</v>
      </c>
      <c r="B99" s="2" t="s">
        <v>3940</v>
      </c>
      <c r="C99" s="52">
        <v>8</v>
      </c>
      <c r="D99" s="52">
        <v>12</v>
      </c>
      <c r="E99" s="52">
        <v>13</v>
      </c>
      <c r="F99" s="52">
        <v>5</v>
      </c>
      <c r="G99" s="52">
        <v>6</v>
      </c>
      <c r="H99" s="52">
        <v>4</v>
      </c>
      <c r="I99" s="52">
        <v>48</v>
      </c>
      <c r="J99" s="105">
        <v>8</v>
      </c>
      <c r="K99" s="52"/>
    </row>
    <row r="100" spans="1:11" ht="15.75" customHeight="1" x14ac:dyDescent="0.25">
      <c r="A100" s="2">
        <v>76</v>
      </c>
      <c r="B100" s="2" t="s">
        <v>3941</v>
      </c>
      <c r="C100" s="52">
        <v>8</v>
      </c>
      <c r="D100" s="52">
        <v>12</v>
      </c>
      <c r="E100" s="52">
        <v>13</v>
      </c>
      <c r="F100" s="52">
        <v>5</v>
      </c>
      <c r="G100" s="52">
        <v>6</v>
      </c>
      <c r="H100" s="52">
        <v>4</v>
      </c>
      <c r="I100" s="52">
        <v>48</v>
      </c>
      <c r="J100" s="105">
        <v>8</v>
      </c>
      <c r="K100" s="52"/>
    </row>
    <row r="101" spans="1:11" ht="15.75" customHeight="1" x14ac:dyDescent="0.25">
      <c r="A101" s="2">
        <v>77</v>
      </c>
      <c r="B101" s="2" t="s">
        <v>3942</v>
      </c>
      <c r="C101" s="52">
        <v>5</v>
      </c>
      <c r="D101" s="52">
        <v>8</v>
      </c>
      <c r="E101" s="52">
        <v>5</v>
      </c>
      <c r="F101" s="52">
        <v>6</v>
      </c>
      <c r="G101" s="52">
        <v>6</v>
      </c>
      <c r="H101" s="52">
        <v>9</v>
      </c>
      <c r="I101" s="52">
        <v>39</v>
      </c>
      <c r="J101" s="105">
        <v>6.5</v>
      </c>
      <c r="K101" s="52"/>
    </row>
    <row r="102" spans="1:11" ht="15.75" customHeight="1" x14ac:dyDescent="0.25">
      <c r="A102" s="2">
        <v>77</v>
      </c>
      <c r="B102" s="2" t="s">
        <v>3943</v>
      </c>
      <c r="C102" s="52">
        <v>5</v>
      </c>
      <c r="D102" s="52">
        <v>8</v>
      </c>
      <c r="E102" s="52">
        <v>5</v>
      </c>
      <c r="F102" s="52">
        <v>6</v>
      </c>
      <c r="G102" s="52">
        <v>6</v>
      </c>
      <c r="H102" s="52">
        <v>9</v>
      </c>
      <c r="I102" s="52">
        <v>39</v>
      </c>
      <c r="J102" s="105">
        <v>6.5</v>
      </c>
      <c r="K102" s="52"/>
    </row>
    <row r="103" spans="1:11" ht="15.75" customHeight="1" x14ac:dyDescent="0.25">
      <c r="A103" s="2">
        <v>78</v>
      </c>
      <c r="B103" s="2" t="s">
        <v>3944</v>
      </c>
      <c r="C103" s="52">
        <v>6</v>
      </c>
      <c r="D103" s="52">
        <v>10</v>
      </c>
      <c r="E103" s="52">
        <v>7</v>
      </c>
      <c r="F103" s="52">
        <v>8</v>
      </c>
      <c r="G103" s="52">
        <v>8</v>
      </c>
      <c r="H103" s="52">
        <v>10</v>
      </c>
      <c r="I103" s="52">
        <v>49</v>
      </c>
      <c r="J103" s="105">
        <v>8.1666666666666661</v>
      </c>
      <c r="K103" s="52"/>
    </row>
    <row r="104" spans="1:11" ht="15.75" customHeight="1" x14ac:dyDescent="0.25">
      <c r="A104" s="2">
        <v>78</v>
      </c>
      <c r="B104" s="2" t="s">
        <v>3945</v>
      </c>
      <c r="C104" s="52">
        <v>6</v>
      </c>
      <c r="D104" s="52">
        <v>10</v>
      </c>
      <c r="E104" s="52">
        <v>7</v>
      </c>
      <c r="F104" s="52">
        <v>8</v>
      </c>
      <c r="G104" s="52">
        <v>8</v>
      </c>
      <c r="H104" s="52">
        <v>10</v>
      </c>
      <c r="I104" s="52">
        <v>49</v>
      </c>
      <c r="J104" s="105">
        <v>8.1666666666666661</v>
      </c>
      <c r="K104" s="52"/>
    </row>
    <row r="105" spans="1:11" ht="15.75" customHeight="1" x14ac:dyDescent="0.25">
      <c r="A105" s="2">
        <v>79</v>
      </c>
      <c r="B105" s="2" t="s">
        <v>3946</v>
      </c>
      <c r="C105" s="52">
        <v>9</v>
      </c>
      <c r="D105" s="52">
        <v>6</v>
      </c>
      <c r="E105" s="52">
        <v>6</v>
      </c>
      <c r="F105" s="52">
        <v>4</v>
      </c>
      <c r="G105" s="52">
        <v>4</v>
      </c>
      <c r="H105" s="52">
        <v>1</v>
      </c>
      <c r="I105" s="52">
        <v>30</v>
      </c>
      <c r="J105" s="105">
        <v>5</v>
      </c>
      <c r="K105" s="52"/>
    </row>
    <row r="106" spans="1:11" ht="15.75" customHeight="1" x14ac:dyDescent="0.25">
      <c r="A106" s="2">
        <v>79</v>
      </c>
      <c r="B106" s="2" t="s">
        <v>3947</v>
      </c>
      <c r="C106" s="52">
        <v>9</v>
      </c>
      <c r="D106" s="52">
        <v>6</v>
      </c>
      <c r="E106" s="52">
        <v>6</v>
      </c>
      <c r="F106" s="52">
        <v>4</v>
      </c>
      <c r="G106" s="52">
        <v>4</v>
      </c>
      <c r="H106" s="52">
        <v>1</v>
      </c>
      <c r="I106" s="52">
        <v>30</v>
      </c>
      <c r="J106" s="105">
        <v>5</v>
      </c>
      <c r="K106" s="52"/>
    </row>
    <row r="107" spans="1:11" ht="15.75" customHeight="1" x14ac:dyDescent="0.25">
      <c r="A107" s="2">
        <v>80</v>
      </c>
      <c r="B107" s="2" t="s">
        <v>3948</v>
      </c>
      <c r="C107" s="52">
        <v>9</v>
      </c>
      <c r="D107" s="52">
        <v>7</v>
      </c>
      <c r="E107" s="52">
        <v>11</v>
      </c>
      <c r="F107" s="52">
        <v>10</v>
      </c>
      <c r="G107" s="52">
        <v>8</v>
      </c>
      <c r="H107" s="52">
        <v>3</v>
      </c>
      <c r="I107" s="52">
        <v>48</v>
      </c>
      <c r="J107" s="105">
        <v>8</v>
      </c>
      <c r="K107" s="52"/>
    </row>
    <row r="108" spans="1:11" ht="15.75" customHeight="1" x14ac:dyDescent="0.25">
      <c r="A108" s="2">
        <v>80</v>
      </c>
      <c r="B108" s="2" t="s">
        <v>3949</v>
      </c>
      <c r="C108" s="52">
        <v>9</v>
      </c>
      <c r="D108" s="52">
        <v>7</v>
      </c>
      <c r="E108" s="52">
        <v>18</v>
      </c>
      <c r="F108" s="52">
        <v>13</v>
      </c>
      <c r="G108" s="52">
        <v>8</v>
      </c>
      <c r="H108" s="52">
        <v>3</v>
      </c>
      <c r="I108" s="52">
        <v>58</v>
      </c>
      <c r="J108" s="105">
        <v>9.6666666666666661</v>
      </c>
      <c r="K108" s="52"/>
    </row>
    <row r="109" spans="1:11" ht="15.75" customHeight="1" x14ac:dyDescent="0.25">
      <c r="A109" s="2">
        <v>80</v>
      </c>
      <c r="B109" s="2" t="s">
        <v>3950</v>
      </c>
      <c r="C109" s="52">
        <v>9</v>
      </c>
      <c r="D109" s="52">
        <v>10</v>
      </c>
      <c r="E109" s="52">
        <v>9</v>
      </c>
      <c r="F109" s="52">
        <v>10</v>
      </c>
      <c r="G109" s="52">
        <v>7</v>
      </c>
      <c r="H109" s="52">
        <v>3</v>
      </c>
      <c r="I109" s="52">
        <v>48</v>
      </c>
      <c r="J109" s="105">
        <v>8</v>
      </c>
      <c r="K109" s="52"/>
    </row>
    <row r="110" spans="1:11" ht="15.75" customHeight="1" x14ac:dyDescent="0.25">
      <c r="A110" s="2">
        <v>81</v>
      </c>
      <c r="B110" s="2" t="s">
        <v>3951</v>
      </c>
      <c r="C110" s="52">
        <v>2</v>
      </c>
      <c r="D110" s="52">
        <v>3</v>
      </c>
      <c r="E110" s="52">
        <v>7</v>
      </c>
      <c r="F110" s="52">
        <v>9</v>
      </c>
      <c r="G110" s="52">
        <v>5</v>
      </c>
      <c r="H110" s="52">
        <v>4</v>
      </c>
      <c r="I110" s="52">
        <v>30</v>
      </c>
      <c r="J110" s="105">
        <v>5</v>
      </c>
      <c r="K110" s="52"/>
    </row>
    <row r="111" spans="1:11" ht="15.75" customHeight="1" x14ac:dyDescent="0.25">
      <c r="A111" s="2">
        <v>82</v>
      </c>
      <c r="B111" s="2" t="s">
        <v>3952</v>
      </c>
      <c r="C111" s="52">
        <v>5</v>
      </c>
      <c r="D111" s="52">
        <v>6</v>
      </c>
      <c r="E111" s="52">
        <v>9</v>
      </c>
      <c r="F111" s="52">
        <v>12</v>
      </c>
      <c r="G111" s="52">
        <v>7</v>
      </c>
      <c r="H111" s="52">
        <v>7</v>
      </c>
      <c r="I111" s="52">
        <v>46</v>
      </c>
      <c r="J111" s="105">
        <v>7.666666666666667</v>
      </c>
      <c r="K111" s="52"/>
    </row>
    <row r="112" spans="1:11" ht="15.75" customHeight="1" x14ac:dyDescent="0.25">
      <c r="A112" s="2">
        <v>83</v>
      </c>
      <c r="B112" s="2" t="s">
        <v>3953</v>
      </c>
      <c r="C112" s="52">
        <v>5</v>
      </c>
      <c r="D112" s="52">
        <v>9</v>
      </c>
      <c r="E112" s="52">
        <v>5</v>
      </c>
      <c r="F112" s="52">
        <v>5</v>
      </c>
      <c r="G112" s="52">
        <v>6</v>
      </c>
      <c r="H112" s="52">
        <v>6</v>
      </c>
      <c r="I112" s="52">
        <v>36</v>
      </c>
      <c r="J112" s="105">
        <v>6</v>
      </c>
      <c r="K112" s="52"/>
    </row>
    <row r="113" spans="1:11" ht="15.75" customHeight="1" x14ac:dyDescent="0.25">
      <c r="A113" s="2">
        <v>83</v>
      </c>
      <c r="B113" s="2" t="s">
        <v>3954</v>
      </c>
      <c r="C113" s="52">
        <v>5</v>
      </c>
      <c r="D113" s="52">
        <v>9</v>
      </c>
      <c r="E113" s="52">
        <v>5</v>
      </c>
      <c r="F113" s="52">
        <v>5</v>
      </c>
      <c r="G113" s="52">
        <v>6</v>
      </c>
      <c r="H113" s="52">
        <v>5</v>
      </c>
      <c r="I113" s="52">
        <v>35</v>
      </c>
      <c r="J113" s="105">
        <v>5.833333333333333</v>
      </c>
      <c r="K113" s="52"/>
    </row>
    <row r="114" spans="1:11" ht="15.75" customHeight="1" x14ac:dyDescent="0.25">
      <c r="A114" s="2">
        <v>84</v>
      </c>
      <c r="B114" s="2" t="s">
        <v>3955</v>
      </c>
      <c r="C114" s="52">
        <v>3</v>
      </c>
      <c r="D114" s="52">
        <v>8</v>
      </c>
      <c r="E114" s="52">
        <v>4</v>
      </c>
      <c r="F114" s="52">
        <v>3</v>
      </c>
      <c r="G114" s="52">
        <v>3</v>
      </c>
      <c r="H114" s="52">
        <v>7</v>
      </c>
      <c r="I114" s="52">
        <v>28</v>
      </c>
      <c r="J114" s="105">
        <v>4.666666666666667</v>
      </c>
      <c r="K114" s="52"/>
    </row>
    <row r="115" spans="1:11" ht="15.75" customHeight="1" x14ac:dyDescent="0.25">
      <c r="A115" s="2">
        <v>85</v>
      </c>
      <c r="B115" s="2" t="s">
        <v>3956</v>
      </c>
      <c r="C115" s="52">
        <v>6</v>
      </c>
      <c r="D115" s="52">
        <v>11</v>
      </c>
      <c r="E115" s="52">
        <v>7</v>
      </c>
      <c r="F115" s="52">
        <v>6</v>
      </c>
      <c r="G115" s="52">
        <v>6</v>
      </c>
      <c r="H115" s="52">
        <v>11</v>
      </c>
      <c r="I115" s="52">
        <v>47</v>
      </c>
      <c r="J115" s="105">
        <v>7.833333333333333</v>
      </c>
      <c r="K115" s="52"/>
    </row>
    <row r="116" spans="1:11" ht="15.75" customHeight="1" x14ac:dyDescent="0.25">
      <c r="A116" s="2">
        <v>86</v>
      </c>
      <c r="B116" s="2" t="s">
        <v>3957</v>
      </c>
      <c r="C116" s="52">
        <v>6</v>
      </c>
      <c r="D116" s="52">
        <v>4</v>
      </c>
      <c r="E116" s="52">
        <v>5</v>
      </c>
      <c r="F116" s="52">
        <v>4</v>
      </c>
      <c r="G116" s="52">
        <v>7</v>
      </c>
      <c r="H116" s="52">
        <v>4</v>
      </c>
      <c r="I116" s="52">
        <v>30</v>
      </c>
      <c r="J116" s="105">
        <v>5</v>
      </c>
      <c r="K116" s="52"/>
    </row>
    <row r="117" spans="1:11" ht="15.75" customHeight="1" x14ac:dyDescent="0.25">
      <c r="A117" s="2">
        <v>87</v>
      </c>
      <c r="B117" s="2" t="s">
        <v>3958</v>
      </c>
      <c r="C117" s="52">
        <v>9</v>
      </c>
      <c r="D117" s="52">
        <v>7</v>
      </c>
      <c r="E117" s="52">
        <v>8</v>
      </c>
      <c r="F117" s="52">
        <v>7</v>
      </c>
      <c r="G117" s="52">
        <v>9</v>
      </c>
      <c r="H117" s="52">
        <v>7</v>
      </c>
      <c r="I117" s="52">
        <v>47</v>
      </c>
      <c r="J117" s="105">
        <v>7.833333333333333</v>
      </c>
      <c r="K117" s="52"/>
    </row>
    <row r="118" spans="1:11" ht="15.75" customHeight="1" x14ac:dyDescent="0.25">
      <c r="A118" s="2">
        <v>88</v>
      </c>
      <c r="B118" s="2" t="s">
        <v>3959</v>
      </c>
      <c r="C118" s="52">
        <v>8</v>
      </c>
      <c r="D118" s="52">
        <v>8</v>
      </c>
      <c r="E118" s="52">
        <v>5</v>
      </c>
      <c r="F118" s="52">
        <v>4</v>
      </c>
      <c r="G118" s="52">
        <v>5</v>
      </c>
      <c r="H118" s="52">
        <v>2</v>
      </c>
      <c r="I118" s="52">
        <v>32</v>
      </c>
      <c r="J118" s="105">
        <v>5.333333333333333</v>
      </c>
      <c r="K118" s="52"/>
    </row>
    <row r="119" spans="1:11" ht="15.75" customHeight="1" x14ac:dyDescent="0.25">
      <c r="A119" s="2">
        <v>88</v>
      </c>
      <c r="B119" s="2" t="s">
        <v>3960</v>
      </c>
      <c r="C119" s="52">
        <v>8</v>
      </c>
      <c r="D119" s="52">
        <v>8</v>
      </c>
      <c r="E119" s="52">
        <v>5</v>
      </c>
      <c r="F119" s="52">
        <v>4</v>
      </c>
      <c r="G119" s="52">
        <v>5</v>
      </c>
      <c r="H119" s="52">
        <v>2</v>
      </c>
      <c r="I119" s="52">
        <v>32</v>
      </c>
      <c r="J119" s="105">
        <v>5.333333333333333</v>
      </c>
      <c r="K119" s="52"/>
    </row>
    <row r="120" spans="1:11" ht="15.75" customHeight="1" x14ac:dyDescent="0.25">
      <c r="A120" s="2">
        <v>89</v>
      </c>
      <c r="B120" s="2" t="s">
        <v>3961</v>
      </c>
      <c r="C120" s="52">
        <v>10</v>
      </c>
      <c r="D120" s="52">
        <v>10</v>
      </c>
      <c r="E120" s="52">
        <v>7</v>
      </c>
      <c r="F120" s="52">
        <v>6</v>
      </c>
      <c r="G120" s="52">
        <v>10</v>
      </c>
      <c r="H120" s="52">
        <v>5</v>
      </c>
      <c r="I120" s="52">
        <v>48</v>
      </c>
      <c r="J120" s="105">
        <v>8</v>
      </c>
      <c r="K120" s="52"/>
    </row>
    <row r="121" spans="1:11" ht="15.75" customHeight="1" x14ac:dyDescent="0.25">
      <c r="A121" s="2">
        <v>89</v>
      </c>
      <c r="B121" s="2" t="s">
        <v>3962</v>
      </c>
      <c r="C121" s="52">
        <v>10</v>
      </c>
      <c r="D121" s="52">
        <v>10</v>
      </c>
      <c r="E121" s="52">
        <v>7</v>
      </c>
      <c r="F121" s="52">
        <v>6</v>
      </c>
      <c r="G121" s="52">
        <v>10</v>
      </c>
      <c r="H121" s="52">
        <v>5</v>
      </c>
      <c r="I121" s="52">
        <v>48</v>
      </c>
      <c r="J121" s="105">
        <v>8</v>
      </c>
      <c r="K121" s="52"/>
    </row>
    <row r="122" spans="1:11" ht="15.75" customHeight="1" x14ac:dyDescent="0.25">
      <c r="A122" s="2">
        <v>90</v>
      </c>
      <c r="B122" s="2" t="s">
        <v>3963</v>
      </c>
      <c r="C122" s="52">
        <v>3</v>
      </c>
      <c r="D122" s="52">
        <v>6</v>
      </c>
      <c r="E122" s="52">
        <v>10</v>
      </c>
      <c r="F122" s="52">
        <v>4</v>
      </c>
      <c r="G122" s="52">
        <v>2</v>
      </c>
      <c r="H122" s="52">
        <v>4</v>
      </c>
      <c r="I122" s="52">
        <v>29</v>
      </c>
      <c r="J122" s="105">
        <v>4.833333333333333</v>
      </c>
      <c r="K122" s="52"/>
    </row>
    <row r="123" spans="1:11" ht="15.75" customHeight="1" x14ac:dyDescent="0.25">
      <c r="A123" s="2">
        <v>91</v>
      </c>
      <c r="B123" s="2" t="s">
        <v>3964</v>
      </c>
      <c r="C123" s="52">
        <v>5</v>
      </c>
      <c r="D123" s="52">
        <v>9</v>
      </c>
      <c r="E123" s="52">
        <v>18</v>
      </c>
      <c r="F123" s="52">
        <v>8</v>
      </c>
      <c r="G123" s="52">
        <v>4</v>
      </c>
      <c r="H123" s="52">
        <v>7</v>
      </c>
      <c r="I123" s="52">
        <v>51</v>
      </c>
      <c r="J123" s="105">
        <v>8.5</v>
      </c>
      <c r="K123" s="52"/>
    </row>
    <row r="124" spans="1:11" ht="15.75" customHeight="1" x14ac:dyDescent="0.25">
      <c r="A124" s="2">
        <v>92</v>
      </c>
      <c r="B124" s="2" t="s">
        <v>3965</v>
      </c>
      <c r="C124" s="52">
        <v>3</v>
      </c>
      <c r="D124" s="52">
        <v>3</v>
      </c>
      <c r="E124" s="52">
        <v>3</v>
      </c>
      <c r="F124" s="52">
        <v>10</v>
      </c>
      <c r="G124" s="52">
        <v>3</v>
      </c>
      <c r="H124" s="52">
        <v>8</v>
      </c>
      <c r="I124" s="52">
        <v>30</v>
      </c>
      <c r="J124" s="105">
        <v>5</v>
      </c>
      <c r="K124" s="52"/>
    </row>
    <row r="125" spans="1:11" ht="15.75" customHeight="1" x14ac:dyDescent="0.25">
      <c r="A125" s="2">
        <v>93</v>
      </c>
      <c r="B125" s="2" t="s">
        <v>3966</v>
      </c>
      <c r="C125" s="52">
        <v>4</v>
      </c>
      <c r="D125" s="52">
        <v>5</v>
      </c>
      <c r="E125" s="52">
        <v>4</v>
      </c>
      <c r="F125" s="52">
        <v>11</v>
      </c>
      <c r="G125" s="52">
        <v>5</v>
      </c>
      <c r="H125" s="52">
        <v>9</v>
      </c>
      <c r="I125" s="52">
        <v>38</v>
      </c>
      <c r="J125" s="105">
        <v>6.333333333333333</v>
      </c>
      <c r="K125" s="52"/>
    </row>
    <row r="126" spans="1:11" ht="15.75" customHeight="1" x14ac:dyDescent="0.25">
      <c r="A126" s="2">
        <v>94</v>
      </c>
      <c r="B126" s="2" t="s">
        <v>3967</v>
      </c>
      <c r="C126" s="52">
        <v>6</v>
      </c>
      <c r="D126" s="52">
        <v>6</v>
      </c>
      <c r="E126" s="52">
        <v>6</v>
      </c>
      <c r="F126" s="52">
        <v>13</v>
      </c>
      <c r="G126" s="52">
        <v>7</v>
      </c>
      <c r="H126" s="52">
        <v>11</v>
      </c>
      <c r="I126" s="52">
        <v>49</v>
      </c>
      <c r="J126" s="105">
        <v>8.1666666666666661</v>
      </c>
      <c r="K126" s="52"/>
    </row>
    <row r="127" spans="1:11" ht="15.75" customHeight="1" x14ac:dyDescent="0.25">
      <c r="A127" s="2">
        <v>94</v>
      </c>
      <c r="B127" s="2" t="s">
        <v>3968</v>
      </c>
      <c r="C127" s="52">
        <v>6</v>
      </c>
      <c r="D127" s="52">
        <v>6</v>
      </c>
      <c r="E127" s="52">
        <v>8</v>
      </c>
      <c r="F127" s="52">
        <v>17</v>
      </c>
      <c r="G127" s="52">
        <v>9</v>
      </c>
      <c r="H127" s="52">
        <v>13</v>
      </c>
      <c r="I127" s="52">
        <v>59</v>
      </c>
      <c r="J127" s="105">
        <v>9.8333333333333339</v>
      </c>
      <c r="K127" s="52"/>
    </row>
    <row r="128" spans="1:11" ht="15.75" customHeight="1" x14ac:dyDescent="0.25">
      <c r="A128" s="2">
        <v>95</v>
      </c>
      <c r="B128" s="2" t="s">
        <v>3969</v>
      </c>
      <c r="C128" s="52">
        <v>3</v>
      </c>
      <c r="D128" s="52">
        <v>4</v>
      </c>
      <c r="E128" s="52">
        <v>16</v>
      </c>
      <c r="F128" s="52">
        <v>3</v>
      </c>
      <c r="G128" s="52">
        <v>4</v>
      </c>
      <c r="H128" s="52">
        <v>7</v>
      </c>
      <c r="I128" s="52">
        <v>37</v>
      </c>
      <c r="J128" s="105">
        <v>6.166666666666667</v>
      </c>
      <c r="K128" s="52"/>
    </row>
    <row r="129" spans="1:11" ht="15.75" customHeight="1" x14ac:dyDescent="0.25">
      <c r="A129" s="2">
        <v>96</v>
      </c>
      <c r="B129" s="2" t="s">
        <v>3970</v>
      </c>
      <c r="C129" s="52">
        <v>6</v>
      </c>
      <c r="D129" s="52">
        <v>4</v>
      </c>
      <c r="E129" s="52">
        <v>4</v>
      </c>
      <c r="F129" s="52">
        <v>4</v>
      </c>
      <c r="G129" s="52">
        <v>9</v>
      </c>
      <c r="H129" s="52">
        <v>4</v>
      </c>
      <c r="I129" s="52">
        <v>31</v>
      </c>
      <c r="J129" s="105">
        <v>5.166666666666667</v>
      </c>
      <c r="K129" s="52"/>
    </row>
    <row r="130" spans="1:11" ht="15.75" customHeight="1" x14ac:dyDescent="0.25">
      <c r="A130" s="2">
        <v>97</v>
      </c>
      <c r="B130" s="2" t="s">
        <v>3971</v>
      </c>
      <c r="C130" s="52">
        <v>8</v>
      </c>
      <c r="D130" s="52">
        <v>7</v>
      </c>
      <c r="E130" s="52">
        <v>7</v>
      </c>
      <c r="F130" s="52">
        <v>7</v>
      </c>
      <c r="G130" s="52">
        <v>11</v>
      </c>
      <c r="H130" s="52">
        <v>6</v>
      </c>
      <c r="I130" s="52">
        <v>46</v>
      </c>
      <c r="J130" s="105">
        <v>7.666666666666667</v>
      </c>
      <c r="K130" s="52"/>
    </row>
    <row r="131" spans="1:11" ht="15.75" customHeight="1" x14ac:dyDescent="0.25">
      <c r="A131" s="2">
        <v>98</v>
      </c>
      <c r="B131" s="2" t="s">
        <v>3972</v>
      </c>
      <c r="C131" s="52">
        <v>3</v>
      </c>
      <c r="D131" s="52">
        <v>10</v>
      </c>
      <c r="E131" s="52">
        <v>9</v>
      </c>
      <c r="F131" s="52">
        <v>2</v>
      </c>
      <c r="G131" s="52">
        <v>2</v>
      </c>
      <c r="H131" s="52">
        <v>5</v>
      </c>
      <c r="I131" s="52">
        <v>31</v>
      </c>
      <c r="J131" s="105">
        <v>5.166666666666667</v>
      </c>
      <c r="K131" s="52"/>
    </row>
    <row r="132" spans="1:11" ht="15.75" customHeight="1" x14ac:dyDescent="0.25">
      <c r="A132" s="2">
        <v>99</v>
      </c>
      <c r="B132" s="2" t="s">
        <v>3973</v>
      </c>
      <c r="C132" s="52">
        <v>5</v>
      </c>
      <c r="D132" s="52">
        <v>13</v>
      </c>
      <c r="E132" s="52">
        <v>11</v>
      </c>
      <c r="F132" s="52">
        <v>5</v>
      </c>
      <c r="G132" s="52">
        <v>5</v>
      </c>
      <c r="H132" s="52">
        <v>7</v>
      </c>
      <c r="I132" s="52">
        <v>46</v>
      </c>
      <c r="J132" s="105">
        <v>7.666666666666667</v>
      </c>
      <c r="K132" s="52"/>
    </row>
    <row r="133" spans="1:11" ht="15.75" customHeight="1" x14ac:dyDescent="0.25">
      <c r="A133" s="2">
        <v>100</v>
      </c>
      <c r="B133" s="2" t="s">
        <v>3974</v>
      </c>
      <c r="C133" s="52">
        <v>4</v>
      </c>
      <c r="D133" s="52">
        <v>3</v>
      </c>
      <c r="E133" s="52">
        <v>5</v>
      </c>
      <c r="F133" s="52">
        <v>5</v>
      </c>
      <c r="G133" s="52">
        <v>5</v>
      </c>
      <c r="H133" s="52">
        <v>10</v>
      </c>
      <c r="I133" s="52">
        <v>32</v>
      </c>
      <c r="J133" s="105">
        <v>5.333333333333333</v>
      </c>
      <c r="K133" s="52"/>
    </row>
    <row r="134" spans="1:11" ht="15.75" customHeight="1" x14ac:dyDescent="0.25">
      <c r="A134" s="2">
        <v>101</v>
      </c>
      <c r="B134" s="2" t="s">
        <v>3975</v>
      </c>
      <c r="C134" s="52">
        <v>6</v>
      </c>
      <c r="D134" s="52">
        <v>5</v>
      </c>
      <c r="E134" s="52">
        <v>7</v>
      </c>
      <c r="F134" s="52">
        <v>8</v>
      </c>
      <c r="G134" s="52">
        <v>8</v>
      </c>
      <c r="H134" s="52">
        <v>15</v>
      </c>
      <c r="I134" s="52">
        <v>49</v>
      </c>
      <c r="J134" s="105">
        <v>8.1666666666666661</v>
      </c>
      <c r="K134" s="52"/>
    </row>
    <row r="135" spans="1:11" ht="15.75" customHeight="1" x14ac:dyDescent="0.25">
      <c r="A135" s="2">
        <v>102</v>
      </c>
      <c r="B135" s="2" t="s">
        <v>3976</v>
      </c>
      <c r="C135" s="52">
        <v>6</v>
      </c>
      <c r="D135" s="52">
        <v>4</v>
      </c>
      <c r="E135" s="52">
        <v>8</v>
      </c>
      <c r="F135" s="52">
        <v>6</v>
      </c>
      <c r="G135" s="52">
        <v>4</v>
      </c>
      <c r="H135" s="52">
        <v>4</v>
      </c>
      <c r="I135" s="52">
        <v>32</v>
      </c>
      <c r="J135" s="105">
        <v>5.333333333333333</v>
      </c>
      <c r="K135" s="52"/>
    </row>
    <row r="136" spans="1:11" ht="15.75" customHeight="1" x14ac:dyDescent="0.25">
      <c r="A136" s="2">
        <v>103</v>
      </c>
      <c r="B136" s="2" t="s">
        <v>3977</v>
      </c>
      <c r="C136" s="52">
        <v>9</v>
      </c>
      <c r="D136" s="52">
        <v>9</v>
      </c>
      <c r="E136" s="52">
        <v>8</v>
      </c>
      <c r="F136" s="52">
        <v>12</v>
      </c>
      <c r="G136" s="52">
        <v>7</v>
      </c>
      <c r="H136" s="52">
        <v>5</v>
      </c>
      <c r="I136" s="52">
        <v>50</v>
      </c>
      <c r="J136" s="105">
        <v>8.3333333333333339</v>
      </c>
      <c r="K136" s="52"/>
    </row>
    <row r="137" spans="1:11" ht="15.75" customHeight="1" x14ac:dyDescent="0.25">
      <c r="A137" s="2">
        <v>103</v>
      </c>
      <c r="B137" s="2" t="s">
        <v>3978</v>
      </c>
      <c r="C137" s="52">
        <v>9</v>
      </c>
      <c r="D137" s="52">
        <v>10</v>
      </c>
      <c r="E137" s="52">
        <v>8</v>
      </c>
      <c r="F137" s="52">
        <v>12</v>
      </c>
      <c r="G137" s="52">
        <v>7</v>
      </c>
      <c r="H137" s="52">
        <v>4</v>
      </c>
      <c r="I137" s="52">
        <v>50</v>
      </c>
      <c r="J137" s="105">
        <v>8.3333333333333339</v>
      </c>
      <c r="K137" s="52"/>
    </row>
    <row r="138" spans="1:11" ht="15.75" customHeight="1" x14ac:dyDescent="0.25">
      <c r="A138" s="2">
        <v>104</v>
      </c>
      <c r="B138" s="2" t="s">
        <v>3979</v>
      </c>
      <c r="C138" s="52">
        <v>5</v>
      </c>
      <c r="D138" s="52">
        <v>5</v>
      </c>
      <c r="E138" s="52">
        <v>9</v>
      </c>
      <c r="F138" s="52">
        <v>4</v>
      </c>
      <c r="G138" s="52">
        <v>5</v>
      </c>
      <c r="H138" s="52">
        <v>3</v>
      </c>
      <c r="I138" s="52">
        <v>31</v>
      </c>
      <c r="J138" s="105">
        <v>5.166666666666667</v>
      </c>
      <c r="K138" s="52"/>
    </row>
    <row r="139" spans="1:11" ht="15.75" customHeight="1" x14ac:dyDescent="0.25">
      <c r="A139" s="2">
        <v>105</v>
      </c>
      <c r="B139" s="2" t="s">
        <v>3980</v>
      </c>
      <c r="C139" s="52">
        <v>6</v>
      </c>
      <c r="D139" s="52">
        <v>8</v>
      </c>
      <c r="E139" s="52">
        <v>11</v>
      </c>
      <c r="F139" s="52">
        <v>5</v>
      </c>
      <c r="G139" s="52">
        <v>8</v>
      </c>
      <c r="H139" s="52">
        <v>4</v>
      </c>
      <c r="I139" s="52">
        <v>42</v>
      </c>
      <c r="J139" s="105">
        <v>7</v>
      </c>
      <c r="K139" s="52"/>
    </row>
    <row r="140" spans="1:11" ht="15.75" customHeight="1" x14ac:dyDescent="0.25">
      <c r="A140" s="2">
        <v>105</v>
      </c>
      <c r="B140" s="2" t="s">
        <v>3981</v>
      </c>
      <c r="C140" s="52">
        <v>6</v>
      </c>
      <c r="D140" s="52">
        <v>8</v>
      </c>
      <c r="E140" s="52">
        <v>11</v>
      </c>
      <c r="F140" s="52">
        <v>5</v>
      </c>
      <c r="G140" s="52">
        <v>8</v>
      </c>
      <c r="H140" s="52">
        <v>4</v>
      </c>
      <c r="I140" s="52">
        <v>42</v>
      </c>
      <c r="J140" s="105">
        <v>7</v>
      </c>
      <c r="K140" s="52"/>
    </row>
    <row r="141" spans="1:11" ht="15.75" customHeight="1" x14ac:dyDescent="0.25">
      <c r="A141" s="2">
        <v>106</v>
      </c>
      <c r="B141" s="2" t="s">
        <v>3982</v>
      </c>
      <c r="C141" s="52">
        <v>5</v>
      </c>
      <c r="D141" s="52">
        <v>12</v>
      </c>
      <c r="E141" s="52">
        <v>5</v>
      </c>
      <c r="F141" s="52">
        <v>3</v>
      </c>
      <c r="G141" s="52">
        <v>11</v>
      </c>
      <c r="H141" s="52">
        <v>8</v>
      </c>
      <c r="I141" s="52">
        <v>44</v>
      </c>
      <c r="J141" s="105">
        <v>7.333333333333333</v>
      </c>
      <c r="K141" s="52"/>
    </row>
    <row r="142" spans="1:11" ht="15.75" customHeight="1" x14ac:dyDescent="0.25">
      <c r="A142" s="2">
        <v>107</v>
      </c>
      <c r="B142" s="2" t="s">
        <v>3983</v>
      </c>
      <c r="C142" s="52">
        <v>5</v>
      </c>
      <c r="D142" s="52">
        <v>10</v>
      </c>
      <c r="E142" s="52">
        <v>7</v>
      </c>
      <c r="F142" s="52">
        <v>3</v>
      </c>
      <c r="G142" s="52">
        <v>11</v>
      </c>
      <c r="H142" s="52">
        <v>7</v>
      </c>
      <c r="I142" s="52">
        <v>43</v>
      </c>
      <c r="J142" s="105">
        <v>7.166666666666667</v>
      </c>
      <c r="K142" s="52"/>
    </row>
    <row r="143" spans="1:11" ht="15.75" customHeight="1" x14ac:dyDescent="0.25">
      <c r="A143" s="2">
        <v>108</v>
      </c>
      <c r="B143" s="2" t="s">
        <v>3984</v>
      </c>
      <c r="C143" s="52">
        <v>9</v>
      </c>
      <c r="D143" s="52">
        <v>5</v>
      </c>
      <c r="E143" s="52">
        <v>7</v>
      </c>
      <c r="F143" s="52">
        <v>6</v>
      </c>
      <c r="G143" s="52">
        <v>7</v>
      </c>
      <c r="H143" s="52">
        <v>3</v>
      </c>
      <c r="I143" s="52">
        <v>37</v>
      </c>
      <c r="J143" s="105">
        <v>6.166666666666667</v>
      </c>
      <c r="K143" s="52"/>
    </row>
    <row r="144" spans="1:11" ht="15.75" customHeight="1" x14ac:dyDescent="0.25">
      <c r="A144" s="2">
        <v>109</v>
      </c>
      <c r="B144" s="2" t="s">
        <v>3985</v>
      </c>
      <c r="C144" s="52">
        <v>4</v>
      </c>
      <c r="D144" s="52">
        <v>6</v>
      </c>
      <c r="E144" s="52">
        <v>9</v>
      </c>
      <c r="F144" s="52">
        <v>6</v>
      </c>
      <c r="G144" s="52">
        <v>4</v>
      </c>
      <c r="H144" s="52">
        <v>3</v>
      </c>
      <c r="I144" s="52">
        <v>32</v>
      </c>
      <c r="J144" s="105">
        <v>5.333333333333333</v>
      </c>
      <c r="K144" s="52"/>
    </row>
    <row r="145" spans="1:11" ht="15.75" customHeight="1" x14ac:dyDescent="0.25">
      <c r="A145" s="2">
        <v>110</v>
      </c>
      <c r="B145" s="2" t="s">
        <v>3986</v>
      </c>
      <c r="C145" s="52">
        <v>6</v>
      </c>
      <c r="D145" s="52">
        <v>9</v>
      </c>
      <c r="E145" s="52">
        <v>12</v>
      </c>
      <c r="F145" s="52">
        <v>8</v>
      </c>
      <c r="G145" s="52">
        <v>7</v>
      </c>
      <c r="H145" s="52">
        <v>6</v>
      </c>
      <c r="I145" s="52">
        <v>48</v>
      </c>
      <c r="J145" s="105">
        <v>8</v>
      </c>
      <c r="K145" s="52"/>
    </row>
    <row r="146" spans="1:11" ht="15.75" customHeight="1" x14ac:dyDescent="0.25">
      <c r="A146" s="2">
        <v>110</v>
      </c>
      <c r="B146" s="2" t="s">
        <v>3987</v>
      </c>
      <c r="C146" s="52">
        <v>6</v>
      </c>
      <c r="D146" s="52">
        <v>9</v>
      </c>
      <c r="E146" s="52">
        <v>12</v>
      </c>
      <c r="F146" s="52">
        <v>8</v>
      </c>
      <c r="G146" s="52">
        <v>7</v>
      </c>
      <c r="H146" s="52">
        <v>6</v>
      </c>
      <c r="I146" s="52">
        <v>48</v>
      </c>
      <c r="J146" s="105">
        <v>8</v>
      </c>
      <c r="K146" s="52"/>
    </row>
    <row r="147" spans="1:11" ht="15.75" customHeight="1" x14ac:dyDescent="0.25">
      <c r="A147" s="2">
        <v>111</v>
      </c>
      <c r="B147" s="2" t="s">
        <v>3988</v>
      </c>
      <c r="C147" s="52">
        <v>8</v>
      </c>
      <c r="D147" s="52">
        <v>8</v>
      </c>
      <c r="E147" s="52">
        <v>9</v>
      </c>
      <c r="F147" s="52">
        <v>3</v>
      </c>
      <c r="G147" s="52">
        <v>3</v>
      </c>
      <c r="H147" s="52">
        <v>2</v>
      </c>
      <c r="I147" s="52">
        <v>33</v>
      </c>
      <c r="J147" s="105">
        <v>5.5</v>
      </c>
      <c r="K147" s="52"/>
    </row>
    <row r="148" spans="1:11" ht="15.75" customHeight="1" x14ac:dyDescent="0.25">
      <c r="A148" s="2">
        <v>112</v>
      </c>
      <c r="B148" s="2" t="s">
        <v>3989</v>
      </c>
      <c r="C148" s="52">
        <v>10</v>
      </c>
      <c r="D148" s="52">
        <v>13</v>
      </c>
      <c r="E148" s="52">
        <v>12</v>
      </c>
      <c r="F148" s="52">
        <v>4</v>
      </c>
      <c r="G148" s="52">
        <v>4</v>
      </c>
      <c r="H148" s="52">
        <v>4</v>
      </c>
      <c r="I148" s="52">
        <v>47</v>
      </c>
      <c r="J148" s="105">
        <v>7.833333333333333</v>
      </c>
      <c r="K148" s="52"/>
    </row>
    <row r="149" spans="1:11" ht="15.75" customHeight="1" x14ac:dyDescent="0.25">
      <c r="A149" s="2">
        <v>113</v>
      </c>
      <c r="B149" s="2" t="s">
        <v>3990</v>
      </c>
      <c r="C149" s="52">
        <v>25</v>
      </c>
      <c r="D149" s="52">
        <v>0</v>
      </c>
      <c r="E149" s="52">
        <v>0</v>
      </c>
      <c r="F149" s="52">
        <v>3</v>
      </c>
      <c r="G149" s="52">
        <v>10</v>
      </c>
      <c r="H149" s="52">
        <v>5</v>
      </c>
      <c r="I149" s="52">
        <v>43</v>
      </c>
      <c r="J149" s="105">
        <v>7.166666666666667</v>
      </c>
      <c r="K149" s="52"/>
    </row>
    <row r="150" spans="1:11" ht="15.75" customHeight="1" x14ac:dyDescent="0.25">
      <c r="A150" s="2">
        <v>114</v>
      </c>
      <c r="B150" s="2" t="s">
        <v>3991</v>
      </c>
      <c r="C150" s="52">
        <v>6</v>
      </c>
      <c r="D150" s="52">
        <v>5</v>
      </c>
      <c r="E150" s="52">
        <v>11</v>
      </c>
      <c r="F150" s="52">
        <v>10</v>
      </c>
      <c r="G150" s="52">
        <v>4</v>
      </c>
      <c r="H150" s="52">
        <v>6</v>
      </c>
      <c r="I150" s="52">
        <v>42</v>
      </c>
      <c r="J150" s="105">
        <v>7</v>
      </c>
      <c r="K150" s="52"/>
    </row>
    <row r="151" spans="1:11" ht="15.75" customHeight="1" x14ac:dyDescent="0.25">
      <c r="A151" s="2">
        <v>115</v>
      </c>
      <c r="B151" s="2" t="s">
        <v>3992</v>
      </c>
      <c r="C151" s="52">
        <v>10</v>
      </c>
      <c r="D151" s="52">
        <v>9</v>
      </c>
      <c r="E151" s="52">
        <v>8</v>
      </c>
      <c r="F151" s="52">
        <v>4</v>
      </c>
      <c r="G151" s="52">
        <v>8</v>
      </c>
      <c r="H151" s="52">
        <v>9</v>
      </c>
      <c r="I151" s="52">
        <v>48</v>
      </c>
      <c r="J151" s="105">
        <v>8</v>
      </c>
      <c r="K151" s="52"/>
    </row>
    <row r="152" spans="1:11" ht="15.75" customHeight="1" x14ac:dyDescent="0.25">
      <c r="A152" s="2">
        <v>115</v>
      </c>
      <c r="B152" s="2" t="s">
        <v>3993</v>
      </c>
      <c r="C152" s="52">
        <v>10</v>
      </c>
      <c r="D152" s="52">
        <v>12</v>
      </c>
      <c r="E152" s="52">
        <v>10</v>
      </c>
      <c r="F152" s="52">
        <v>6</v>
      </c>
      <c r="G152" s="52">
        <v>10</v>
      </c>
      <c r="H152" s="52">
        <v>10</v>
      </c>
      <c r="I152" s="52">
        <v>58</v>
      </c>
      <c r="J152" s="105">
        <v>9.6666666666666661</v>
      </c>
      <c r="K152" s="52"/>
    </row>
    <row r="153" spans="1:11" ht="15.75" customHeight="1" x14ac:dyDescent="0.25">
      <c r="A153" s="2">
        <v>116</v>
      </c>
      <c r="B153" s="2" t="s">
        <v>3994</v>
      </c>
      <c r="C153" s="52">
        <v>3</v>
      </c>
      <c r="D153" s="52">
        <v>4</v>
      </c>
      <c r="E153" s="52">
        <v>7</v>
      </c>
      <c r="F153" s="52">
        <v>7</v>
      </c>
      <c r="G153" s="52">
        <v>2</v>
      </c>
      <c r="H153" s="52">
        <v>6</v>
      </c>
      <c r="I153" s="52">
        <v>29</v>
      </c>
      <c r="J153" s="105">
        <v>4.833333333333333</v>
      </c>
      <c r="K153" s="52"/>
    </row>
    <row r="154" spans="1:11" ht="15.75" customHeight="1" x14ac:dyDescent="0.25">
      <c r="A154" s="2">
        <v>117</v>
      </c>
      <c r="B154" s="2" t="s">
        <v>3995</v>
      </c>
      <c r="C154" s="52">
        <v>5</v>
      </c>
      <c r="D154" s="52">
        <v>6</v>
      </c>
      <c r="E154" s="52">
        <v>9</v>
      </c>
      <c r="F154" s="52">
        <v>9</v>
      </c>
      <c r="G154" s="52">
        <v>4</v>
      </c>
      <c r="H154" s="52">
        <v>8</v>
      </c>
      <c r="I154" s="52">
        <v>41</v>
      </c>
      <c r="J154" s="105">
        <v>6.833333333333333</v>
      </c>
      <c r="K154" s="52"/>
    </row>
    <row r="155" spans="1:11" ht="15.75" customHeight="1" x14ac:dyDescent="0.25">
      <c r="A155" s="2">
        <v>118</v>
      </c>
      <c r="B155" s="2" t="s">
        <v>3996</v>
      </c>
      <c r="C155" s="52">
        <v>4</v>
      </c>
      <c r="D155" s="52">
        <v>6</v>
      </c>
      <c r="E155" s="52">
        <v>6</v>
      </c>
      <c r="F155" s="52">
        <v>3</v>
      </c>
      <c r="G155" s="52">
        <v>5</v>
      </c>
      <c r="H155" s="52">
        <v>6</v>
      </c>
      <c r="I155" s="52">
        <v>30</v>
      </c>
      <c r="J155" s="105">
        <v>5</v>
      </c>
      <c r="K155" s="52"/>
    </row>
    <row r="156" spans="1:11" ht="15.75" customHeight="1" x14ac:dyDescent="0.25">
      <c r="A156" s="2">
        <v>119</v>
      </c>
      <c r="B156" s="2" t="s">
        <v>3997</v>
      </c>
      <c r="C156" s="52">
        <v>8</v>
      </c>
      <c r="D156" s="52">
        <v>9</v>
      </c>
      <c r="E156" s="52">
        <v>6</v>
      </c>
      <c r="F156" s="52">
        <v>6</v>
      </c>
      <c r="G156" s="52">
        <v>8</v>
      </c>
      <c r="H156" s="52">
        <v>6</v>
      </c>
      <c r="I156" s="52">
        <v>43</v>
      </c>
      <c r="J156" s="105">
        <v>7.166666666666667</v>
      </c>
      <c r="K156" s="52"/>
    </row>
    <row r="157" spans="1:11" ht="15.75" customHeight="1" x14ac:dyDescent="0.25">
      <c r="A157" s="2">
        <v>120</v>
      </c>
      <c r="B157" s="2" t="s">
        <v>3998</v>
      </c>
      <c r="C157" s="52">
        <v>3</v>
      </c>
      <c r="D157" s="52">
        <v>4</v>
      </c>
      <c r="E157" s="52">
        <v>5</v>
      </c>
      <c r="F157" s="52">
        <v>7</v>
      </c>
      <c r="G157" s="52">
        <v>5</v>
      </c>
      <c r="H157" s="52">
        <v>8</v>
      </c>
      <c r="I157" s="52">
        <v>32</v>
      </c>
      <c r="J157" s="105">
        <v>5.333333333333333</v>
      </c>
      <c r="K157" s="52"/>
    </row>
    <row r="158" spans="1:11" ht="15.75" customHeight="1" x14ac:dyDescent="0.25">
      <c r="A158" s="2">
        <v>121</v>
      </c>
      <c r="B158" s="2" t="s">
        <v>3999</v>
      </c>
      <c r="C158" s="52">
        <v>6</v>
      </c>
      <c r="D158" s="52">
        <v>7</v>
      </c>
      <c r="E158" s="52">
        <v>8</v>
      </c>
      <c r="F158" s="52">
        <v>10</v>
      </c>
      <c r="G158" s="52">
        <v>8</v>
      </c>
      <c r="H158" s="52">
        <v>11</v>
      </c>
      <c r="I158" s="52">
        <v>50</v>
      </c>
      <c r="J158" s="105">
        <v>8.3333333333333339</v>
      </c>
      <c r="K158" s="52"/>
    </row>
    <row r="159" spans="1:11" ht="15.75" customHeight="1" x14ac:dyDescent="0.25">
      <c r="A159" s="2">
        <v>122</v>
      </c>
      <c r="B159" s="2" t="s">
        <v>4000</v>
      </c>
      <c r="C159" s="52">
        <v>4</v>
      </c>
      <c r="D159" s="52">
        <v>4</v>
      </c>
      <c r="E159" s="52">
        <v>6</v>
      </c>
      <c r="F159" s="52">
        <v>10</v>
      </c>
      <c r="G159" s="52">
        <v>12</v>
      </c>
      <c r="H159" s="52">
        <v>9</v>
      </c>
      <c r="I159" s="52">
        <v>45</v>
      </c>
      <c r="J159" s="105">
        <v>7.5</v>
      </c>
      <c r="K159" s="52"/>
    </row>
    <row r="160" spans="1:11" ht="15.75" customHeight="1" x14ac:dyDescent="0.25">
      <c r="A160" s="2">
        <v>122</v>
      </c>
      <c r="B160" s="2" t="s">
        <v>4001</v>
      </c>
      <c r="C160" s="52">
        <v>5</v>
      </c>
      <c r="D160" s="52">
        <v>6</v>
      </c>
      <c r="E160" s="52">
        <v>6</v>
      </c>
      <c r="F160" s="52">
        <v>9</v>
      </c>
      <c r="G160" s="52">
        <v>9</v>
      </c>
      <c r="H160" s="52">
        <v>10</v>
      </c>
      <c r="I160" s="52">
        <v>45</v>
      </c>
      <c r="J160" s="105">
        <v>7.5</v>
      </c>
      <c r="K160" s="52"/>
    </row>
    <row r="161" spans="1:11" ht="15.75" customHeight="1" x14ac:dyDescent="0.25">
      <c r="A161" s="2">
        <v>123</v>
      </c>
      <c r="B161" s="2" t="s">
        <v>4002</v>
      </c>
      <c r="C161" s="52">
        <v>7</v>
      </c>
      <c r="D161" s="52">
        <v>11</v>
      </c>
      <c r="E161" s="52">
        <v>8</v>
      </c>
      <c r="F161" s="52">
        <v>5</v>
      </c>
      <c r="G161" s="52">
        <v>8</v>
      </c>
      <c r="H161" s="52">
        <v>10</v>
      </c>
      <c r="I161" s="52">
        <v>49</v>
      </c>
      <c r="J161" s="105">
        <v>8.1666666666666661</v>
      </c>
      <c r="K161" s="52"/>
    </row>
    <row r="162" spans="1:11" ht="15.75" customHeight="1" x14ac:dyDescent="0.25">
      <c r="A162" s="2">
        <v>124</v>
      </c>
      <c r="B162" s="2" t="s">
        <v>4003</v>
      </c>
      <c r="C162" s="52">
        <v>6</v>
      </c>
      <c r="D162" s="52">
        <v>5</v>
      </c>
      <c r="E162" s="52">
        <v>3</v>
      </c>
      <c r="F162" s="52">
        <v>11</v>
      </c>
      <c r="G162" s="52">
        <v>9</v>
      </c>
      <c r="H162" s="52">
        <v>9</v>
      </c>
      <c r="I162" s="52">
        <v>43</v>
      </c>
      <c r="J162" s="105">
        <v>7.166666666666667</v>
      </c>
      <c r="K162" s="52"/>
    </row>
    <row r="163" spans="1:11" ht="15.75" customHeight="1" x14ac:dyDescent="0.25">
      <c r="A163" s="2">
        <v>125</v>
      </c>
      <c r="B163" s="2" t="s">
        <v>4004</v>
      </c>
      <c r="C163" s="52">
        <v>6</v>
      </c>
      <c r="D163" s="52">
        <v>8</v>
      </c>
      <c r="E163" s="52">
        <v>5</v>
      </c>
      <c r="F163" s="52">
        <v>9</v>
      </c>
      <c r="G163" s="52">
        <v>8</v>
      </c>
      <c r="H163" s="52">
        <v>10</v>
      </c>
      <c r="I163" s="52">
        <v>46</v>
      </c>
      <c r="J163" s="105">
        <v>7.666666666666667</v>
      </c>
      <c r="K163" s="52"/>
    </row>
    <row r="164" spans="1:11" ht="15.75" customHeight="1" x14ac:dyDescent="0.25">
      <c r="A164" s="2">
        <v>126</v>
      </c>
      <c r="B164" s="2" t="s">
        <v>4005</v>
      </c>
      <c r="C164" s="52">
        <v>6</v>
      </c>
      <c r="D164" s="52">
        <v>9</v>
      </c>
      <c r="E164" s="52">
        <v>5</v>
      </c>
      <c r="F164" s="52">
        <v>10</v>
      </c>
      <c r="G164" s="52">
        <v>8</v>
      </c>
      <c r="H164" s="52">
        <v>9</v>
      </c>
      <c r="I164" s="52">
        <v>47</v>
      </c>
      <c r="J164" s="105">
        <v>7.833333333333333</v>
      </c>
      <c r="K164" s="52"/>
    </row>
    <row r="165" spans="1:11" ht="15.75" customHeight="1" x14ac:dyDescent="0.25">
      <c r="A165" s="2">
        <v>127</v>
      </c>
      <c r="B165" s="2" t="s">
        <v>4006</v>
      </c>
      <c r="C165" s="52">
        <v>6</v>
      </c>
      <c r="D165" s="52">
        <v>12</v>
      </c>
      <c r="E165" s="52">
        <v>10</v>
      </c>
      <c r="F165" s="52">
        <v>5</v>
      </c>
      <c r="G165" s="52">
        <v>7</v>
      </c>
      <c r="H165" s="52">
        <v>8</v>
      </c>
      <c r="I165" s="52">
        <v>48</v>
      </c>
      <c r="J165" s="105">
        <v>8</v>
      </c>
      <c r="K165" s="52"/>
    </row>
    <row r="166" spans="1:11" ht="15.75" customHeight="1" x14ac:dyDescent="0.25">
      <c r="A166" s="2">
        <v>127</v>
      </c>
      <c r="B166" s="2" t="s">
        <v>4007</v>
      </c>
      <c r="C166" s="52">
        <v>6</v>
      </c>
      <c r="D166" s="52">
        <v>15</v>
      </c>
      <c r="E166" s="52">
        <v>12</v>
      </c>
      <c r="F166" s="52">
        <v>6</v>
      </c>
      <c r="G166" s="52">
        <v>9</v>
      </c>
      <c r="H166" s="52">
        <v>10</v>
      </c>
      <c r="I166" s="52">
        <v>58</v>
      </c>
      <c r="J166" s="105">
        <v>9.6666666666666661</v>
      </c>
      <c r="K166" s="52"/>
    </row>
    <row r="167" spans="1:11" ht="15.75" customHeight="1" x14ac:dyDescent="0.25">
      <c r="A167" s="2">
        <v>128</v>
      </c>
      <c r="B167" s="2" t="s">
        <v>4008</v>
      </c>
      <c r="C167" s="52">
        <v>7</v>
      </c>
      <c r="D167" s="52">
        <v>10</v>
      </c>
      <c r="E167" s="52">
        <v>9</v>
      </c>
      <c r="F167" s="52">
        <v>4</v>
      </c>
      <c r="G167" s="52">
        <v>7</v>
      </c>
      <c r="H167" s="52">
        <v>11</v>
      </c>
      <c r="I167" s="52">
        <v>48</v>
      </c>
      <c r="J167" s="105">
        <v>8</v>
      </c>
      <c r="K167" s="52"/>
    </row>
    <row r="168" spans="1:11" ht="15.75" customHeight="1" x14ac:dyDescent="0.25">
      <c r="A168" s="2">
        <v>129</v>
      </c>
      <c r="B168" s="2" t="s">
        <v>4009</v>
      </c>
      <c r="C168" s="52">
        <v>2</v>
      </c>
      <c r="D168" s="52">
        <v>1</v>
      </c>
      <c r="E168" s="52">
        <v>5</v>
      </c>
      <c r="F168" s="52">
        <v>1</v>
      </c>
      <c r="G168" s="52">
        <v>2</v>
      </c>
      <c r="H168" s="52">
        <v>8</v>
      </c>
      <c r="I168" s="52">
        <v>19</v>
      </c>
      <c r="J168" s="105">
        <v>3.1666666666666665</v>
      </c>
      <c r="K168" s="52"/>
    </row>
    <row r="169" spans="1:11" ht="15.75" customHeight="1" x14ac:dyDescent="0.25">
      <c r="A169" s="2">
        <v>130</v>
      </c>
      <c r="B169" s="2" t="s">
        <v>4010</v>
      </c>
      <c r="C169" s="52">
        <v>9</v>
      </c>
      <c r="D169" s="52">
        <v>12</v>
      </c>
      <c r="E169" s="52">
        <v>7</v>
      </c>
      <c r="F169" s="52">
        <v>6</v>
      </c>
      <c r="G169" s="52">
        <v>10</v>
      </c>
      <c r="H169" s="52">
        <v>8</v>
      </c>
      <c r="I169" s="52">
        <v>52</v>
      </c>
      <c r="J169" s="105">
        <v>8.6666666666666661</v>
      </c>
      <c r="K169" s="52"/>
    </row>
    <row r="170" spans="1:11" ht="15.75" customHeight="1" x14ac:dyDescent="0.25">
      <c r="A170" s="2">
        <v>130</v>
      </c>
      <c r="B170" s="2" t="s">
        <v>4011</v>
      </c>
      <c r="C170" s="52">
        <v>9</v>
      </c>
      <c r="D170" s="52">
        <v>15</v>
      </c>
      <c r="E170" s="52">
        <v>10</v>
      </c>
      <c r="F170" s="52">
        <v>7</v>
      </c>
      <c r="G170" s="52">
        <v>13</v>
      </c>
      <c r="H170" s="52">
        <v>8</v>
      </c>
      <c r="I170" s="52">
        <v>62</v>
      </c>
      <c r="J170" s="105">
        <v>10.333333333333334</v>
      </c>
      <c r="K170" s="52"/>
    </row>
    <row r="171" spans="1:11" ht="15.75" customHeight="1" x14ac:dyDescent="0.25">
      <c r="A171" s="2">
        <v>131</v>
      </c>
      <c r="B171" s="2" t="s">
        <v>4012</v>
      </c>
      <c r="C171" s="52">
        <v>13</v>
      </c>
      <c r="D171" s="52">
        <v>8</v>
      </c>
      <c r="E171" s="52">
        <v>8</v>
      </c>
      <c r="F171" s="52">
        <v>8</v>
      </c>
      <c r="G171" s="52">
        <v>9</v>
      </c>
      <c r="H171" s="52">
        <v>6</v>
      </c>
      <c r="I171" s="52">
        <v>52</v>
      </c>
      <c r="J171" s="105">
        <v>8.6666666666666661</v>
      </c>
      <c r="K171" s="52"/>
    </row>
    <row r="172" spans="1:11" ht="15.75" customHeight="1" x14ac:dyDescent="0.25">
      <c r="A172" s="2">
        <v>132</v>
      </c>
      <c r="B172" s="2" t="s">
        <v>4013</v>
      </c>
      <c r="C172" s="52">
        <v>4</v>
      </c>
      <c r="D172" s="52">
        <v>4</v>
      </c>
      <c r="E172" s="52">
        <v>4</v>
      </c>
      <c r="F172" s="52">
        <v>4</v>
      </c>
      <c r="G172" s="52">
        <v>4</v>
      </c>
      <c r="H172" s="52">
        <v>4</v>
      </c>
      <c r="I172" s="52">
        <v>24</v>
      </c>
      <c r="J172" s="105">
        <v>4</v>
      </c>
      <c r="K172" s="52"/>
    </row>
    <row r="173" spans="1:11" ht="15.75" customHeight="1" x14ac:dyDescent="0.25">
      <c r="A173" s="2">
        <v>133</v>
      </c>
      <c r="B173" s="2" t="s">
        <v>4014</v>
      </c>
      <c r="C173" s="52">
        <v>5</v>
      </c>
      <c r="D173" s="52">
        <v>5</v>
      </c>
      <c r="E173" s="52">
        <v>5</v>
      </c>
      <c r="F173" s="52">
        <v>4</v>
      </c>
      <c r="G173" s="52">
        <v>6</v>
      </c>
      <c r="H173" s="52">
        <v>5</v>
      </c>
      <c r="I173" s="52">
        <v>30</v>
      </c>
      <c r="J173" s="105">
        <v>5</v>
      </c>
      <c r="K173" s="52"/>
    </row>
    <row r="174" spans="1:11" ht="15.75" customHeight="1" x14ac:dyDescent="0.25">
      <c r="A174" s="2">
        <v>133</v>
      </c>
      <c r="B174" s="2" t="s">
        <v>4015</v>
      </c>
      <c r="C174" s="52">
        <v>6</v>
      </c>
      <c r="D174" s="52">
        <v>7</v>
      </c>
      <c r="E174" s="52">
        <v>7</v>
      </c>
      <c r="F174" s="52">
        <v>6</v>
      </c>
      <c r="G174" s="52">
        <v>8</v>
      </c>
      <c r="H174" s="52">
        <v>7</v>
      </c>
      <c r="I174" s="52">
        <v>41</v>
      </c>
      <c r="J174" s="105">
        <v>6.833333333333333</v>
      </c>
      <c r="K174" s="52"/>
    </row>
    <row r="175" spans="1:11" ht="15.75" customHeight="1" x14ac:dyDescent="0.25">
      <c r="A175" s="2">
        <v>134</v>
      </c>
      <c r="B175" s="2" t="s">
        <v>4016</v>
      </c>
      <c r="C175" s="52">
        <v>13</v>
      </c>
      <c r="D175" s="52">
        <v>6</v>
      </c>
      <c r="E175" s="52">
        <v>6</v>
      </c>
      <c r="F175" s="52">
        <v>11</v>
      </c>
      <c r="G175" s="52">
        <v>9</v>
      </c>
      <c r="H175" s="52">
        <v>6</v>
      </c>
      <c r="I175" s="52">
        <v>51</v>
      </c>
      <c r="J175" s="105">
        <v>8.5</v>
      </c>
      <c r="K175" s="52"/>
    </row>
    <row r="176" spans="1:11" ht="15.75" customHeight="1" x14ac:dyDescent="0.25">
      <c r="A176" s="2">
        <v>135</v>
      </c>
      <c r="B176" s="2" t="s">
        <v>4017</v>
      </c>
      <c r="C176" s="52">
        <v>6</v>
      </c>
      <c r="D176" s="52">
        <v>6</v>
      </c>
      <c r="E176" s="52">
        <v>6</v>
      </c>
      <c r="F176" s="52">
        <v>11</v>
      </c>
      <c r="G176" s="52">
        <v>9</v>
      </c>
      <c r="H176" s="52">
        <v>13</v>
      </c>
      <c r="I176" s="52">
        <v>51</v>
      </c>
      <c r="J176" s="105">
        <v>8.5</v>
      </c>
      <c r="K176" s="52"/>
    </row>
    <row r="177" spans="1:11" ht="15.75" customHeight="1" x14ac:dyDescent="0.25">
      <c r="A177" s="2">
        <v>136</v>
      </c>
      <c r="B177" s="2" t="s">
        <v>4018</v>
      </c>
      <c r="C177" s="52">
        <v>6</v>
      </c>
      <c r="D177" s="52">
        <v>13</v>
      </c>
      <c r="E177" s="52">
        <v>6</v>
      </c>
      <c r="F177" s="52">
        <v>9</v>
      </c>
      <c r="G177" s="52">
        <v>11</v>
      </c>
      <c r="H177" s="52">
        <v>6</v>
      </c>
      <c r="I177" s="52">
        <v>51</v>
      </c>
      <c r="J177" s="105">
        <v>8.5</v>
      </c>
      <c r="K177" s="52"/>
    </row>
    <row r="178" spans="1:11" ht="15.75" customHeight="1" x14ac:dyDescent="0.25">
      <c r="A178" s="2">
        <v>137</v>
      </c>
      <c r="B178" s="2" t="s">
        <v>4019</v>
      </c>
      <c r="C178" s="52">
        <v>6</v>
      </c>
      <c r="D178" s="52">
        <v>6</v>
      </c>
      <c r="E178" s="52">
        <v>7</v>
      </c>
      <c r="F178" s="52">
        <v>8</v>
      </c>
      <c r="G178" s="52">
        <v>7</v>
      </c>
      <c r="H178" s="52">
        <v>4</v>
      </c>
      <c r="I178" s="52">
        <v>38</v>
      </c>
      <c r="J178" s="105">
        <v>6.333333333333333</v>
      </c>
      <c r="K178" s="52"/>
    </row>
    <row r="179" spans="1:11" ht="15.75" customHeight="1" x14ac:dyDescent="0.25">
      <c r="A179" s="2">
        <v>138</v>
      </c>
      <c r="B179" s="2" t="s">
        <v>4020</v>
      </c>
      <c r="C179" s="52">
        <v>3</v>
      </c>
      <c r="D179" s="52">
        <v>4</v>
      </c>
      <c r="E179" s="52">
        <v>10</v>
      </c>
      <c r="F179" s="52">
        <v>9</v>
      </c>
      <c r="G179" s="52">
        <v>5</v>
      </c>
      <c r="H179" s="52">
        <v>3</v>
      </c>
      <c r="I179" s="52">
        <v>34</v>
      </c>
      <c r="J179" s="105">
        <v>5.666666666666667</v>
      </c>
      <c r="K179" s="52"/>
    </row>
    <row r="180" spans="1:11" ht="15.75" customHeight="1" x14ac:dyDescent="0.25">
      <c r="A180" s="2">
        <v>139</v>
      </c>
      <c r="B180" s="2" t="s">
        <v>4021</v>
      </c>
      <c r="C180" s="52">
        <v>7</v>
      </c>
      <c r="D180" s="52">
        <v>6</v>
      </c>
      <c r="E180" s="52">
        <v>12</v>
      </c>
      <c r="F180" s="52">
        <v>11</v>
      </c>
      <c r="G180" s="52">
        <v>7</v>
      </c>
      <c r="H180" s="52">
        <v>5</v>
      </c>
      <c r="I180" s="52">
        <v>48</v>
      </c>
      <c r="J180" s="105">
        <v>8</v>
      </c>
      <c r="K180" s="52"/>
    </row>
    <row r="181" spans="1:11" ht="15.75" customHeight="1" x14ac:dyDescent="0.25">
      <c r="A181" s="2">
        <v>140</v>
      </c>
      <c r="B181" s="2" t="s">
        <v>4022</v>
      </c>
      <c r="C181" s="52">
        <v>3</v>
      </c>
      <c r="D181" s="52">
        <v>8</v>
      </c>
      <c r="E181" s="52">
        <v>9</v>
      </c>
      <c r="F181" s="52">
        <v>5</v>
      </c>
      <c r="G181" s="52">
        <v>4</v>
      </c>
      <c r="H181" s="52">
        <v>5</v>
      </c>
      <c r="I181" s="52">
        <v>34</v>
      </c>
      <c r="J181" s="105">
        <v>5.666666666666667</v>
      </c>
      <c r="K181" s="52"/>
    </row>
    <row r="182" spans="1:11" ht="15.75" customHeight="1" x14ac:dyDescent="0.25">
      <c r="A182" s="2">
        <v>141</v>
      </c>
      <c r="B182" s="2" t="s">
        <v>4023</v>
      </c>
      <c r="C182" s="52">
        <v>6</v>
      </c>
      <c r="D182" s="52">
        <v>11</v>
      </c>
      <c r="E182" s="52">
        <v>10</v>
      </c>
      <c r="F182" s="52">
        <v>6</v>
      </c>
      <c r="G182" s="52">
        <v>7</v>
      </c>
      <c r="H182" s="52">
        <v>8</v>
      </c>
      <c r="I182" s="52">
        <v>48</v>
      </c>
      <c r="J182" s="105">
        <v>8</v>
      </c>
      <c r="K182" s="52"/>
    </row>
    <row r="183" spans="1:11" ht="15.75" customHeight="1" x14ac:dyDescent="0.25">
      <c r="A183" s="2">
        <v>142</v>
      </c>
      <c r="B183" s="2" t="s">
        <v>4024</v>
      </c>
      <c r="C183" s="52">
        <v>8</v>
      </c>
      <c r="D183" s="52">
        <v>10</v>
      </c>
      <c r="E183" s="52">
        <v>6</v>
      </c>
      <c r="F183" s="52">
        <v>6</v>
      </c>
      <c r="G183" s="52">
        <v>7</v>
      </c>
      <c r="H183" s="52">
        <v>13</v>
      </c>
      <c r="I183" s="52">
        <v>50</v>
      </c>
      <c r="J183" s="105">
        <v>8.3333333333333339</v>
      </c>
      <c r="K183" s="52"/>
    </row>
    <row r="184" spans="1:11" ht="15.75" customHeight="1" x14ac:dyDescent="0.25">
      <c r="A184" s="2">
        <v>142</v>
      </c>
      <c r="B184" s="2" t="s">
        <v>4025</v>
      </c>
      <c r="C184" s="52">
        <v>8</v>
      </c>
      <c r="D184" s="52">
        <v>13</v>
      </c>
      <c r="E184" s="52">
        <v>8</v>
      </c>
      <c r="F184" s="52">
        <v>7</v>
      </c>
      <c r="G184" s="52">
        <v>9</v>
      </c>
      <c r="H184" s="52">
        <v>15</v>
      </c>
      <c r="I184" s="52">
        <v>60</v>
      </c>
      <c r="J184" s="105">
        <v>10</v>
      </c>
      <c r="K184" s="52"/>
    </row>
    <row r="185" spans="1:11" ht="15.75" customHeight="1" x14ac:dyDescent="0.25">
      <c r="A185" s="2">
        <v>143</v>
      </c>
      <c r="B185" s="2" t="s">
        <v>4026</v>
      </c>
      <c r="C185" s="52">
        <v>16</v>
      </c>
      <c r="D185" s="52">
        <v>11</v>
      </c>
      <c r="E185" s="52">
        <v>6</v>
      </c>
      <c r="F185" s="52">
        <v>6</v>
      </c>
      <c r="G185" s="52">
        <v>11</v>
      </c>
      <c r="H185" s="52">
        <v>3</v>
      </c>
      <c r="I185" s="52">
        <v>53</v>
      </c>
      <c r="J185" s="105">
        <v>8.8333333333333339</v>
      </c>
      <c r="K185" s="52"/>
    </row>
    <row r="186" spans="1:11" ht="15.75" customHeight="1" x14ac:dyDescent="0.25">
      <c r="A186" s="2">
        <v>144</v>
      </c>
      <c r="B186" s="2" t="s">
        <v>4027</v>
      </c>
      <c r="C186" s="52">
        <v>9</v>
      </c>
      <c r="D186" s="52">
        <v>8</v>
      </c>
      <c r="E186" s="52">
        <v>10</v>
      </c>
      <c r="F186" s="52">
        <v>9</v>
      </c>
      <c r="G186" s="52">
        <v>12</v>
      </c>
      <c r="H186" s="52">
        <v>8</v>
      </c>
      <c r="I186" s="52">
        <v>56</v>
      </c>
      <c r="J186" s="105">
        <v>9.3333333333333339</v>
      </c>
      <c r="K186" s="52"/>
    </row>
    <row r="187" spans="1:11" ht="15.75" customHeight="1" x14ac:dyDescent="0.25">
      <c r="A187" s="2">
        <v>144</v>
      </c>
      <c r="B187" s="2" t="s">
        <v>4028</v>
      </c>
      <c r="C187" s="52">
        <v>9</v>
      </c>
      <c r="D187" s="52">
        <v>8</v>
      </c>
      <c r="E187" s="52">
        <v>8</v>
      </c>
      <c r="F187" s="52">
        <v>12</v>
      </c>
      <c r="G187" s="52">
        <v>10</v>
      </c>
      <c r="H187" s="52">
        <v>9</v>
      </c>
      <c r="I187" s="52">
        <v>56</v>
      </c>
      <c r="J187" s="105">
        <v>9.3333333333333339</v>
      </c>
      <c r="K187" s="52"/>
    </row>
    <row r="188" spans="1:11" ht="15.75" customHeight="1" x14ac:dyDescent="0.25">
      <c r="A188" s="2">
        <v>145</v>
      </c>
      <c r="B188" s="2" t="s">
        <v>4029</v>
      </c>
      <c r="C188" s="52">
        <v>9</v>
      </c>
      <c r="D188" s="52">
        <v>9</v>
      </c>
      <c r="E188" s="52">
        <v>8</v>
      </c>
      <c r="F188" s="52">
        <v>12</v>
      </c>
      <c r="G188" s="52">
        <v>9</v>
      </c>
      <c r="H188" s="52">
        <v>10</v>
      </c>
      <c r="I188" s="52">
        <v>57</v>
      </c>
      <c r="J188" s="105">
        <v>9.5</v>
      </c>
      <c r="K188" s="52"/>
    </row>
    <row r="189" spans="1:11" ht="15.75" customHeight="1" x14ac:dyDescent="0.25">
      <c r="A189" s="2">
        <v>145</v>
      </c>
      <c r="B189" s="2" t="s">
        <v>4030</v>
      </c>
      <c r="C189" s="52">
        <v>9</v>
      </c>
      <c r="D189" s="52">
        <v>12</v>
      </c>
      <c r="E189" s="52">
        <v>9</v>
      </c>
      <c r="F189" s="52">
        <v>8</v>
      </c>
      <c r="G189" s="52">
        <v>9</v>
      </c>
      <c r="H189" s="52">
        <v>10</v>
      </c>
      <c r="I189" s="52">
        <v>57</v>
      </c>
      <c r="J189" s="105">
        <v>9.5</v>
      </c>
      <c r="K189" s="52"/>
    </row>
    <row r="190" spans="1:11" ht="15.75" customHeight="1" x14ac:dyDescent="0.25">
      <c r="A190" s="2">
        <v>146</v>
      </c>
      <c r="B190" s="2" t="s">
        <v>4031</v>
      </c>
      <c r="C190" s="52">
        <v>9</v>
      </c>
      <c r="D190" s="52">
        <v>10</v>
      </c>
      <c r="E190" s="52">
        <v>9</v>
      </c>
      <c r="F190" s="52">
        <v>12</v>
      </c>
      <c r="G190" s="52">
        <v>8</v>
      </c>
      <c r="H190" s="52">
        <v>9</v>
      </c>
      <c r="I190" s="52">
        <v>57</v>
      </c>
      <c r="J190" s="105">
        <v>9.5</v>
      </c>
      <c r="K190" s="52"/>
    </row>
    <row r="191" spans="1:11" ht="15.75" customHeight="1" x14ac:dyDescent="0.25">
      <c r="A191" s="2">
        <v>146</v>
      </c>
      <c r="B191" s="2" t="s">
        <v>4032</v>
      </c>
      <c r="C191" s="52">
        <v>9</v>
      </c>
      <c r="D191" s="52">
        <v>8</v>
      </c>
      <c r="E191" s="52">
        <v>9</v>
      </c>
      <c r="F191" s="52">
        <v>10</v>
      </c>
      <c r="G191" s="52">
        <v>12</v>
      </c>
      <c r="H191" s="52">
        <v>9</v>
      </c>
      <c r="I191" s="52">
        <v>57</v>
      </c>
      <c r="J191" s="105">
        <v>9.5</v>
      </c>
      <c r="K191" s="52"/>
    </row>
    <row r="192" spans="1:11" ht="15.75" customHeight="1" x14ac:dyDescent="0.25">
      <c r="A192" s="2">
        <v>147</v>
      </c>
      <c r="B192" s="2" t="s">
        <v>4033</v>
      </c>
      <c r="C192" s="52">
        <v>4</v>
      </c>
      <c r="D192" s="52">
        <v>6</v>
      </c>
      <c r="E192" s="52">
        <v>4</v>
      </c>
      <c r="F192" s="52">
        <v>5</v>
      </c>
      <c r="G192" s="52">
        <v>5</v>
      </c>
      <c r="H192" s="52">
        <v>5</v>
      </c>
      <c r="I192" s="52">
        <v>29</v>
      </c>
      <c r="J192" s="105">
        <v>4.833333333333333</v>
      </c>
      <c r="K192" s="52"/>
    </row>
    <row r="193" spans="1:11" ht="15.75" customHeight="1" x14ac:dyDescent="0.25">
      <c r="A193" s="2">
        <v>148</v>
      </c>
      <c r="B193" s="2" t="s">
        <v>4034</v>
      </c>
      <c r="C193" s="52">
        <v>6</v>
      </c>
      <c r="D193" s="52">
        <v>8</v>
      </c>
      <c r="E193" s="52">
        <v>6</v>
      </c>
      <c r="F193" s="52">
        <v>7</v>
      </c>
      <c r="G193" s="52">
        <v>7</v>
      </c>
      <c r="H193" s="52">
        <v>7</v>
      </c>
      <c r="I193" s="52">
        <v>41</v>
      </c>
      <c r="J193" s="105">
        <v>6.833333333333333</v>
      </c>
      <c r="K193" s="52"/>
    </row>
    <row r="194" spans="1:11" ht="15.75" customHeight="1" x14ac:dyDescent="0.25">
      <c r="A194" s="2">
        <v>149</v>
      </c>
      <c r="B194" s="2" t="s">
        <v>4035</v>
      </c>
      <c r="C194" s="52">
        <v>9</v>
      </c>
      <c r="D194" s="52">
        <v>13</v>
      </c>
      <c r="E194" s="52">
        <v>9</v>
      </c>
      <c r="F194" s="52">
        <v>10</v>
      </c>
      <c r="G194" s="52">
        <v>10</v>
      </c>
      <c r="H194" s="52">
        <v>8</v>
      </c>
      <c r="I194" s="52">
        <v>59</v>
      </c>
      <c r="J194" s="105">
        <v>9.8333333333333339</v>
      </c>
      <c r="K194" s="52"/>
    </row>
    <row r="195" spans="1:11" ht="15.75" customHeight="1" x14ac:dyDescent="0.25">
      <c r="A195" s="2">
        <v>150</v>
      </c>
      <c r="B195" s="2" t="s">
        <v>4036</v>
      </c>
      <c r="C195" s="52">
        <v>10</v>
      </c>
      <c r="D195" s="52">
        <v>11</v>
      </c>
      <c r="E195" s="52">
        <v>9</v>
      </c>
      <c r="F195" s="52">
        <v>15</v>
      </c>
      <c r="G195" s="52">
        <v>9</v>
      </c>
      <c r="H195" s="52">
        <v>13</v>
      </c>
      <c r="I195" s="52">
        <v>67</v>
      </c>
      <c r="J195" s="105">
        <v>11.166666666666666</v>
      </c>
      <c r="K195" s="52"/>
    </row>
    <row r="196" spans="1:11" ht="15.75" customHeight="1" x14ac:dyDescent="0.25">
      <c r="A196" s="2">
        <v>150</v>
      </c>
      <c r="B196" s="2" t="s">
        <v>4037</v>
      </c>
      <c r="C196" s="52">
        <v>10</v>
      </c>
      <c r="D196" s="52">
        <v>19</v>
      </c>
      <c r="E196" s="52">
        <v>10</v>
      </c>
      <c r="F196" s="52">
        <v>15</v>
      </c>
      <c r="G196" s="52">
        <v>10</v>
      </c>
      <c r="H196" s="52">
        <v>13</v>
      </c>
      <c r="I196" s="52">
        <v>77</v>
      </c>
      <c r="J196" s="105">
        <v>12.833333333333334</v>
      </c>
      <c r="K196" s="52"/>
    </row>
    <row r="197" spans="1:11" ht="15.75" customHeight="1" x14ac:dyDescent="0.25">
      <c r="A197" s="2">
        <v>150</v>
      </c>
      <c r="B197" s="2" t="s">
        <v>4038</v>
      </c>
      <c r="C197" s="52">
        <v>10</v>
      </c>
      <c r="D197" s="52">
        <v>15</v>
      </c>
      <c r="E197" s="52">
        <v>7</v>
      </c>
      <c r="F197" s="52">
        <v>19</v>
      </c>
      <c r="G197" s="52">
        <v>12</v>
      </c>
      <c r="H197" s="52">
        <v>14</v>
      </c>
      <c r="I197" s="52">
        <v>77</v>
      </c>
      <c r="J197" s="105">
        <v>12.833333333333334</v>
      </c>
      <c r="K197" s="52"/>
    </row>
    <row r="198" spans="1:11" ht="15.75" customHeight="1" x14ac:dyDescent="0.25">
      <c r="A198" s="2">
        <v>151</v>
      </c>
      <c r="B198" s="2" t="s">
        <v>4039</v>
      </c>
      <c r="C198" s="52">
        <v>10</v>
      </c>
      <c r="D198" s="52">
        <v>10</v>
      </c>
      <c r="E198" s="52">
        <v>10</v>
      </c>
      <c r="F198" s="52">
        <v>10</v>
      </c>
      <c r="G198" s="52">
        <v>10</v>
      </c>
      <c r="H198" s="52">
        <v>10</v>
      </c>
      <c r="I198" s="52">
        <v>60</v>
      </c>
      <c r="J198" s="105">
        <v>10</v>
      </c>
      <c r="K198" s="52"/>
    </row>
    <row r="199" spans="1:11" ht="15.75" customHeight="1" x14ac:dyDescent="0.25">
      <c r="A199" s="2">
        <v>152</v>
      </c>
      <c r="B199" s="2" t="s">
        <v>4040</v>
      </c>
      <c r="C199" s="52">
        <v>4</v>
      </c>
      <c r="D199" s="52">
        <v>4</v>
      </c>
      <c r="E199" s="52">
        <v>6</v>
      </c>
      <c r="F199" s="52">
        <v>4</v>
      </c>
      <c r="G199" s="52">
        <v>6</v>
      </c>
      <c r="H199" s="52">
        <v>4</v>
      </c>
      <c r="I199" s="52">
        <v>28</v>
      </c>
      <c r="J199" s="105">
        <v>4.666666666666667</v>
      </c>
      <c r="K199" s="52"/>
    </row>
    <row r="200" spans="1:11" ht="15.75" customHeight="1" x14ac:dyDescent="0.25">
      <c r="A200" s="2">
        <v>153</v>
      </c>
      <c r="B200" s="2" t="s">
        <v>4041</v>
      </c>
      <c r="C200" s="52">
        <v>6</v>
      </c>
      <c r="D200" s="52">
        <v>6</v>
      </c>
      <c r="E200" s="52">
        <v>8</v>
      </c>
      <c r="F200" s="52">
        <v>6</v>
      </c>
      <c r="G200" s="52">
        <v>8</v>
      </c>
      <c r="H200" s="52">
        <v>6</v>
      </c>
      <c r="I200" s="52">
        <v>40</v>
      </c>
      <c r="J200" s="105">
        <v>6.666666666666667</v>
      </c>
      <c r="K200" s="52"/>
    </row>
    <row r="201" spans="1:11" ht="15.75" customHeight="1" x14ac:dyDescent="0.25">
      <c r="A201" s="2">
        <v>154</v>
      </c>
      <c r="B201" s="2" t="s">
        <v>4042</v>
      </c>
      <c r="C201" s="52">
        <v>8</v>
      </c>
      <c r="D201" s="52">
        <v>8</v>
      </c>
      <c r="E201" s="52">
        <v>10</v>
      </c>
      <c r="F201" s="52">
        <v>8</v>
      </c>
      <c r="G201" s="52">
        <v>10</v>
      </c>
      <c r="H201" s="52">
        <v>8</v>
      </c>
      <c r="I201" s="52">
        <v>52</v>
      </c>
      <c r="J201" s="105">
        <v>8.6666666666666661</v>
      </c>
      <c r="K201" s="52"/>
    </row>
    <row r="202" spans="1:11" ht="15.75" customHeight="1" x14ac:dyDescent="0.25">
      <c r="A202" s="2">
        <v>155</v>
      </c>
      <c r="B202" s="2" t="s">
        <v>4043</v>
      </c>
      <c r="C202" s="52">
        <v>3</v>
      </c>
      <c r="D202" s="52">
        <v>5</v>
      </c>
      <c r="E202" s="52">
        <v>4</v>
      </c>
      <c r="F202" s="52">
        <v>6</v>
      </c>
      <c r="G202" s="52">
        <v>5</v>
      </c>
      <c r="H202" s="52">
        <v>6</v>
      </c>
      <c r="I202" s="52">
        <v>29</v>
      </c>
      <c r="J202" s="105">
        <v>4.833333333333333</v>
      </c>
      <c r="K202" s="52"/>
    </row>
    <row r="203" spans="1:11" ht="15.75" customHeight="1" x14ac:dyDescent="0.25">
      <c r="A203" s="2">
        <v>156</v>
      </c>
      <c r="B203" s="2" t="s">
        <v>4044</v>
      </c>
      <c r="C203" s="52">
        <v>5</v>
      </c>
      <c r="D203" s="52">
        <v>6</v>
      </c>
      <c r="E203" s="52">
        <v>5</v>
      </c>
      <c r="F203" s="52">
        <v>8</v>
      </c>
      <c r="G203" s="52">
        <v>6</v>
      </c>
      <c r="H203" s="52">
        <v>8</v>
      </c>
      <c r="I203" s="52">
        <v>38</v>
      </c>
      <c r="J203" s="105">
        <v>6.333333333333333</v>
      </c>
      <c r="K203" s="52"/>
    </row>
    <row r="204" spans="1:11" ht="15.75" customHeight="1" x14ac:dyDescent="0.25">
      <c r="A204" s="2">
        <v>157</v>
      </c>
      <c r="B204" s="2" t="s">
        <v>4045</v>
      </c>
      <c r="C204" s="52">
        <v>7</v>
      </c>
      <c r="D204" s="52">
        <v>8</v>
      </c>
      <c r="E204" s="52">
        <v>7</v>
      </c>
      <c r="F204" s="52">
        <v>10</v>
      </c>
      <c r="G204" s="52">
        <v>8</v>
      </c>
      <c r="H204" s="52">
        <v>10</v>
      </c>
      <c r="I204" s="52">
        <v>50</v>
      </c>
      <c r="J204" s="105">
        <v>8.3333333333333339</v>
      </c>
      <c r="K204" s="52"/>
    </row>
    <row r="205" spans="1:11" ht="15.75" customHeight="1" x14ac:dyDescent="0.25">
      <c r="A205" s="2">
        <v>158</v>
      </c>
      <c r="B205" s="2" t="s">
        <v>4046</v>
      </c>
      <c r="C205" s="52">
        <v>5</v>
      </c>
      <c r="D205" s="52">
        <v>6</v>
      </c>
      <c r="E205" s="52">
        <v>6</v>
      </c>
      <c r="F205" s="52">
        <v>4</v>
      </c>
      <c r="G205" s="52">
        <v>4</v>
      </c>
      <c r="H205" s="52">
        <v>4</v>
      </c>
      <c r="I205" s="52">
        <v>29</v>
      </c>
      <c r="J205" s="105">
        <v>4.833333333333333</v>
      </c>
      <c r="K205" s="52"/>
    </row>
    <row r="206" spans="1:11" ht="15.75" customHeight="1" x14ac:dyDescent="0.25">
      <c r="A206" s="2">
        <v>159</v>
      </c>
      <c r="B206" s="2" t="s">
        <v>4047</v>
      </c>
      <c r="C206" s="52">
        <v>6</v>
      </c>
      <c r="D206" s="52">
        <v>8</v>
      </c>
      <c r="E206" s="52">
        <v>8</v>
      </c>
      <c r="F206" s="52">
        <v>5</v>
      </c>
      <c r="G206" s="52">
        <v>6</v>
      </c>
      <c r="H206" s="52">
        <v>5</v>
      </c>
      <c r="I206" s="52">
        <v>38</v>
      </c>
      <c r="J206" s="105">
        <v>6.333333333333333</v>
      </c>
      <c r="K206" s="52"/>
    </row>
    <row r="207" spans="1:11" ht="15.75" customHeight="1" x14ac:dyDescent="0.25">
      <c r="A207" s="2">
        <v>160</v>
      </c>
      <c r="B207" s="2" t="s">
        <v>4048</v>
      </c>
      <c r="C207" s="52">
        <v>8</v>
      </c>
      <c r="D207" s="52">
        <v>10</v>
      </c>
      <c r="E207" s="52">
        <v>10</v>
      </c>
      <c r="F207" s="52">
        <v>7</v>
      </c>
      <c r="G207" s="52">
        <v>8</v>
      </c>
      <c r="H207" s="52">
        <v>7</v>
      </c>
      <c r="I207" s="52">
        <v>50</v>
      </c>
      <c r="J207" s="105">
        <v>8.3333333333333339</v>
      </c>
      <c r="K207" s="52"/>
    </row>
    <row r="208" spans="1:11" ht="15.75" customHeight="1" x14ac:dyDescent="0.25">
      <c r="A208" s="2">
        <v>161</v>
      </c>
      <c r="B208" s="2" t="s">
        <v>4049</v>
      </c>
      <c r="C208" s="52">
        <v>3</v>
      </c>
      <c r="D208" s="52">
        <v>4</v>
      </c>
      <c r="E208" s="52">
        <v>3</v>
      </c>
      <c r="F208" s="52">
        <v>3</v>
      </c>
      <c r="G208" s="52">
        <v>4</v>
      </c>
      <c r="H208" s="52">
        <v>2</v>
      </c>
      <c r="I208" s="52">
        <v>19</v>
      </c>
      <c r="J208" s="105">
        <v>3.1666666666666665</v>
      </c>
      <c r="K208" s="52"/>
    </row>
    <row r="209" spans="1:11" ht="15.75" customHeight="1" x14ac:dyDescent="0.25">
      <c r="A209" s="2">
        <v>162</v>
      </c>
      <c r="B209" s="2" t="s">
        <v>4050</v>
      </c>
      <c r="C209" s="52">
        <v>8</v>
      </c>
      <c r="D209" s="52">
        <v>7</v>
      </c>
      <c r="E209" s="52">
        <v>6</v>
      </c>
      <c r="F209" s="52">
        <v>4</v>
      </c>
      <c r="G209" s="52">
        <v>5</v>
      </c>
      <c r="H209" s="52">
        <v>9</v>
      </c>
      <c r="I209" s="52">
        <v>39</v>
      </c>
      <c r="J209" s="105">
        <v>6.5</v>
      </c>
      <c r="K209" s="52"/>
    </row>
    <row r="210" spans="1:11" ht="15.75" customHeight="1" x14ac:dyDescent="0.25">
      <c r="A210" s="2">
        <v>163</v>
      </c>
      <c r="B210" s="2" t="s">
        <v>4051</v>
      </c>
      <c r="C210" s="52">
        <v>6</v>
      </c>
      <c r="D210" s="52">
        <v>3</v>
      </c>
      <c r="E210" s="52">
        <v>3</v>
      </c>
      <c r="F210" s="52">
        <v>3</v>
      </c>
      <c r="G210" s="52">
        <v>5</v>
      </c>
      <c r="H210" s="52">
        <v>5</v>
      </c>
      <c r="I210" s="52">
        <v>25</v>
      </c>
      <c r="J210" s="105">
        <v>4.166666666666667</v>
      </c>
      <c r="K210" s="52"/>
    </row>
    <row r="211" spans="1:11" ht="15.75" customHeight="1" x14ac:dyDescent="0.25">
      <c r="A211" s="2">
        <v>164</v>
      </c>
      <c r="B211" s="2" t="s">
        <v>4052</v>
      </c>
      <c r="C211" s="52">
        <v>10</v>
      </c>
      <c r="D211" s="52">
        <v>5</v>
      </c>
      <c r="E211" s="52">
        <v>5</v>
      </c>
      <c r="F211" s="52">
        <v>8</v>
      </c>
      <c r="G211" s="52">
        <v>9</v>
      </c>
      <c r="H211" s="52">
        <v>7</v>
      </c>
      <c r="I211" s="52">
        <v>44</v>
      </c>
      <c r="J211" s="105">
        <v>7.333333333333333</v>
      </c>
      <c r="K211" s="52"/>
    </row>
    <row r="212" spans="1:11" ht="15.75" customHeight="1" x14ac:dyDescent="0.25">
      <c r="A212" s="2">
        <v>165</v>
      </c>
      <c r="B212" s="2" t="s">
        <v>4053</v>
      </c>
      <c r="C212" s="52">
        <v>4</v>
      </c>
      <c r="D212" s="52">
        <v>2</v>
      </c>
      <c r="E212" s="52">
        <v>3</v>
      </c>
      <c r="F212" s="52">
        <v>4</v>
      </c>
      <c r="G212" s="52">
        <v>8</v>
      </c>
      <c r="H212" s="52">
        <v>5</v>
      </c>
      <c r="I212" s="52">
        <v>26</v>
      </c>
      <c r="J212" s="105">
        <v>4.333333333333333</v>
      </c>
      <c r="K212" s="52"/>
    </row>
    <row r="213" spans="1:11" ht="15.75" customHeight="1" x14ac:dyDescent="0.25">
      <c r="A213" s="2">
        <v>166</v>
      </c>
      <c r="B213" s="2" t="s">
        <v>4054</v>
      </c>
      <c r="C213" s="52">
        <v>5</v>
      </c>
      <c r="D213" s="52">
        <v>3</v>
      </c>
      <c r="E213" s="52">
        <v>5</v>
      </c>
      <c r="F213" s="52">
        <v>5</v>
      </c>
      <c r="G213" s="52">
        <v>11</v>
      </c>
      <c r="H213" s="52">
        <v>8</v>
      </c>
      <c r="I213" s="52">
        <v>37</v>
      </c>
      <c r="J213" s="105">
        <v>6.166666666666667</v>
      </c>
      <c r="K213" s="52"/>
    </row>
    <row r="214" spans="1:11" ht="15.75" customHeight="1" x14ac:dyDescent="0.25">
      <c r="A214" s="2">
        <v>167</v>
      </c>
      <c r="B214" s="2" t="s">
        <v>4055</v>
      </c>
      <c r="C214" s="52">
        <v>4</v>
      </c>
      <c r="D214" s="52">
        <v>6</v>
      </c>
      <c r="E214" s="52">
        <v>4</v>
      </c>
      <c r="F214" s="52">
        <v>4</v>
      </c>
      <c r="G214" s="52">
        <v>4</v>
      </c>
      <c r="H214" s="52">
        <v>3</v>
      </c>
      <c r="I214" s="52">
        <v>25</v>
      </c>
      <c r="J214" s="105">
        <v>4.166666666666667</v>
      </c>
      <c r="K214" s="52"/>
    </row>
    <row r="215" spans="1:11" ht="15.75" customHeight="1" x14ac:dyDescent="0.25">
      <c r="A215" s="2">
        <v>168</v>
      </c>
      <c r="B215" s="2" t="s">
        <v>4056</v>
      </c>
      <c r="C215" s="52">
        <v>7</v>
      </c>
      <c r="D215" s="52">
        <v>9</v>
      </c>
      <c r="E215" s="52">
        <v>7</v>
      </c>
      <c r="F215" s="52">
        <v>6</v>
      </c>
      <c r="G215" s="52">
        <v>7</v>
      </c>
      <c r="H215" s="52">
        <v>4</v>
      </c>
      <c r="I215" s="52">
        <v>40</v>
      </c>
      <c r="J215" s="105">
        <v>6.666666666666667</v>
      </c>
      <c r="K215" s="52"/>
    </row>
    <row r="216" spans="1:11" ht="15.75" customHeight="1" x14ac:dyDescent="0.25">
      <c r="A216" s="2">
        <v>169</v>
      </c>
      <c r="B216" s="2" t="s">
        <v>4057</v>
      </c>
      <c r="C216" s="52">
        <v>8</v>
      </c>
      <c r="D216" s="52">
        <v>9</v>
      </c>
      <c r="E216" s="52">
        <v>8</v>
      </c>
      <c r="F216" s="52">
        <v>7</v>
      </c>
      <c r="G216" s="52">
        <v>8</v>
      </c>
      <c r="H216" s="52">
        <v>13</v>
      </c>
      <c r="I216" s="52">
        <v>53</v>
      </c>
      <c r="J216" s="105">
        <v>8.8333333333333339</v>
      </c>
      <c r="K216" s="52"/>
    </row>
    <row r="217" spans="1:11" ht="15.75" customHeight="1" x14ac:dyDescent="0.25">
      <c r="A217" s="2">
        <v>170</v>
      </c>
      <c r="B217" s="2" t="s">
        <v>4058</v>
      </c>
      <c r="C217" s="52">
        <v>7</v>
      </c>
      <c r="D217" s="52">
        <v>3</v>
      </c>
      <c r="E217" s="52">
        <v>3</v>
      </c>
      <c r="F217" s="52">
        <v>5</v>
      </c>
      <c r="G217" s="52">
        <v>5</v>
      </c>
      <c r="H217" s="52">
        <v>6</v>
      </c>
      <c r="I217" s="52">
        <v>29</v>
      </c>
      <c r="J217" s="105">
        <v>4.833333333333333</v>
      </c>
      <c r="K217" s="52"/>
    </row>
    <row r="218" spans="1:11" ht="15.75" customHeight="1" x14ac:dyDescent="0.25">
      <c r="A218" s="2">
        <v>171</v>
      </c>
      <c r="B218" s="2" t="s">
        <v>4059</v>
      </c>
      <c r="C218" s="52">
        <v>12</v>
      </c>
      <c r="D218" s="52">
        <v>5</v>
      </c>
      <c r="E218" s="52">
        <v>5</v>
      </c>
      <c r="F218" s="52">
        <v>7</v>
      </c>
      <c r="G218" s="52">
        <v>7</v>
      </c>
      <c r="H218" s="52">
        <v>6</v>
      </c>
      <c r="I218" s="52">
        <v>42</v>
      </c>
      <c r="J218" s="105">
        <v>7</v>
      </c>
      <c r="K218" s="52"/>
    </row>
    <row r="219" spans="1:11" ht="15.75" customHeight="1" x14ac:dyDescent="0.25">
      <c r="A219" s="2">
        <v>172</v>
      </c>
      <c r="B219" s="2" t="s">
        <v>4060</v>
      </c>
      <c r="C219" s="52">
        <v>2</v>
      </c>
      <c r="D219" s="52">
        <v>4</v>
      </c>
      <c r="E219" s="52">
        <v>1</v>
      </c>
      <c r="F219" s="52">
        <v>3</v>
      </c>
      <c r="G219" s="52">
        <v>3</v>
      </c>
      <c r="H219" s="52">
        <v>6</v>
      </c>
      <c r="I219" s="52">
        <v>19</v>
      </c>
      <c r="J219" s="105">
        <v>3.1666666666666665</v>
      </c>
      <c r="K219" s="52"/>
    </row>
    <row r="220" spans="1:11" ht="15.75" customHeight="1" x14ac:dyDescent="0.25">
      <c r="A220" s="2">
        <v>173</v>
      </c>
      <c r="B220" s="2" t="s">
        <v>4061</v>
      </c>
      <c r="C220" s="52">
        <v>5</v>
      </c>
      <c r="D220" s="52">
        <v>2</v>
      </c>
      <c r="E220" s="52">
        <v>2</v>
      </c>
      <c r="F220" s="52">
        <v>4</v>
      </c>
      <c r="G220" s="52">
        <v>5</v>
      </c>
      <c r="H220" s="52">
        <v>1</v>
      </c>
      <c r="I220" s="52">
        <v>19</v>
      </c>
      <c r="J220" s="105">
        <v>3.1666666666666665</v>
      </c>
      <c r="K220" s="52"/>
    </row>
    <row r="221" spans="1:11" ht="15.75" customHeight="1" x14ac:dyDescent="0.25">
      <c r="A221" s="2">
        <v>174</v>
      </c>
      <c r="B221" s="2" t="s">
        <v>4062</v>
      </c>
      <c r="C221" s="52">
        <v>9</v>
      </c>
      <c r="D221" s="52">
        <v>3</v>
      </c>
      <c r="E221" s="52">
        <v>1</v>
      </c>
      <c r="F221" s="52">
        <v>4</v>
      </c>
      <c r="G221" s="52">
        <v>2</v>
      </c>
      <c r="H221" s="52">
        <v>1</v>
      </c>
      <c r="I221" s="52">
        <v>20</v>
      </c>
      <c r="J221" s="105">
        <v>3.3333333333333335</v>
      </c>
      <c r="K221" s="52"/>
    </row>
    <row r="222" spans="1:11" ht="15.75" customHeight="1" x14ac:dyDescent="0.25">
      <c r="A222" s="2">
        <v>175</v>
      </c>
      <c r="B222" s="2" t="s">
        <v>4063</v>
      </c>
      <c r="C222" s="52">
        <v>3</v>
      </c>
      <c r="D222" s="52">
        <v>2</v>
      </c>
      <c r="E222" s="52">
        <v>6</v>
      </c>
      <c r="F222" s="52">
        <v>4</v>
      </c>
      <c r="G222" s="52">
        <v>6</v>
      </c>
      <c r="H222" s="52">
        <v>2</v>
      </c>
      <c r="I222" s="52">
        <v>23</v>
      </c>
      <c r="J222" s="105">
        <v>3.8333333333333335</v>
      </c>
      <c r="K222" s="52"/>
    </row>
    <row r="223" spans="1:11" ht="15.75" customHeight="1" x14ac:dyDescent="0.25">
      <c r="A223" s="2">
        <v>176</v>
      </c>
      <c r="B223" s="2" t="s">
        <v>4064</v>
      </c>
      <c r="C223" s="52">
        <v>5</v>
      </c>
      <c r="D223" s="52">
        <v>4</v>
      </c>
      <c r="E223" s="52">
        <v>8</v>
      </c>
      <c r="F223" s="52">
        <v>8</v>
      </c>
      <c r="G223" s="52">
        <v>10</v>
      </c>
      <c r="H223" s="52">
        <v>4</v>
      </c>
      <c r="I223" s="52">
        <v>39</v>
      </c>
      <c r="J223" s="105">
        <v>6.5</v>
      </c>
      <c r="K223" s="52"/>
    </row>
    <row r="224" spans="1:11" ht="15.75" customHeight="1" x14ac:dyDescent="0.25">
      <c r="A224" s="2">
        <v>177</v>
      </c>
      <c r="B224" s="2" t="s">
        <v>4065</v>
      </c>
      <c r="C224" s="52">
        <v>4</v>
      </c>
      <c r="D224" s="52">
        <v>5</v>
      </c>
      <c r="E224" s="52">
        <v>4</v>
      </c>
      <c r="F224" s="52">
        <v>7</v>
      </c>
      <c r="G224" s="52">
        <v>4</v>
      </c>
      <c r="H224" s="52">
        <v>7</v>
      </c>
      <c r="I224" s="52">
        <v>31</v>
      </c>
      <c r="J224" s="105">
        <v>5.166666666666667</v>
      </c>
      <c r="K224" s="52"/>
    </row>
    <row r="225" spans="1:11" ht="15.75" customHeight="1" x14ac:dyDescent="0.25">
      <c r="A225" s="2">
        <v>178</v>
      </c>
      <c r="B225" s="2" t="s">
        <v>4066</v>
      </c>
      <c r="C225" s="52">
        <v>6</v>
      </c>
      <c r="D225" s="52">
        <v>7</v>
      </c>
      <c r="E225" s="52">
        <v>7</v>
      </c>
      <c r="F225" s="52">
        <v>9</v>
      </c>
      <c r="G225" s="52">
        <v>7</v>
      </c>
      <c r="H225" s="52">
        <v>9</v>
      </c>
      <c r="I225" s="52">
        <v>45</v>
      </c>
      <c r="J225" s="105">
        <v>7.5</v>
      </c>
      <c r="K225" s="52"/>
    </row>
    <row r="226" spans="1:11" ht="15.75" customHeight="1" x14ac:dyDescent="0.25">
      <c r="A226" s="2">
        <v>179</v>
      </c>
      <c r="B226" s="2" t="s">
        <v>4067</v>
      </c>
      <c r="C226" s="52">
        <v>5</v>
      </c>
      <c r="D226" s="52">
        <v>4</v>
      </c>
      <c r="E226" s="52">
        <v>4</v>
      </c>
      <c r="F226" s="52">
        <v>6</v>
      </c>
      <c r="G226" s="52">
        <v>4</v>
      </c>
      <c r="H226" s="52">
        <v>3</v>
      </c>
      <c r="I226" s="52">
        <v>26</v>
      </c>
      <c r="J226" s="105">
        <v>4.333333333333333</v>
      </c>
      <c r="K226" s="52"/>
    </row>
    <row r="227" spans="1:11" ht="15.75" customHeight="1" x14ac:dyDescent="0.25">
      <c r="A227" s="2">
        <v>180</v>
      </c>
      <c r="B227" s="2" t="s">
        <v>4068</v>
      </c>
      <c r="C227" s="52">
        <v>7</v>
      </c>
      <c r="D227" s="52">
        <v>5</v>
      </c>
      <c r="E227" s="52">
        <v>5</v>
      </c>
      <c r="F227" s="52">
        <v>8</v>
      </c>
      <c r="G227" s="52">
        <v>6</v>
      </c>
      <c r="H227" s="52">
        <v>4</v>
      </c>
      <c r="I227" s="52">
        <v>35</v>
      </c>
      <c r="J227" s="105">
        <v>5.833333333333333</v>
      </c>
      <c r="K227" s="52"/>
    </row>
    <row r="228" spans="1:11" ht="15.75" customHeight="1" x14ac:dyDescent="0.25">
      <c r="A228" s="2">
        <v>181</v>
      </c>
      <c r="B228" s="2" t="s">
        <v>4069</v>
      </c>
      <c r="C228" s="52">
        <v>9</v>
      </c>
      <c r="D228" s="52">
        <v>7</v>
      </c>
      <c r="E228" s="52">
        <v>8</v>
      </c>
      <c r="F228" s="52">
        <v>11</v>
      </c>
      <c r="G228" s="52">
        <v>9</v>
      </c>
      <c r="H228" s="52">
        <v>5</v>
      </c>
      <c r="I228" s="52">
        <v>49</v>
      </c>
      <c r="J228" s="105">
        <v>8.1666666666666661</v>
      </c>
      <c r="K228" s="52"/>
    </row>
    <row r="229" spans="1:11" ht="15.75" customHeight="1" x14ac:dyDescent="0.25">
      <c r="A229" s="2">
        <v>181</v>
      </c>
      <c r="B229" s="2" t="s">
        <v>4070</v>
      </c>
      <c r="C229" s="52">
        <v>9</v>
      </c>
      <c r="D229" s="52">
        <v>9</v>
      </c>
      <c r="E229" s="52">
        <v>10</v>
      </c>
      <c r="F229" s="52">
        <v>16</v>
      </c>
      <c r="G229" s="52">
        <v>11</v>
      </c>
      <c r="H229" s="52">
        <v>4</v>
      </c>
      <c r="I229" s="52">
        <v>59</v>
      </c>
      <c r="J229" s="105">
        <v>9.8333333333333339</v>
      </c>
      <c r="K229" s="52"/>
    </row>
    <row r="230" spans="1:11" ht="15.75" customHeight="1" x14ac:dyDescent="0.25">
      <c r="A230" s="2">
        <v>182</v>
      </c>
      <c r="B230" s="2" t="s">
        <v>4071</v>
      </c>
      <c r="C230" s="52">
        <v>7</v>
      </c>
      <c r="D230" s="52">
        <v>8</v>
      </c>
      <c r="E230" s="52">
        <v>9</v>
      </c>
      <c r="F230" s="52">
        <v>9</v>
      </c>
      <c r="G230" s="52">
        <v>10</v>
      </c>
      <c r="H230" s="52">
        <v>5</v>
      </c>
      <c r="I230" s="52">
        <v>48</v>
      </c>
      <c r="J230" s="105">
        <v>8</v>
      </c>
      <c r="K230" s="52"/>
    </row>
    <row r="231" spans="1:11" ht="15.75" customHeight="1" x14ac:dyDescent="0.25">
      <c r="A231" s="2">
        <v>183</v>
      </c>
      <c r="B231" s="2" t="s">
        <v>4072</v>
      </c>
      <c r="C231" s="52">
        <v>7</v>
      </c>
      <c r="D231" s="52">
        <v>2</v>
      </c>
      <c r="E231" s="52">
        <v>5</v>
      </c>
      <c r="F231" s="52">
        <v>2</v>
      </c>
      <c r="G231" s="52">
        <v>5</v>
      </c>
      <c r="H231" s="52">
        <v>4</v>
      </c>
      <c r="I231" s="52">
        <v>25</v>
      </c>
      <c r="J231" s="105">
        <v>4.166666666666667</v>
      </c>
      <c r="K231" s="52"/>
    </row>
    <row r="232" spans="1:11" ht="15.75" customHeight="1" x14ac:dyDescent="0.25">
      <c r="A232" s="2">
        <v>184</v>
      </c>
      <c r="B232" s="2" t="s">
        <v>4073</v>
      </c>
      <c r="C232" s="52">
        <v>10</v>
      </c>
      <c r="D232" s="52">
        <v>5</v>
      </c>
      <c r="E232" s="52">
        <v>8</v>
      </c>
      <c r="F232" s="52">
        <v>6</v>
      </c>
      <c r="G232" s="52">
        <v>8</v>
      </c>
      <c r="H232" s="52">
        <v>5</v>
      </c>
      <c r="I232" s="52">
        <v>42</v>
      </c>
      <c r="J232" s="105">
        <v>7</v>
      </c>
      <c r="K232" s="52"/>
    </row>
    <row r="233" spans="1:11" ht="15.75" customHeight="1" x14ac:dyDescent="0.25">
      <c r="A233" s="2">
        <v>185</v>
      </c>
      <c r="B233" s="2" t="s">
        <v>4074</v>
      </c>
      <c r="C233" s="52">
        <v>7</v>
      </c>
      <c r="D233" s="52">
        <v>10</v>
      </c>
      <c r="E233" s="52">
        <v>11</v>
      </c>
      <c r="F233" s="52">
        <v>3</v>
      </c>
      <c r="G233" s="52">
        <v>6</v>
      </c>
      <c r="H233" s="52">
        <v>3</v>
      </c>
      <c r="I233" s="52">
        <v>40</v>
      </c>
      <c r="J233" s="105">
        <v>6.666666666666667</v>
      </c>
      <c r="K233" s="52"/>
    </row>
    <row r="234" spans="1:11" ht="15.75" customHeight="1" x14ac:dyDescent="0.25">
      <c r="A234" s="2">
        <v>186</v>
      </c>
      <c r="B234" s="2" t="s">
        <v>4075</v>
      </c>
      <c r="C234" s="52">
        <v>9</v>
      </c>
      <c r="D234" s="52">
        <v>7</v>
      </c>
      <c r="E234" s="52">
        <v>7</v>
      </c>
      <c r="F234" s="52">
        <v>9</v>
      </c>
      <c r="G234" s="52">
        <v>10</v>
      </c>
      <c r="H234" s="52">
        <v>7</v>
      </c>
      <c r="I234" s="52">
        <v>49</v>
      </c>
      <c r="J234" s="105">
        <v>8.1666666666666661</v>
      </c>
      <c r="K234" s="52"/>
    </row>
    <row r="235" spans="1:11" ht="15.75" customHeight="1" x14ac:dyDescent="0.25">
      <c r="A235" s="2">
        <v>187</v>
      </c>
      <c r="B235" s="2" t="s">
        <v>4076</v>
      </c>
      <c r="C235" s="52">
        <v>3</v>
      </c>
      <c r="D235" s="52">
        <v>3</v>
      </c>
      <c r="E235" s="52">
        <v>4</v>
      </c>
      <c r="F235" s="52">
        <v>3</v>
      </c>
      <c r="G235" s="52">
        <v>5</v>
      </c>
      <c r="H235" s="52">
        <v>5</v>
      </c>
      <c r="I235" s="52">
        <v>23</v>
      </c>
      <c r="J235" s="105">
        <v>3.8333333333333335</v>
      </c>
      <c r="K235" s="52"/>
    </row>
    <row r="236" spans="1:11" ht="15.75" customHeight="1" x14ac:dyDescent="0.25">
      <c r="A236" s="2">
        <v>188</v>
      </c>
      <c r="B236" s="2" t="s">
        <v>4077</v>
      </c>
      <c r="C236" s="52">
        <v>5</v>
      </c>
      <c r="D236" s="52">
        <v>4</v>
      </c>
      <c r="E236" s="52">
        <v>5</v>
      </c>
      <c r="F236" s="52">
        <v>4</v>
      </c>
      <c r="G236" s="52">
        <v>6</v>
      </c>
      <c r="H236" s="52">
        <v>8</v>
      </c>
      <c r="I236" s="52">
        <v>32</v>
      </c>
      <c r="J236" s="105">
        <v>5.333333333333333</v>
      </c>
      <c r="K236" s="52"/>
    </row>
    <row r="237" spans="1:11" ht="15.75" customHeight="1" x14ac:dyDescent="0.25">
      <c r="A237" s="2">
        <v>189</v>
      </c>
      <c r="B237" s="2" t="s">
        <v>4078</v>
      </c>
      <c r="C237" s="52">
        <v>7</v>
      </c>
      <c r="D237" s="52">
        <v>5</v>
      </c>
      <c r="E237" s="52">
        <v>7</v>
      </c>
      <c r="F237" s="52">
        <v>5</v>
      </c>
      <c r="G237" s="52">
        <v>9</v>
      </c>
      <c r="H237" s="52">
        <v>11</v>
      </c>
      <c r="I237" s="52">
        <v>44</v>
      </c>
      <c r="J237" s="105">
        <v>7.333333333333333</v>
      </c>
      <c r="K237" s="52"/>
    </row>
    <row r="238" spans="1:11" ht="15.75" customHeight="1" x14ac:dyDescent="0.25">
      <c r="A238" s="2">
        <v>190</v>
      </c>
      <c r="B238" s="2" t="s">
        <v>4079</v>
      </c>
      <c r="C238" s="52">
        <v>5</v>
      </c>
      <c r="D238" s="52">
        <v>7</v>
      </c>
      <c r="E238" s="52">
        <v>5</v>
      </c>
      <c r="F238" s="52">
        <v>4</v>
      </c>
      <c r="G238" s="52">
        <v>5</v>
      </c>
      <c r="H238" s="52">
        <v>8</v>
      </c>
      <c r="I238" s="52">
        <v>34</v>
      </c>
      <c r="J238" s="105">
        <v>5.666666666666667</v>
      </c>
      <c r="K238" s="52"/>
    </row>
    <row r="239" spans="1:11" ht="15.75" customHeight="1" x14ac:dyDescent="0.25">
      <c r="A239" s="2">
        <v>191</v>
      </c>
      <c r="B239" s="2" t="s">
        <v>4080</v>
      </c>
      <c r="C239" s="52">
        <v>3</v>
      </c>
      <c r="D239" s="52">
        <v>3</v>
      </c>
      <c r="E239" s="52">
        <v>3</v>
      </c>
      <c r="F239" s="52">
        <v>3</v>
      </c>
      <c r="G239" s="52">
        <v>3</v>
      </c>
      <c r="H239" s="52">
        <v>3</v>
      </c>
      <c r="I239" s="52">
        <v>18</v>
      </c>
      <c r="J239" s="105">
        <v>3</v>
      </c>
      <c r="K239" s="52"/>
    </row>
    <row r="240" spans="1:11" ht="15.75" customHeight="1" x14ac:dyDescent="0.25">
      <c r="A240" s="2">
        <v>192</v>
      </c>
      <c r="B240" s="2" t="s">
        <v>4081</v>
      </c>
      <c r="C240" s="52">
        <v>7</v>
      </c>
      <c r="D240" s="52">
        <v>7</v>
      </c>
      <c r="E240" s="52">
        <v>5</v>
      </c>
      <c r="F240" s="52">
        <v>10</v>
      </c>
      <c r="G240" s="52">
        <v>8</v>
      </c>
      <c r="H240" s="52">
        <v>3</v>
      </c>
      <c r="I240" s="52">
        <v>40</v>
      </c>
      <c r="J240" s="105">
        <v>6.666666666666667</v>
      </c>
      <c r="K240" s="52"/>
    </row>
    <row r="241" spans="1:11" ht="15.75" customHeight="1" x14ac:dyDescent="0.25">
      <c r="A241" s="2">
        <v>193</v>
      </c>
      <c r="B241" s="2" t="s">
        <v>4082</v>
      </c>
      <c r="C241" s="52">
        <v>6</v>
      </c>
      <c r="D241" s="52">
        <v>6</v>
      </c>
      <c r="E241" s="52">
        <v>4</v>
      </c>
      <c r="F241" s="52">
        <v>7</v>
      </c>
      <c r="G241" s="52">
        <v>4</v>
      </c>
      <c r="H241" s="52">
        <v>9</v>
      </c>
      <c r="I241" s="52">
        <v>36</v>
      </c>
      <c r="J241" s="105">
        <v>6</v>
      </c>
      <c r="K241" s="52"/>
    </row>
    <row r="242" spans="1:11" ht="15.75" customHeight="1" x14ac:dyDescent="0.25">
      <c r="A242" s="2">
        <v>194</v>
      </c>
      <c r="B242" s="2" t="s">
        <v>4083</v>
      </c>
      <c r="C242" s="52">
        <v>5</v>
      </c>
      <c r="D242" s="52">
        <v>4</v>
      </c>
      <c r="E242" s="52">
        <v>4</v>
      </c>
      <c r="F242" s="52">
        <v>2</v>
      </c>
      <c r="G242" s="52">
        <v>2</v>
      </c>
      <c r="H242" s="52">
        <v>1</v>
      </c>
      <c r="I242" s="52">
        <v>18</v>
      </c>
      <c r="J242" s="105">
        <v>3</v>
      </c>
      <c r="K242" s="52"/>
    </row>
    <row r="243" spans="1:11" ht="15.75" customHeight="1" x14ac:dyDescent="0.25">
      <c r="A243" s="2">
        <v>195</v>
      </c>
      <c r="B243" s="2" t="s">
        <v>4084</v>
      </c>
      <c r="C243" s="52">
        <v>9</v>
      </c>
      <c r="D243" s="52">
        <v>8</v>
      </c>
      <c r="E243" s="52">
        <v>8</v>
      </c>
      <c r="F243" s="52">
        <v>6</v>
      </c>
      <c r="G243" s="52">
        <v>6</v>
      </c>
      <c r="H243" s="52">
        <v>3</v>
      </c>
      <c r="I243" s="52">
        <v>40</v>
      </c>
      <c r="J243" s="105">
        <v>6.666666666666667</v>
      </c>
      <c r="K243" s="52"/>
    </row>
    <row r="244" spans="1:11" ht="15.75" customHeight="1" x14ac:dyDescent="0.25">
      <c r="A244" s="2">
        <v>196</v>
      </c>
      <c r="B244" s="2" t="s">
        <v>4085</v>
      </c>
      <c r="C244" s="52">
        <v>6</v>
      </c>
      <c r="D244" s="52">
        <v>6</v>
      </c>
      <c r="E244" s="52">
        <v>6</v>
      </c>
      <c r="F244" s="52">
        <v>13</v>
      </c>
      <c r="G244" s="52">
        <v>9</v>
      </c>
      <c r="H244" s="52">
        <v>11</v>
      </c>
      <c r="I244" s="52">
        <v>51</v>
      </c>
      <c r="J244" s="105">
        <v>8.5</v>
      </c>
      <c r="K244" s="52"/>
    </row>
    <row r="245" spans="1:11" ht="15.75" customHeight="1" x14ac:dyDescent="0.25">
      <c r="A245" s="2">
        <v>197</v>
      </c>
      <c r="B245" s="2" t="s">
        <v>4086</v>
      </c>
      <c r="C245" s="52">
        <v>9</v>
      </c>
      <c r="D245" s="52">
        <v>6</v>
      </c>
      <c r="E245" s="52">
        <v>11</v>
      </c>
      <c r="F245" s="52">
        <v>6</v>
      </c>
      <c r="G245" s="52">
        <v>13</v>
      </c>
      <c r="H245" s="52">
        <v>6</v>
      </c>
      <c r="I245" s="52">
        <v>51</v>
      </c>
      <c r="J245" s="105">
        <v>8.5</v>
      </c>
      <c r="K245" s="52"/>
    </row>
    <row r="246" spans="1:11" ht="15.75" customHeight="1" x14ac:dyDescent="0.25">
      <c r="A246" s="2">
        <v>198</v>
      </c>
      <c r="B246" s="2" t="s">
        <v>4087</v>
      </c>
      <c r="C246" s="52">
        <v>6</v>
      </c>
      <c r="D246" s="52">
        <v>8</v>
      </c>
      <c r="E246" s="52">
        <v>4</v>
      </c>
      <c r="F246" s="52">
        <v>8</v>
      </c>
      <c r="G246" s="52">
        <v>4</v>
      </c>
      <c r="H246" s="52">
        <v>9</v>
      </c>
      <c r="I246" s="52">
        <v>39</v>
      </c>
      <c r="J246" s="105">
        <v>6.5</v>
      </c>
      <c r="K246" s="52"/>
    </row>
    <row r="247" spans="1:11" ht="15.75" customHeight="1" x14ac:dyDescent="0.25">
      <c r="A247" s="2">
        <v>199</v>
      </c>
      <c r="B247" s="2" t="s">
        <v>4088</v>
      </c>
      <c r="C247" s="52">
        <v>9</v>
      </c>
      <c r="D247" s="52">
        <v>7</v>
      </c>
      <c r="E247" s="52">
        <v>8</v>
      </c>
      <c r="F247" s="52">
        <v>10</v>
      </c>
      <c r="G247" s="52">
        <v>11</v>
      </c>
      <c r="H247" s="52">
        <v>3</v>
      </c>
      <c r="I247" s="52">
        <v>48</v>
      </c>
      <c r="J247" s="105">
        <v>8</v>
      </c>
      <c r="K247" s="52"/>
    </row>
    <row r="248" spans="1:11" ht="15.75" customHeight="1" x14ac:dyDescent="0.25">
      <c r="A248" s="2">
        <v>199</v>
      </c>
      <c r="B248" s="2" t="s">
        <v>4089</v>
      </c>
      <c r="C248" s="52">
        <v>9</v>
      </c>
      <c r="D248" s="52">
        <v>6</v>
      </c>
      <c r="E248" s="52">
        <v>8</v>
      </c>
      <c r="F248" s="52">
        <v>11</v>
      </c>
      <c r="G248" s="52">
        <v>11</v>
      </c>
      <c r="H248" s="52">
        <v>3</v>
      </c>
      <c r="I248" s="52">
        <v>48</v>
      </c>
      <c r="J248" s="105">
        <v>8</v>
      </c>
      <c r="K248" s="52"/>
    </row>
    <row r="249" spans="1:11" ht="15.75" customHeight="1" x14ac:dyDescent="0.25">
      <c r="A249" s="2">
        <v>200</v>
      </c>
      <c r="B249" s="2" t="s">
        <v>4090</v>
      </c>
      <c r="C249" s="52">
        <v>6</v>
      </c>
      <c r="D249" s="52">
        <v>6</v>
      </c>
      <c r="E249" s="52">
        <v>6</v>
      </c>
      <c r="F249" s="52">
        <v>8</v>
      </c>
      <c r="G249" s="52">
        <v>8</v>
      </c>
      <c r="H249" s="52">
        <v>8</v>
      </c>
      <c r="I249" s="52">
        <v>42</v>
      </c>
      <c r="J249" s="105">
        <v>7</v>
      </c>
      <c r="K249" s="52"/>
    </row>
    <row r="250" spans="1:11" ht="15.75" customHeight="1" x14ac:dyDescent="0.25">
      <c r="A250" s="2">
        <v>201</v>
      </c>
      <c r="B250" s="2" t="s">
        <v>4091</v>
      </c>
      <c r="C250" s="52">
        <v>4</v>
      </c>
      <c r="D250" s="52">
        <v>7</v>
      </c>
      <c r="E250" s="52">
        <v>4</v>
      </c>
      <c r="F250" s="52">
        <v>7</v>
      </c>
      <c r="G250" s="52">
        <v>4</v>
      </c>
      <c r="H250" s="52">
        <v>4</v>
      </c>
      <c r="I250" s="52">
        <v>30</v>
      </c>
      <c r="J250" s="105">
        <v>5</v>
      </c>
      <c r="K250" s="52"/>
    </row>
    <row r="251" spans="1:11" ht="15.75" customHeight="1" x14ac:dyDescent="0.25">
      <c r="A251" s="2">
        <v>202</v>
      </c>
      <c r="B251" s="2" t="s">
        <v>4092</v>
      </c>
      <c r="C251" s="52">
        <v>19</v>
      </c>
      <c r="D251" s="52">
        <v>3</v>
      </c>
      <c r="E251" s="52">
        <v>5</v>
      </c>
      <c r="F251" s="52">
        <v>3</v>
      </c>
      <c r="G251" s="52">
        <v>5</v>
      </c>
      <c r="H251" s="52">
        <v>3</v>
      </c>
      <c r="I251" s="52">
        <v>38</v>
      </c>
      <c r="J251" s="105">
        <v>6.333333333333333</v>
      </c>
      <c r="K251" s="52"/>
    </row>
    <row r="252" spans="1:11" ht="15.75" customHeight="1" x14ac:dyDescent="0.25">
      <c r="A252" s="2">
        <v>203</v>
      </c>
      <c r="B252" s="2" t="s">
        <v>4093</v>
      </c>
      <c r="C252" s="52">
        <v>7</v>
      </c>
      <c r="D252" s="52">
        <v>8</v>
      </c>
      <c r="E252" s="52">
        <v>6</v>
      </c>
      <c r="F252" s="52">
        <v>9</v>
      </c>
      <c r="G252" s="52">
        <v>6</v>
      </c>
      <c r="H252" s="52">
        <v>8</v>
      </c>
      <c r="I252" s="52">
        <v>44</v>
      </c>
      <c r="J252" s="105">
        <v>7.333333333333333</v>
      </c>
      <c r="K252" s="52"/>
    </row>
    <row r="253" spans="1:11" ht="15.75" customHeight="1" x14ac:dyDescent="0.25">
      <c r="A253" s="2">
        <v>204</v>
      </c>
      <c r="B253" s="2" t="s">
        <v>4094</v>
      </c>
      <c r="C253" s="52">
        <v>5</v>
      </c>
      <c r="D253" s="52">
        <v>6</v>
      </c>
      <c r="E253" s="52">
        <v>9</v>
      </c>
      <c r="F253" s="52">
        <v>3</v>
      </c>
      <c r="G253" s="52">
        <v>3</v>
      </c>
      <c r="H253" s="52">
        <v>1</v>
      </c>
      <c r="I253" s="52">
        <v>27</v>
      </c>
      <c r="J253" s="105">
        <v>4.5</v>
      </c>
      <c r="K253" s="52"/>
    </row>
    <row r="254" spans="1:11" ht="15.75" customHeight="1" x14ac:dyDescent="0.25">
      <c r="A254" s="2">
        <v>205</v>
      </c>
      <c r="B254" s="2" t="s">
        <v>4095</v>
      </c>
      <c r="C254" s="52">
        <v>7</v>
      </c>
      <c r="D254" s="52">
        <v>9</v>
      </c>
      <c r="E254" s="52">
        <v>14</v>
      </c>
      <c r="F254" s="52">
        <v>6</v>
      </c>
      <c r="G254" s="52">
        <v>6</v>
      </c>
      <c r="H254" s="52">
        <v>4</v>
      </c>
      <c r="I254" s="52">
        <v>46</v>
      </c>
      <c r="J254" s="105">
        <v>7.666666666666667</v>
      </c>
      <c r="K254" s="52"/>
    </row>
    <row r="255" spans="1:11" ht="15.75" customHeight="1" x14ac:dyDescent="0.25">
      <c r="A255" s="2">
        <v>206</v>
      </c>
      <c r="B255" s="2" t="s">
        <v>4096</v>
      </c>
      <c r="C255" s="52">
        <v>10</v>
      </c>
      <c r="D255" s="52">
        <v>7</v>
      </c>
      <c r="E255" s="52">
        <v>7</v>
      </c>
      <c r="F255" s="52">
        <v>6</v>
      </c>
      <c r="G255" s="52">
        <v>6</v>
      </c>
      <c r="H255" s="52">
        <v>4</v>
      </c>
      <c r="I255" s="52">
        <v>40</v>
      </c>
      <c r="J255" s="105">
        <v>6.666666666666667</v>
      </c>
      <c r="K255" s="52"/>
    </row>
    <row r="256" spans="1:11" ht="15.75" customHeight="1" x14ac:dyDescent="0.25">
      <c r="A256" s="2">
        <v>207</v>
      </c>
      <c r="B256" s="2" t="s">
        <v>4097</v>
      </c>
      <c r="C256" s="52">
        <v>6</v>
      </c>
      <c r="D256" s="52">
        <v>7</v>
      </c>
      <c r="E256" s="52">
        <v>10</v>
      </c>
      <c r="F256" s="52">
        <v>3</v>
      </c>
      <c r="G256" s="52">
        <v>6</v>
      </c>
      <c r="H256" s="52">
        <v>8</v>
      </c>
      <c r="I256" s="52">
        <v>40</v>
      </c>
      <c r="J256" s="105">
        <v>6.666666666666667</v>
      </c>
      <c r="K256" s="52"/>
    </row>
    <row r="257" spans="1:11" ht="15.75" customHeight="1" x14ac:dyDescent="0.25">
      <c r="A257" s="2">
        <v>208</v>
      </c>
      <c r="B257" s="2" t="s">
        <v>4098</v>
      </c>
      <c r="C257" s="52">
        <v>7</v>
      </c>
      <c r="D257" s="52">
        <v>8</v>
      </c>
      <c r="E257" s="52">
        <v>20</v>
      </c>
      <c r="F257" s="52">
        <v>5</v>
      </c>
      <c r="G257" s="52">
        <v>6</v>
      </c>
      <c r="H257" s="52">
        <v>3</v>
      </c>
      <c r="I257" s="52">
        <v>49</v>
      </c>
      <c r="J257" s="105">
        <v>8.1666666666666661</v>
      </c>
      <c r="K257" s="52"/>
    </row>
    <row r="258" spans="1:11" ht="15.75" customHeight="1" x14ac:dyDescent="0.25">
      <c r="A258" s="2">
        <v>208</v>
      </c>
      <c r="B258" s="2" t="s">
        <v>4099</v>
      </c>
      <c r="C258" s="52">
        <v>7</v>
      </c>
      <c r="D258" s="52">
        <v>12</v>
      </c>
      <c r="E258" s="52">
        <v>23</v>
      </c>
      <c r="F258" s="52">
        <v>5</v>
      </c>
      <c r="G258" s="52">
        <v>9</v>
      </c>
      <c r="H258" s="52">
        <v>3</v>
      </c>
      <c r="I258" s="52">
        <v>59</v>
      </c>
      <c r="J258" s="105">
        <v>9.8333333333333339</v>
      </c>
      <c r="K258" s="52"/>
    </row>
    <row r="259" spans="1:11" ht="15.75" customHeight="1" x14ac:dyDescent="0.25">
      <c r="A259" s="2">
        <v>209</v>
      </c>
      <c r="B259" s="2" t="s">
        <v>4100</v>
      </c>
      <c r="C259" s="52">
        <v>6</v>
      </c>
      <c r="D259" s="52">
        <v>8</v>
      </c>
      <c r="E259" s="52">
        <v>5</v>
      </c>
      <c r="F259" s="52">
        <v>4</v>
      </c>
      <c r="G259" s="52">
        <v>4</v>
      </c>
      <c r="H259" s="52">
        <v>3</v>
      </c>
      <c r="I259" s="52">
        <v>30</v>
      </c>
      <c r="J259" s="105">
        <v>5</v>
      </c>
      <c r="K259" s="52"/>
    </row>
    <row r="260" spans="1:11" ht="15.75" customHeight="1" x14ac:dyDescent="0.25">
      <c r="A260" s="2">
        <v>210</v>
      </c>
      <c r="B260" s="2" t="s">
        <v>4101</v>
      </c>
      <c r="C260" s="52">
        <v>9</v>
      </c>
      <c r="D260" s="52">
        <v>12</v>
      </c>
      <c r="E260" s="52">
        <v>7</v>
      </c>
      <c r="F260" s="52">
        <v>6</v>
      </c>
      <c r="G260" s="52">
        <v>6</v>
      </c>
      <c r="H260" s="52">
        <v>4</v>
      </c>
      <c r="I260" s="52">
        <v>44</v>
      </c>
      <c r="J260" s="105">
        <v>7.333333333333333</v>
      </c>
      <c r="K260" s="52"/>
    </row>
    <row r="261" spans="1:11" ht="15.75" customHeight="1" x14ac:dyDescent="0.25">
      <c r="A261" s="2">
        <v>211</v>
      </c>
      <c r="B261" s="2" t="s">
        <v>4102</v>
      </c>
      <c r="C261" s="52">
        <v>6</v>
      </c>
      <c r="D261" s="52">
        <v>9</v>
      </c>
      <c r="E261" s="52">
        <v>8</v>
      </c>
      <c r="F261" s="52">
        <v>5</v>
      </c>
      <c r="G261" s="52">
        <v>5</v>
      </c>
      <c r="H261" s="52">
        <v>8</v>
      </c>
      <c r="I261" s="52">
        <v>41</v>
      </c>
      <c r="J261" s="105">
        <v>6.833333333333333</v>
      </c>
      <c r="K261" s="52"/>
    </row>
    <row r="262" spans="1:11" ht="15.75" customHeight="1" x14ac:dyDescent="0.25">
      <c r="A262" s="2">
        <v>212</v>
      </c>
      <c r="B262" s="2" t="s">
        <v>4103</v>
      </c>
      <c r="C262" s="52">
        <v>7</v>
      </c>
      <c r="D262" s="52">
        <v>13</v>
      </c>
      <c r="E262" s="52">
        <v>10</v>
      </c>
      <c r="F262" s="52">
        <v>5</v>
      </c>
      <c r="G262" s="52">
        <v>8</v>
      </c>
      <c r="H262" s="52">
        <v>6</v>
      </c>
      <c r="I262" s="52">
        <v>49</v>
      </c>
      <c r="J262" s="105">
        <v>8.1666666666666661</v>
      </c>
      <c r="K262" s="52"/>
    </row>
    <row r="263" spans="1:11" ht="15.75" customHeight="1" x14ac:dyDescent="0.25">
      <c r="A263" s="2">
        <v>212</v>
      </c>
      <c r="B263" s="2" t="s">
        <v>4104</v>
      </c>
      <c r="C263" s="52">
        <v>7</v>
      </c>
      <c r="D263" s="52">
        <v>15</v>
      </c>
      <c r="E263" s="52">
        <v>14</v>
      </c>
      <c r="F263" s="52">
        <v>6</v>
      </c>
      <c r="G263" s="52">
        <v>10</v>
      </c>
      <c r="H263" s="52">
        <v>7</v>
      </c>
      <c r="I263" s="52">
        <v>59</v>
      </c>
      <c r="J263" s="105">
        <v>9.8333333333333339</v>
      </c>
      <c r="K263" s="52"/>
    </row>
    <row r="264" spans="1:11" ht="15.75" customHeight="1" x14ac:dyDescent="0.25">
      <c r="A264" s="2">
        <v>213</v>
      </c>
      <c r="B264" s="2" t="s">
        <v>4105</v>
      </c>
      <c r="C264" s="52">
        <v>2</v>
      </c>
      <c r="D264" s="52">
        <v>1</v>
      </c>
      <c r="E264" s="52">
        <v>23</v>
      </c>
      <c r="F264" s="52">
        <v>1</v>
      </c>
      <c r="G264" s="52">
        <v>23</v>
      </c>
      <c r="H264" s="52">
        <v>0</v>
      </c>
      <c r="I264" s="52">
        <v>50</v>
      </c>
      <c r="J264" s="105">
        <v>8.3333333333333339</v>
      </c>
      <c r="K264" s="52"/>
    </row>
    <row r="265" spans="1:11" ht="15.75" customHeight="1" x14ac:dyDescent="0.25">
      <c r="A265" s="2">
        <v>214</v>
      </c>
      <c r="B265" s="2" t="s">
        <v>4106</v>
      </c>
      <c r="C265" s="52">
        <v>8</v>
      </c>
      <c r="D265" s="52">
        <v>12</v>
      </c>
      <c r="E265" s="52">
        <v>7</v>
      </c>
      <c r="F265" s="52">
        <v>4</v>
      </c>
      <c r="G265" s="52">
        <v>9</v>
      </c>
      <c r="H265" s="52">
        <v>8</v>
      </c>
      <c r="I265" s="52">
        <v>48</v>
      </c>
      <c r="J265" s="105">
        <v>8</v>
      </c>
      <c r="K265" s="52"/>
    </row>
    <row r="266" spans="1:11" ht="15.75" customHeight="1" x14ac:dyDescent="0.25">
      <c r="A266" s="2">
        <v>214</v>
      </c>
      <c r="B266" s="2" t="s">
        <v>4107</v>
      </c>
      <c r="C266" s="52">
        <v>8</v>
      </c>
      <c r="D266" s="52">
        <v>18</v>
      </c>
      <c r="E266" s="52">
        <v>11</v>
      </c>
      <c r="F266" s="52">
        <v>4</v>
      </c>
      <c r="G266" s="52">
        <v>10</v>
      </c>
      <c r="H266" s="52">
        <v>7</v>
      </c>
      <c r="I266" s="52">
        <v>58</v>
      </c>
      <c r="J266" s="105">
        <v>9.6666666666666661</v>
      </c>
      <c r="K266" s="52"/>
    </row>
    <row r="267" spans="1:11" ht="15.75" customHeight="1" x14ac:dyDescent="0.25">
      <c r="A267" s="2">
        <v>215</v>
      </c>
      <c r="B267" s="2" t="s">
        <v>4108</v>
      </c>
      <c r="C267" s="52">
        <v>5</v>
      </c>
      <c r="D267" s="52">
        <v>9</v>
      </c>
      <c r="E267" s="52">
        <v>5</v>
      </c>
      <c r="F267" s="52">
        <v>3</v>
      </c>
      <c r="G267" s="52">
        <v>7</v>
      </c>
      <c r="H267" s="52">
        <v>11</v>
      </c>
      <c r="I267" s="52">
        <v>40</v>
      </c>
      <c r="J267" s="105">
        <v>6.666666666666667</v>
      </c>
      <c r="K267" s="52"/>
    </row>
    <row r="268" spans="1:11" ht="15.75" customHeight="1" x14ac:dyDescent="0.25">
      <c r="A268" s="2">
        <v>216</v>
      </c>
      <c r="B268" s="2" t="s">
        <v>4109</v>
      </c>
      <c r="C268" s="52">
        <v>6</v>
      </c>
      <c r="D268" s="52">
        <v>8</v>
      </c>
      <c r="E268" s="52">
        <v>5</v>
      </c>
      <c r="F268" s="52">
        <v>5</v>
      </c>
      <c r="G268" s="52">
        <v>5</v>
      </c>
      <c r="H268" s="52">
        <v>4</v>
      </c>
      <c r="I268" s="52">
        <v>33</v>
      </c>
      <c r="J268" s="105">
        <v>5.5</v>
      </c>
      <c r="K268" s="52"/>
    </row>
    <row r="269" spans="1:11" ht="15.75" customHeight="1" x14ac:dyDescent="0.25">
      <c r="A269" s="2">
        <v>217</v>
      </c>
      <c r="B269" s="2" t="s">
        <v>4110</v>
      </c>
      <c r="C269" s="52">
        <v>9</v>
      </c>
      <c r="D269" s="52">
        <v>13</v>
      </c>
      <c r="E269" s="52">
        <v>7</v>
      </c>
      <c r="F269" s="52">
        <v>7</v>
      </c>
      <c r="G269" s="52">
        <v>7</v>
      </c>
      <c r="H269" s="52">
        <v>5</v>
      </c>
      <c r="I269" s="52">
        <v>48</v>
      </c>
      <c r="J269" s="105">
        <v>8</v>
      </c>
      <c r="K269" s="52"/>
    </row>
    <row r="270" spans="1:11" ht="15.75" customHeight="1" x14ac:dyDescent="0.25">
      <c r="A270" s="2">
        <v>218</v>
      </c>
      <c r="B270" s="2" t="s">
        <v>4111</v>
      </c>
      <c r="C270" s="52">
        <v>4</v>
      </c>
      <c r="D270" s="52">
        <v>4</v>
      </c>
      <c r="E270" s="52">
        <v>4</v>
      </c>
      <c r="F270" s="52">
        <v>7</v>
      </c>
      <c r="G270" s="52">
        <v>4</v>
      </c>
      <c r="H270" s="52">
        <v>2</v>
      </c>
      <c r="I270" s="52">
        <v>25</v>
      </c>
      <c r="J270" s="105">
        <v>4.166666666666667</v>
      </c>
      <c r="K270" s="52"/>
    </row>
    <row r="271" spans="1:11" ht="15.75" customHeight="1" x14ac:dyDescent="0.25">
      <c r="A271" s="2">
        <v>219</v>
      </c>
      <c r="B271" s="2" t="s">
        <v>4112</v>
      </c>
      <c r="C271" s="52">
        <v>6</v>
      </c>
      <c r="D271" s="52">
        <v>5</v>
      </c>
      <c r="E271" s="52">
        <v>12</v>
      </c>
      <c r="F271" s="52">
        <v>9</v>
      </c>
      <c r="G271" s="52">
        <v>8</v>
      </c>
      <c r="H271" s="52">
        <v>3</v>
      </c>
      <c r="I271" s="52">
        <v>43</v>
      </c>
      <c r="J271" s="105">
        <v>7.166666666666667</v>
      </c>
      <c r="K271" s="52"/>
    </row>
    <row r="272" spans="1:11" ht="15.75" customHeight="1" x14ac:dyDescent="0.25">
      <c r="A272" s="2">
        <v>220</v>
      </c>
      <c r="B272" s="2" t="s">
        <v>4113</v>
      </c>
      <c r="C272" s="52">
        <v>5</v>
      </c>
      <c r="D272" s="52">
        <v>5</v>
      </c>
      <c r="E272" s="52">
        <v>4</v>
      </c>
      <c r="F272" s="52">
        <v>3</v>
      </c>
      <c r="G272" s="52">
        <v>3</v>
      </c>
      <c r="H272" s="52">
        <v>5</v>
      </c>
      <c r="I272" s="52">
        <v>25</v>
      </c>
      <c r="J272" s="105">
        <v>4.166666666666667</v>
      </c>
      <c r="K272" s="52"/>
    </row>
    <row r="273" spans="1:11" ht="15.75" customHeight="1" x14ac:dyDescent="0.25">
      <c r="A273" s="2">
        <v>221</v>
      </c>
      <c r="B273" s="2" t="s">
        <v>4114</v>
      </c>
      <c r="C273" s="52">
        <v>10</v>
      </c>
      <c r="D273" s="52">
        <v>10</v>
      </c>
      <c r="E273" s="52">
        <v>8</v>
      </c>
      <c r="F273" s="52">
        <v>6</v>
      </c>
      <c r="G273" s="52">
        <v>6</v>
      </c>
      <c r="H273" s="52">
        <v>5</v>
      </c>
      <c r="I273" s="52">
        <v>45</v>
      </c>
      <c r="J273" s="105">
        <v>7.5</v>
      </c>
      <c r="K273" s="52"/>
    </row>
    <row r="274" spans="1:11" ht="15.75" customHeight="1" x14ac:dyDescent="0.25">
      <c r="A274" s="2">
        <v>222</v>
      </c>
      <c r="B274" s="2" t="s">
        <v>4115</v>
      </c>
      <c r="C274" s="52">
        <v>6</v>
      </c>
      <c r="D274" s="52">
        <v>5</v>
      </c>
      <c r="E274" s="52">
        <v>9</v>
      </c>
      <c r="F274" s="52">
        <v>6</v>
      </c>
      <c r="G274" s="52">
        <v>9</v>
      </c>
      <c r="H274" s="52">
        <v>3</v>
      </c>
      <c r="I274" s="52">
        <v>38</v>
      </c>
      <c r="J274" s="105">
        <v>6.333333333333333</v>
      </c>
      <c r="K274" s="52"/>
    </row>
    <row r="275" spans="1:11" ht="15.75" customHeight="1" x14ac:dyDescent="0.25">
      <c r="A275" s="2">
        <v>222</v>
      </c>
      <c r="B275" s="2" t="s">
        <v>4116</v>
      </c>
      <c r="C275" s="52">
        <v>6</v>
      </c>
      <c r="D275" s="52">
        <v>5</v>
      </c>
      <c r="E275" s="52">
        <v>10</v>
      </c>
      <c r="F275" s="52">
        <v>6</v>
      </c>
      <c r="G275" s="52">
        <v>10</v>
      </c>
      <c r="H275" s="52">
        <v>3</v>
      </c>
      <c r="I275" s="52">
        <v>40</v>
      </c>
      <c r="J275" s="105">
        <v>6.666666666666667</v>
      </c>
      <c r="K275" s="52"/>
    </row>
    <row r="276" spans="1:11" ht="15.75" customHeight="1" x14ac:dyDescent="0.25">
      <c r="A276" s="2">
        <v>223</v>
      </c>
      <c r="B276" s="2" t="s">
        <v>4117</v>
      </c>
      <c r="C276" s="52">
        <v>3</v>
      </c>
      <c r="D276" s="52">
        <v>6</v>
      </c>
      <c r="E276" s="52">
        <v>3</v>
      </c>
      <c r="F276" s="52">
        <v>6</v>
      </c>
      <c r="G276" s="52">
        <v>3</v>
      </c>
      <c r="H276" s="52">
        <v>6</v>
      </c>
      <c r="I276" s="52">
        <v>27</v>
      </c>
      <c r="J276" s="105">
        <v>4.5</v>
      </c>
      <c r="K276" s="52"/>
    </row>
    <row r="277" spans="1:11" ht="15.75" customHeight="1" x14ac:dyDescent="0.25">
      <c r="A277" s="2">
        <v>224</v>
      </c>
      <c r="B277" s="2" t="s">
        <v>4118</v>
      </c>
      <c r="C277" s="52">
        <v>7</v>
      </c>
      <c r="D277" s="52">
        <v>10</v>
      </c>
      <c r="E277" s="52">
        <v>7</v>
      </c>
      <c r="F277" s="52">
        <v>10</v>
      </c>
      <c r="G277" s="52">
        <v>7</v>
      </c>
      <c r="H277" s="52">
        <v>4</v>
      </c>
      <c r="I277" s="52">
        <v>45</v>
      </c>
      <c r="J277" s="105">
        <v>7.5</v>
      </c>
      <c r="K277" s="52"/>
    </row>
    <row r="278" spans="1:11" ht="15.75" customHeight="1" x14ac:dyDescent="0.25">
      <c r="A278" s="2">
        <v>225</v>
      </c>
      <c r="B278" s="2" t="s">
        <v>4119</v>
      </c>
      <c r="C278" s="52">
        <v>4</v>
      </c>
      <c r="D278" s="52">
        <v>5</v>
      </c>
      <c r="E278" s="52">
        <v>4</v>
      </c>
      <c r="F278" s="52">
        <v>6</v>
      </c>
      <c r="G278" s="52">
        <v>4</v>
      </c>
      <c r="H278" s="52">
        <v>7</v>
      </c>
      <c r="I278" s="52">
        <v>30</v>
      </c>
      <c r="J278" s="105">
        <v>5</v>
      </c>
      <c r="K278" s="52"/>
    </row>
    <row r="279" spans="1:11" ht="15.75" customHeight="1" x14ac:dyDescent="0.25">
      <c r="A279" s="2">
        <v>226</v>
      </c>
      <c r="B279" s="2" t="s">
        <v>4120</v>
      </c>
      <c r="C279" s="52">
        <v>8</v>
      </c>
      <c r="D279" s="52">
        <v>4</v>
      </c>
      <c r="E279" s="52">
        <v>7</v>
      </c>
      <c r="F279" s="52">
        <v>8</v>
      </c>
      <c r="G279" s="52">
        <v>14</v>
      </c>
      <c r="H279" s="52">
        <v>7</v>
      </c>
      <c r="I279" s="52">
        <v>48</v>
      </c>
      <c r="J279" s="105">
        <v>8</v>
      </c>
      <c r="K279" s="52"/>
    </row>
    <row r="280" spans="1:11" ht="15.75" customHeight="1" x14ac:dyDescent="0.25">
      <c r="A280" s="2">
        <v>227</v>
      </c>
      <c r="B280" s="2" t="s">
        <v>4121</v>
      </c>
      <c r="C280" s="52">
        <v>6</v>
      </c>
      <c r="D280" s="52">
        <v>8</v>
      </c>
      <c r="E280" s="52">
        <v>14</v>
      </c>
      <c r="F280" s="52">
        <v>4</v>
      </c>
      <c r="G280" s="52">
        <v>7</v>
      </c>
      <c r="H280" s="52">
        <v>7</v>
      </c>
      <c r="I280" s="52">
        <v>46</v>
      </c>
      <c r="J280" s="105">
        <v>7.666666666666667</v>
      </c>
      <c r="K280" s="52"/>
    </row>
    <row r="281" spans="1:11" ht="15.75" customHeight="1" x14ac:dyDescent="0.25">
      <c r="A281" s="2">
        <v>228</v>
      </c>
      <c r="B281" s="2" t="s">
        <v>4122</v>
      </c>
      <c r="C281" s="52">
        <v>4</v>
      </c>
      <c r="D281" s="52">
        <v>6</v>
      </c>
      <c r="E281" s="52">
        <v>3</v>
      </c>
      <c r="F281" s="52">
        <v>8</v>
      </c>
      <c r="G281" s="52">
        <v>5</v>
      </c>
      <c r="H281" s="52">
        <v>6</v>
      </c>
      <c r="I281" s="52">
        <v>32</v>
      </c>
      <c r="J281" s="105">
        <v>5.333333333333333</v>
      </c>
      <c r="K281" s="52"/>
    </row>
    <row r="282" spans="1:11" ht="15.75" customHeight="1" x14ac:dyDescent="0.25">
      <c r="A282" s="2">
        <v>229</v>
      </c>
      <c r="B282" s="2" t="s">
        <v>4123</v>
      </c>
      <c r="C282" s="52">
        <v>7</v>
      </c>
      <c r="D282" s="52">
        <v>9</v>
      </c>
      <c r="E282" s="52">
        <v>5</v>
      </c>
      <c r="F282" s="52">
        <v>11</v>
      </c>
      <c r="G282" s="52">
        <v>8</v>
      </c>
      <c r="H282" s="52">
        <v>9</v>
      </c>
      <c r="I282" s="52">
        <v>49</v>
      </c>
      <c r="J282" s="105">
        <v>8.1666666666666661</v>
      </c>
      <c r="K282" s="52"/>
    </row>
    <row r="283" spans="1:11" ht="15.75" customHeight="1" x14ac:dyDescent="0.25">
      <c r="A283" s="2">
        <v>229</v>
      </c>
      <c r="B283" s="2" t="s">
        <v>4124</v>
      </c>
      <c r="C283" s="52">
        <v>7</v>
      </c>
      <c r="D283" s="52">
        <v>9</v>
      </c>
      <c r="E283" s="52">
        <v>9</v>
      </c>
      <c r="F283" s="52">
        <v>14</v>
      </c>
      <c r="G283" s="52">
        <v>9</v>
      </c>
      <c r="H283" s="52">
        <v>11</v>
      </c>
      <c r="I283" s="52">
        <v>59</v>
      </c>
      <c r="J283" s="105">
        <v>9.8333333333333339</v>
      </c>
      <c r="K283" s="52"/>
    </row>
    <row r="284" spans="1:11" ht="15.75" customHeight="1" x14ac:dyDescent="0.25">
      <c r="A284" s="2">
        <v>230</v>
      </c>
      <c r="B284" s="2" t="s">
        <v>4125</v>
      </c>
      <c r="C284" s="52">
        <v>7</v>
      </c>
      <c r="D284" s="52">
        <v>9</v>
      </c>
      <c r="E284" s="52">
        <v>9</v>
      </c>
      <c r="F284" s="52">
        <v>9</v>
      </c>
      <c r="G284" s="52">
        <v>9</v>
      </c>
      <c r="H284" s="52">
        <v>8</v>
      </c>
      <c r="I284" s="52">
        <v>51</v>
      </c>
      <c r="J284" s="105">
        <v>8.5</v>
      </c>
      <c r="K284" s="52"/>
    </row>
    <row r="285" spans="1:11" ht="15.75" customHeight="1" x14ac:dyDescent="0.25">
      <c r="A285" s="2">
        <v>231</v>
      </c>
      <c r="B285" s="2" t="s">
        <v>4126</v>
      </c>
      <c r="C285" s="52">
        <v>9</v>
      </c>
      <c r="D285" s="52">
        <v>6</v>
      </c>
      <c r="E285" s="52">
        <v>6</v>
      </c>
      <c r="F285" s="52">
        <v>4</v>
      </c>
      <c r="G285" s="52">
        <v>4</v>
      </c>
      <c r="H285" s="52">
        <v>4</v>
      </c>
      <c r="I285" s="52">
        <v>33</v>
      </c>
      <c r="J285" s="105">
        <v>5.5</v>
      </c>
      <c r="K285" s="52"/>
    </row>
    <row r="286" spans="1:11" ht="15.75" customHeight="1" x14ac:dyDescent="0.25">
      <c r="A286" s="2">
        <v>232</v>
      </c>
      <c r="B286" s="2" t="s">
        <v>4127</v>
      </c>
      <c r="C286" s="52">
        <v>9</v>
      </c>
      <c r="D286" s="52">
        <v>12</v>
      </c>
      <c r="E286" s="52">
        <v>12</v>
      </c>
      <c r="F286" s="52">
        <v>6</v>
      </c>
      <c r="G286" s="52">
        <v>6</v>
      </c>
      <c r="H286" s="52">
        <v>5</v>
      </c>
      <c r="I286" s="52">
        <v>50</v>
      </c>
      <c r="J286" s="105">
        <v>8.3333333333333339</v>
      </c>
      <c r="K286" s="52"/>
    </row>
    <row r="287" spans="1:11" ht="15.75" customHeight="1" x14ac:dyDescent="0.25">
      <c r="A287" s="2">
        <v>233</v>
      </c>
      <c r="B287" s="2" t="s">
        <v>4128</v>
      </c>
      <c r="C287" s="52">
        <v>8</v>
      </c>
      <c r="D287" s="52">
        <v>8</v>
      </c>
      <c r="E287" s="52">
        <v>9</v>
      </c>
      <c r="F287" s="52">
        <v>10</v>
      </c>
      <c r="G287" s="52">
        <v>9</v>
      </c>
      <c r="H287" s="52">
        <v>6</v>
      </c>
      <c r="I287" s="52">
        <v>50</v>
      </c>
      <c r="J287" s="105">
        <v>8.3333333333333339</v>
      </c>
      <c r="K287" s="52"/>
    </row>
    <row r="288" spans="1:11" ht="15.75" customHeight="1" x14ac:dyDescent="0.25">
      <c r="A288" s="2">
        <v>234</v>
      </c>
      <c r="B288" s="2" t="s">
        <v>4129</v>
      </c>
      <c r="C288" s="52">
        <v>7</v>
      </c>
      <c r="D288" s="52">
        <v>9</v>
      </c>
      <c r="E288" s="52">
        <v>6</v>
      </c>
      <c r="F288" s="52">
        <v>8</v>
      </c>
      <c r="G288" s="52">
        <v>6</v>
      </c>
      <c r="H288" s="52">
        <v>8</v>
      </c>
      <c r="I288" s="52">
        <v>44</v>
      </c>
      <c r="J288" s="105">
        <v>7.333333333333333</v>
      </c>
      <c r="K288" s="52"/>
    </row>
    <row r="289" spans="1:11" ht="15.75" customHeight="1" x14ac:dyDescent="0.25">
      <c r="A289" s="2">
        <v>235</v>
      </c>
      <c r="B289" s="2" t="s">
        <v>4130</v>
      </c>
      <c r="C289" s="52">
        <v>5</v>
      </c>
      <c r="D289" s="52">
        <v>2</v>
      </c>
      <c r="E289" s="52">
        <v>3</v>
      </c>
      <c r="F289" s="52">
        <v>2</v>
      </c>
      <c r="G289" s="52">
        <v>4</v>
      </c>
      <c r="H289" s="52">
        <v>7</v>
      </c>
      <c r="I289" s="52">
        <v>23</v>
      </c>
      <c r="J289" s="105">
        <v>3.8333333333333335</v>
      </c>
      <c r="K289" s="52"/>
    </row>
    <row r="290" spans="1:11" ht="15.75" customHeight="1" x14ac:dyDescent="0.25">
      <c r="A290" s="2">
        <v>236</v>
      </c>
      <c r="B290" s="2" t="s">
        <v>4131</v>
      </c>
      <c r="C290" s="52">
        <v>3</v>
      </c>
      <c r="D290" s="52">
        <v>3</v>
      </c>
      <c r="E290" s="52">
        <v>3</v>
      </c>
      <c r="F290" s="52">
        <v>3</v>
      </c>
      <c r="G290" s="52">
        <v>3</v>
      </c>
      <c r="H290" s="52">
        <v>3</v>
      </c>
      <c r="I290" s="52">
        <v>18</v>
      </c>
      <c r="J290" s="105">
        <v>3</v>
      </c>
      <c r="K290" s="52"/>
    </row>
    <row r="291" spans="1:11" ht="15.75" customHeight="1" x14ac:dyDescent="0.25">
      <c r="A291" s="2">
        <v>237</v>
      </c>
      <c r="B291" s="2" t="s">
        <v>4132</v>
      </c>
      <c r="C291" s="52">
        <v>5</v>
      </c>
      <c r="D291" s="52">
        <v>9</v>
      </c>
      <c r="E291" s="52">
        <v>9</v>
      </c>
      <c r="F291" s="52">
        <v>3</v>
      </c>
      <c r="G291" s="52">
        <v>11</v>
      </c>
      <c r="H291" s="52">
        <v>7</v>
      </c>
      <c r="I291" s="52">
        <v>44</v>
      </c>
      <c r="J291" s="105">
        <v>7.333333333333333</v>
      </c>
      <c r="K291" s="52"/>
    </row>
    <row r="292" spans="1:11" ht="15.75" customHeight="1" x14ac:dyDescent="0.25">
      <c r="A292" s="2">
        <v>238</v>
      </c>
      <c r="B292" s="2" t="s">
        <v>4133</v>
      </c>
      <c r="C292" s="52">
        <v>4</v>
      </c>
      <c r="D292" s="52">
        <v>3</v>
      </c>
      <c r="E292" s="52">
        <v>1</v>
      </c>
      <c r="F292" s="52">
        <v>8</v>
      </c>
      <c r="G292" s="52">
        <v>6</v>
      </c>
      <c r="H292" s="52">
        <v>6</v>
      </c>
      <c r="I292" s="52">
        <v>28</v>
      </c>
      <c r="J292" s="105">
        <v>4.666666666666667</v>
      </c>
      <c r="K292" s="52"/>
    </row>
    <row r="293" spans="1:11" ht="15.75" customHeight="1" x14ac:dyDescent="0.25">
      <c r="A293" s="2">
        <v>239</v>
      </c>
      <c r="B293" s="2" t="s">
        <v>4134</v>
      </c>
      <c r="C293" s="52">
        <v>4</v>
      </c>
      <c r="D293" s="52">
        <v>6</v>
      </c>
      <c r="E293" s="52">
        <v>3</v>
      </c>
      <c r="F293" s="52">
        <v>6</v>
      </c>
      <c r="G293" s="52">
        <v>5</v>
      </c>
      <c r="H293" s="52">
        <v>9</v>
      </c>
      <c r="I293" s="52">
        <v>33</v>
      </c>
      <c r="J293" s="105">
        <v>5.5</v>
      </c>
      <c r="K293" s="52"/>
    </row>
    <row r="294" spans="1:11" ht="15.75" customHeight="1" x14ac:dyDescent="0.25">
      <c r="A294" s="2">
        <v>240</v>
      </c>
      <c r="B294" s="2" t="s">
        <v>4135</v>
      </c>
      <c r="C294" s="52">
        <v>4</v>
      </c>
      <c r="D294" s="52">
        <v>7</v>
      </c>
      <c r="E294" s="52">
        <v>3</v>
      </c>
      <c r="F294" s="52">
        <v>7</v>
      </c>
      <c r="G294" s="52">
        <v>5</v>
      </c>
      <c r="H294" s="52">
        <v>8</v>
      </c>
      <c r="I294" s="52">
        <v>34</v>
      </c>
      <c r="J294" s="105">
        <v>5.666666666666667</v>
      </c>
      <c r="K294" s="52"/>
    </row>
    <row r="295" spans="1:11" ht="15.75" customHeight="1" x14ac:dyDescent="0.25">
      <c r="A295" s="2">
        <v>241</v>
      </c>
      <c r="B295" s="2" t="s">
        <v>4136</v>
      </c>
      <c r="C295" s="52">
        <v>9</v>
      </c>
      <c r="D295" s="52">
        <v>8</v>
      </c>
      <c r="E295" s="52">
        <v>10</v>
      </c>
      <c r="F295" s="52">
        <v>4</v>
      </c>
      <c r="G295" s="52">
        <v>7</v>
      </c>
      <c r="H295" s="52">
        <v>10</v>
      </c>
      <c r="I295" s="52">
        <v>48</v>
      </c>
      <c r="J295" s="105">
        <v>8</v>
      </c>
      <c r="K295" s="52"/>
    </row>
    <row r="296" spans="1:11" ht="15.75" customHeight="1" x14ac:dyDescent="0.25">
      <c r="A296" s="2">
        <v>242</v>
      </c>
      <c r="B296" s="2" t="s">
        <v>4137</v>
      </c>
      <c r="C296" s="52">
        <v>25</v>
      </c>
      <c r="D296" s="52">
        <v>1</v>
      </c>
      <c r="E296" s="52">
        <v>1</v>
      </c>
      <c r="F296" s="52">
        <v>7</v>
      </c>
      <c r="G296" s="52">
        <v>13</v>
      </c>
      <c r="H296" s="52">
        <v>5</v>
      </c>
      <c r="I296" s="52">
        <v>52</v>
      </c>
      <c r="J296" s="105">
        <v>8.6666666666666661</v>
      </c>
      <c r="K296" s="52"/>
    </row>
    <row r="297" spans="1:11" ht="15.75" customHeight="1" x14ac:dyDescent="0.25">
      <c r="A297" s="2">
        <v>243</v>
      </c>
      <c r="B297" s="2" t="s">
        <v>4138</v>
      </c>
      <c r="C297" s="52">
        <v>9</v>
      </c>
      <c r="D297" s="52">
        <v>8</v>
      </c>
      <c r="E297" s="52">
        <v>7</v>
      </c>
      <c r="F297" s="52">
        <v>11</v>
      </c>
      <c r="G297" s="52">
        <v>10</v>
      </c>
      <c r="H297" s="52">
        <v>11</v>
      </c>
      <c r="I297" s="52">
        <v>56</v>
      </c>
      <c r="J297" s="105">
        <v>9.3333333333333339</v>
      </c>
      <c r="K297" s="52"/>
    </row>
    <row r="298" spans="1:11" ht="15.75" customHeight="1" x14ac:dyDescent="0.25">
      <c r="A298" s="2">
        <v>244</v>
      </c>
      <c r="B298" s="2" t="s">
        <v>4139</v>
      </c>
      <c r="C298" s="52">
        <v>11</v>
      </c>
      <c r="D298" s="52">
        <v>11</v>
      </c>
      <c r="E298" s="52">
        <v>8</v>
      </c>
      <c r="F298" s="52">
        <v>9</v>
      </c>
      <c r="G298" s="52">
        <v>7</v>
      </c>
      <c r="H298" s="52">
        <v>10</v>
      </c>
      <c r="I298" s="52">
        <v>56</v>
      </c>
      <c r="J298" s="105">
        <v>9.3333333333333339</v>
      </c>
      <c r="K298" s="52"/>
    </row>
    <row r="299" spans="1:11" ht="15.75" customHeight="1" x14ac:dyDescent="0.25">
      <c r="A299" s="2">
        <v>245</v>
      </c>
      <c r="B299" s="2" t="s">
        <v>4140</v>
      </c>
      <c r="C299" s="52">
        <v>10</v>
      </c>
      <c r="D299" s="52">
        <v>7</v>
      </c>
      <c r="E299" s="52">
        <v>11</v>
      </c>
      <c r="F299" s="52">
        <v>9</v>
      </c>
      <c r="G299" s="52">
        <v>11</v>
      </c>
      <c r="H299" s="52">
        <v>8</v>
      </c>
      <c r="I299" s="52">
        <v>56</v>
      </c>
      <c r="J299" s="105">
        <v>9.3333333333333339</v>
      </c>
      <c r="K299" s="52"/>
    </row>
    <row r="300" spans="1:11" ht="15.75" customHeight="1" x14ac:dyDescent="0.25">
      <c r="A300" s="2">
        <v>246</v>
      </c>
      <c r="B300" s="2" t="s">
        <v>4141</v>
      </c>
      <c r="C300" s="52">
        <v>5</v>
      </c>
      <c r="D300" s="52">
        <v>6</v>
      </c>
      <c r="E300" s="52">
        <v>5</v>
      </c>
      <c r="F300" s="52">
        <v>4</v>
      </c>
      <c r="G300" s="52">
        <v>5</v>
      </c>
      <c r="H300" s="52">
        <v>4</v>
      </c>
      <c r="I300" s="52">
        <v>29</v>
      </c>
      <c r="J300" s="105">
        <v>4.833333333333333</v>
      </c>
      <c r="K300" s="52"/>
    </row>
    <row r="301" spans="1:11" ht="15.75" customHeight="1" x14ac:dyDescent="0.25">
      <c r="A301" s="2">
        <v>247</v>
      </c>
      <c r="B301" s="2" t="s">
        <v>4142</v>
      </c>
      <c r="C301" s="52">
        <v>7</v>
      </c>
      <c r="D301" s="52">
        <v>8</v>
      </c>
      <c r="E301" s="52">
        <v>7</v>
      </c>
      <c r="F301" s="52">
        <v>6</v>
      </c>
      <c r="G301" s="52">
        <v>7</v>
      </c>
      <c r="H301" s="52">
        <v>5</v>
      </c>
      <c r="I301" s="52">
        <v>40</v>
      </c>
      <c r="J301" s="105">
        <v>6.666666666666667</v>
      </c>
      <c r="K301" s="52"/>
    </row>
    <row r="302" spans="1:11" ht="15.75" customHeight="1" x14ac:dyDescent="0.25">
      <c r="A302" s="2">
        <v>248</v>
      </c>
      <c r="B302" s="2" t="s">
        <v>4143</v>
      </c>
      <c r="C302" s="52">
        <v>10</v>
      </c>
      <c r="D302" s="52">
        <v>13</v>
      </c>
      <c r="E302" s="52">
        <v>11</v>
      </c>
      <c r="F302" s="52">
        <v>9</v>
      </c>
      <c r="G302" s="52">
        <v>10</v>
      </c>
      <c r="H302" s="52">
        <v>6</v>
      </c>
      <c r="I302" s="52">
        <v>59</v>
      </c>
      <c r="J302" s="105">
        <v>9.8333333333333339</v>
      </c>
      <c r="K302" s="52"/>
    </row>
    <row r="303" spans="1:11" ht="15.75" customHeight="1" x14ac:dyDescent="0.25">
      <c r="A303" s="2">
        <v>248</v>
      </c>
      <c r="B303" s="2" t="s">
        <v>4144</v>
      </c>
      <c r="C303" s="52">
        <v>10</v>
      </c>
      <c r="D303" s="52">
        <v>16</v>
      </c>
      <c r="E303" s="52">
        <v>15</v>
      </c>
      <c r="F303" s="52">
        <v>9</v>
      </c>
      <c r="G303" s="52">
        <v>12</v>
      </c>
      <c r="H303" s="52">
        <v>7</v>
      </c>
      <c r="I303" s="52">
        <v>69</v>
      </c>
      <c r="J303" s="105">
        <v>11.5</v>
      </c>
      <c r="K303" s="52"/>
    </row>
    <row r="304" spans="1:11" ht="15.75" customHeight="1" x14ac:dyDescent="0.25">
      <c r="A304" s="2">
        <v>249</v>
      </c>
      <c r="B304" s="2" t="s">
        <v>4145</v>
      </c>
      <c r="C304" s="52">
        <v>10</v>
      </c>
      <c r="D304" s="52">
        <v>9</v>
      </c>
      <c r="E304" s="52">
        <v>13</v>
      </c>
      <c r="F304" s="52">
        <v>9</v>
      </c>
      <c r="G304" s="52">
        <v>15</v>
      </c>
      <c r="H304" s="52">
        <v>11</v>
      </c>
      <c r="I304" s="52">
        <v>67</v>
      </c>
      <c r="J304" s="105">
        <v>11.166666666666666</v>
      </c>
      <c r="K304" s="52"/>
    </row>
    <row r="305" spans="1:11" ht="15.75" customHeight="1" x14ac:dyDescent="0.25">
      <c r="A305" s="2">
        <v>250</v>
      </c>
      <c r="B305" s="2" t="s">
        <v>4146</v>
      </c>
      <c r="C305" s="52">
        <v>10</v>
      </c>
      <c r="D305" s="52">
        <v>13</v>
      </c>
      <c r="E305" s="52">
        <v>9</v>
      </c>
      <c r="F305" s="52">
        <v>11</v>
      </c>
      <c r="G305" s="52">
        <v>15</v>
      </c>
      <c r="H305" s="52">
        <v>9</v>
      </c>
      <c r="I305" s="52">
        <v>67</v>
      </c>
      <c r="J305" s="105">
        <v>11.166666666666666</v>
      </c>
      <c r="K305" s="52"/>
    </row>
    <row r="306" spans="1:11" ht="15.75" customHeight="1" x14ac:dyDescent="0.25">
      <c r="A306" s="2">
        <v>251</v>
      </c>
      <c r="B306" s="2" t="s">
        <v>4147</v>
      </c>
      <c r="C306" s="52">
        <v>10</v>
      </c>
      <c r="D306" s="52">
        <v>10</v>
      </c>
      <c r="E306" s="52">
        <v>10</v>
      </c>
      <c r="F306" s="52">
        <v>10</v>
      </c>
      <c r="G306" s="52">
        <v>10</v>
      </c>
      <c r="H306" s="52">
        <v>10</v>
      </c>
      <c r="I306" s="52">
        <v>60</v>
      </c>
      <c r="J306" s="105">
        <v>10</v>
      </c>
      <c r="K306" s="52"/>
    </row>
    <row r="307" spans="1:11" ht="15.75" customHeight="1" x14ac:dyDescent="0.25">
      <c r="A307" s="2">
        <v>252</v>
      </c>
      <c r="B307" s="2" t="s">
        <v>4148</v>
      </c>
      <c r="C307" s="52">
        <v>4</v>
      </c>
      <c r="D307" s="52">
        <v>4</v>
      </c>
      <c r="E307" s="52">
        <v>3</v>
      </c>
      <c r="F307" s="52">
        <v>6</v>
      </c>
      <c r="G307" s="52">
        <v>5</v>
      </c>
      <c r="H307" s="52">
        <v>7</v>
      </c>
      <c r="I307" s="52">
        <v>29</v>
      </c>
      <c r="J307" s="105">
        <v>4.833333333333333</v>
      </c>
      <c r="K307" s="52"/>
    </row>
    <row r="308" spans="1:11" ht="15.75" customHeight="1" x14ac:dyDescent="0.25">
      <c r="A308" s="2">
        <v>253</v>
      </c>
      <c r="B308" s="2" t="s">
        <v>4149</v>
      </c>
      <c r="C308" s="52">
        <v>5</v>
      </c>
      <c r="D308" s="52">
        <v>6</v>
      </c>
      <c r="E308" s="52">
        <v>4</v>
      </c>
      <c r="F308" s="52">
        <v>8</v>
      </c>
      <c r="G308" s="52">
        <v>6</v>
      </c>
      <c r="H308" s="52">
        <v>9</v>
      </c>
      <c r="I308" s="52">
        <v>38</v>
      </c>
      <c r="J308" s="105">
        <v>6.333333333333333</v>
      </c>
      <c r="K308" s="52"/>
    </row>
    <row r="309" spans="1:11" ht="15.75" customHeight="1" x14ac:dyDescent="0.25">
      <c r="A309" s="2">
        <v>254</v>
      </c>
      <c r="B309" s="2" t="s">
        <v>4150</v>
      </c>
      <c r="C309" s="52">
        <v>7</v>
      </c>
      <c r="D309" s="52">
        <v>8</v>
      </c>
      <c r="E309" s="52">
        <v>6</v>
      </c>
      <c r="F309" s="52">
        <v>10</v>
      </c>
      <c r="G309" s="52">
        <v>8</v>
      </c>
      <c r="H309" s="52">
        <v>12</v>
      </c>
      <c r="I309" s="52">
        <v>51</v>
      </c>
      <c r="J309" s="105">
        <v>8.5</v>
      </c>
      <c r="K309" s="52"/>
    </row>
    <row r="310" spans="1:11" ht="15.75" customHeight="1" x14ac:dyDescent="0.25">
      <c r="A310" s="2">
        <v>254</v>
      </c>
      <c r="B310" s="2" t="s">
        <v>4151</v>
      </c>
      <c r="C310" s="52">
        <v>7</v>
      </c>
      <c r="D310" s="52">
        <v>11</v>
      </c>
      <c r="E310" s="52">
        <v>7</v>
      </c>
      <c r="F310" s="52">
        <v>14</v>
      </c>
      <c r="G310" s="52">
        <v>8</v>
      </c>
      <c r="H310" s="52">
        <v>14</v>
      </c>
      <c r="I310" s="52">
        <v>61</v>
      </c>
      <c r="J310" s="105">
        <v>10.166666666666666</v>
      </c>
      <c r="K310" s="52"/>
    </row>
    <row r="311" spans="1:11" ht="15.75" customHeight="1" x14ac:dyDescent="0.25">
      <c r="A311" s="2">
        <v>255</v>
      </c>
      <c r="B311" s="2" t="s">
        <v>4152</v>
      </c>
      <c r="C311" s="52">
        <v>4</v>
      </c>
      <c r="D311" s="52">
        <v>6</v>
      </c>
      <c r="E311" s="52">
        <v>4</v>
      </c>
      <c r="F311" s="52">
        <v>7</v>
      </c>
      <c r="G311" s="52">
        <v>5</v>
      </c>
      <c r="H311" s="52">
        <v>4</v>
      </c>
      <c r="I311" s="52">
        <v>30</v>
      </c>
      <c r="J311" s="105">
        <v>5</v>
      </c>
      <c r="K311" s="52"/>
    </row>
    <row r="312" spans="1:11" ht="15.75" customHeight="1" x14ac:dyDescent="0.25">
      <c r="A312" s="2">
        <v>256</v>
      </c>
      <c r="B312" s="2" t="s">
        <v>4153</v>
      </c>
      <c r="C312" s="52">
        <v>6</v>
      </c>
      <c r="D312" s="52">
        <v>8</v>
      </c>
      <c r="E312" s="52">
        <v>6</v>
      </c>
      <c r="F312" s="52">
        <v>8</v>
      </c>
      <c r="G312" s="52">
        <v>6</v>
      </c>
      <c r="H312" s="52">
        <v>5</v>
      </c>
      <c r="I312" s="52">
        <v>39</v>
      </c>
      <c r="J312" s="105">
        <v>6.5</v>
      </c>
      <c r="K312" s="52"/>
    </row>
    <row r="313" spans="1:11" ht="15.75" customHeight="1" x14ac:dyDescent="0.25">
      <c r="A313" s="2">
        <v>257</v>
      </c>
      <c r="B313" s="2" t="s">
        <v>4154</v>
      </c>
      <c r="C313" s="52">
        <v>8</v>
      </c>
      <c r="D313" s="52">
        <v>12</v>
      </c>
      <c r="E313" s="52">
        <v>7</v>
      </c>
      <c r="F313" s="52">
        <v>11</v>
      </c>
      <c r="G313" s="52">
        <v>7</v>
      </c>
      <c r="H313" s="52">
        <v>8</v>
      </c>
      <c r="I313" s="52">
        <v>53</v>
      </c>
      <c r="J313" s="105">
        <v>8.8333333333333339</v>
      </c>
      <c r="K313" s="52"/>
    </row>
    <row r="314" spans="1:11" ht="15.75" customHeight="1" x14ac:dyDescent="0.25">
      <c r="A314" s="2">
        <v>257</v>
      </c>
      <c r="B314" s="2" t="s">
        <v>4155</v>
      </c>
      <c r="C314" s="52">
        <v>8</v>
      </c>
      <c r="D314" s="52">
        <v>16</v>
      </c>
      <c r="E314" s="52">
        <v>8</v>
      </c>
      <c r="F314" s="52">
        <v>13</v>
      </c>
      <c r="G314" s="52">
        <v>8</v>
      </c>
      <c r="H314" s="52">
        <v>10</v>
      </c>
      <c r="I314" s="52">
        <v>63</v>
      </c>
      <c r="J314" s="105">
        <v>10.5</v>
      </c>
      <c r="K314" s="52"/>
    </row>
    <row r="315" spans="1:11" ht="15.75" customHeight="1" x14ac:dyDescent="0.25">
      <c r="A315" s="2">
        <v>258</v>
      </c>
      <c r="B315" s="2" t="s">
        <v>4156</v>
      </c>
      <c r="C315" s="52">
        <v>5</v>
      </c>
      <c r="D315" s="52">
        <v>7</v>
      </c>
      <c r="E315" s="52">
        <v>5</v>
      </c>
      <c r="F315" s="52">
        <v>5</v>
      </c>
      <c r="G315" s="52">
        <v>5</v>
      </c>
      <c r="H315" s="52">
        <v>4</v>
      </c>
      <c r="I315" s="52">
        <v>31</v>
      </c>
      <c r="J315" s="105">
        <v>5.166666666666667</v>
      </c>
      <c r="K315" s="52"/>
    </row>
    <row r="316" spans="1:11" ht="15.75" customHeight="1" x14ac:dyDescent="0.25">
      <c r="A316" s="2">
        <v>259</v>
      </c>
      <c r="B316" s="2" t="s">
        <v>4157</v>
      </c>
      <c r="C316" s="52">
        <v>7</v>
      </c>
      <c r="D316" s="52">
        <v>8</v>
      </c>
      <c r="E316" s="52">
        <v>7</v>
      </c>
      <c r="F316" s="52">
        <v>6</v>
      </c>
      <c r="G316" s="52">
        <v>7</v>
      </c>
      <c r="H316" s="52">
        <v>5</v>
      </c>
      <c r="I316" s="52">
        <v>40</v>
      </c>
      <c r="J316" s="105">
        <v>6.666666666666667</v>
      </c>
      <c r="K316" s="52"/>
    </row>
    <row r="317" spans="1:11" ht="15.75" customHeight="1" x14ac:dyDescent="0.25">
      <c r="A317" s="2">
        <v>260</v>
      </c>
      <c r="B317" s="2" t="s">
        <v>4158</v>
      </c>
      <c r="C317" s="52">
        <v>10</v>
      </c>
      <c r="D317" s="52">
        <v>11</v>
      </c>
      <c r="E317" s="52">
        <v>9</v>
      </c>
      <c r="F317" s="52">
        <v>8</v>
      </c>
      <c r="G317" s="52">
        <v>9</v>
      </c>
      <c r="H317" s="52">
        <v>6</v>
      </c>
      <c r="I317" s="52">
        <v>53</v>
      </c>
      <c r="J317" s="105">
        <v>8.8333333333333339</v>
      </c>
      <c r="K317" s="52"/>
    </row>
    <row r="318" spans="1:11" ht="15.75" customHeight="1" x14ac:dyDescent="0.25">
      <c r="A318" s="2">
        <v>260</v>
      </c>
      <c r="B318" s="2" t="s">
        <v>4159</v>
      </c>
      <c r="C318" s="52">
        <v>10</v>
      </c>
      <c r="D318" s="52">
        <v>15</v>
      </c>
      <c r="E318" s="52">
        <v>11</v>
      </c>
      <c r="F318" s="52">
        <v>9</v>
      </c>
      <c r="G318" s="52">
        <v>11</v>
      </c>
      <c r="H318" s="52">
        <v>7</v>
      </c>
      <c r="I318" s="52">
        <v>63</v>
      </c>
      <c r="J318" s="105">
        <v>10.5</v>
      </c>
      <c r="K318" s="52"/>
    </row>
    <row r="319" spans="1:11" ht="15.75" customHeight="1" x14ac:dyDescent="0.25">
      <c r="A319" s="2">
        <v>261</v>
      </c>
      <c r="B319" s="2" t="s">
        <v>4160</v>
      </c>
      <c r="C319" s="52">
        <v>3</v>
      </c>
      <c r="D319" s="52">
        <v>5</v>
      </c>
      <c r="E319" s="52">
        <v>3</v>
      </c>
      <c r="F319" s="52">
        <v>3</v>
      </c>
      <c r="G319" s="52">
        <v>3</v>
      </c>
      <c r="H319" s="52">
        <v>3</v>
      </c>
      <c r="I319" s="52">
        <v>20</v>
      </c>
      <c r="J319" s="105">
        <v>3.3333333333333335</v>
      </c>
      <c r="K319" s="52"/>
    </row>
    <row r="320" spans="1:11" ht="15.75" customHeight="1" x14ac:dyDescent="0.25">
      <c r="A320" s="2">
        <v>262</v>
      </c>
      <c r="B320" s="2" t="s">
        <v>4161</v>
      </c>
      <c r="C320" s="52">
        <v>7</v>
      </c>
      <c r="D320" s="52">
        <v>9</v>
      </c>
      <c r="E320" s="52">
        <v>7</v>
      </c>
      <c r="F320" s="52">
        <v>6</v>
      </c>
      <c r="G320" s="52">
        <v>6</v>
      </c>
      <c r="H320" s="52">
        <v>7</v>
      </c>
      <c r="I320" s="52">
        <v>42</v>
      </c>
      <c r="J320" s="105">
        <v>7</v>
      </c>
      <c r="K320" s="52"/>
    </row>
    <row r="321" spans="1:11" ht="15.75" customHeight="1" x14ac:dyDescent="0.25">
      <c r="A321" s="2">
        <v>263</v>
      </c>
      <c r="B321" s="2" t="s">
        <v>4162</v>
      </c>
      <c r="C321" s="52">
        <v>3</v>
      </c>
      <c r="D321" s="52">
        <v>3</v>
      </c>
      <c r="E321" s="52">
        <v>4</v>
      </c>
      <c r="F321" s="52">
        <v>3</v>
      </c>
      <c r="G321" s="52">
        <v>4</v>
      </c>
      <c r="H321" s="52">
        <v>6</v>
      </c>
      <c r="I321" s="52">
        <v>23</v>
      </c>
      <c r="J321" s="105">
        <v>3.8333333333333335</v>
      </c>
      <c r="K321" s="52"/>
    </row>
    <row r="322" spans="1:11" ht="15.75" customHeight="1" x14ac:dyDescent="0.25">
      <c r="A322" s="2">
        <v>263</v>
      </c>
      <c r="B322" s="2" t="s">
        <v>4163</v>
      </c>
      <c r="C322" s="52">
        <v>3</v>
      </c>
      <c r="D322" s="52">
        <v>3</v>
      </c>
      <c r="E322" s="52">
        <v>4</v>
      </c>
      <c r="F322" s="52">
        <v>3</v>
      </c>
      <c r="G322" s="52">
        <v>4</v>
      </c>
      <c r="H322" s="52">
        <v>6</v>
      </c>
      <c r="I322" s="52">
        <v>23</v>
      </c>
      <c r="J322" s="105">
        <v>3.8333333333333335</v>
      </c>
      <c r="K322" s="52"/>
    </row>
    <row r="323" spans="1:11" ht="15.75" customHeight="1" x14ac:dyDescent="0.25">
      <c r="A323" s="2">
        <v>264</v>
      </c>
      <c r="B323" s="2" t="s">
        <v>4164</v>
      </c>
      <c r="C323" s="52">
        <v>7</v>
      </c>
      <c r="D323" s="52">
        <v>7</v>
      </c>
      <c r="E323" s="52">
        <v>6</v>
      </c>
      <c r="F323" s="52">
        <v>5</v>
      </c>
      <c r="G323" s="52">
        <v>6</v>
      </c>
      <c r="H323" s="52">
        <v>10</v>
      </c>
      <c r="I323" s="52">
        <v>41</v>
      </c>
      <c r="J323" s="105">
        <v>6.833333333333333</v>
      </c>
      <c r="K323" s="52"/>
    </row>
    <row r="324" spans="1:11" ht="15.75" customHeight="1" x14ac:dyDescent="0.25">
      <c r="A324" s="2">
        <v>264</v>
      </c>
      <c r="B324" s="2" t="s">
        <v>4165</v>
      </c>
      <c r="C324" s="52">
        <v>7</v>
      </c>
      <c r="D324" s="52">
        <v>7</v>
      </c>
      <c r="E324" s="52">
        <v>6</v>
      </c>
      <c r="F324" s="52">
        <v>5</v>
      </c>
      <c r="G324" s="52">
        <v>6</v>
      </c>
      <c r="H324" s="52">
        <v>10</v>
      </c>
      <c r="I324" s="52">
        <v>41</v>
      </c>
      <c r="J324" s="105">
        <v>6.833333333333333</v>
      </c>
      <c r="K324" s="52"/>
    </row>
    <row r="325" spans="1:11" ht="15.75" customHeight="1" x14ac:dyDescent="0.25">
      <c r="A325" s="2">
        <v>265</v>
      </c>
      <c r="B325" s="2" t="s">
        <v>4166</v>
      </c>
      <c r="C325" s="52">
        <v>4</v>
      </c>
      <c r="D325" s="52">
        <v>4</v>
      </c>
      <c r="E325" s="52">
        <v>3</v>
      </c>
      <c r="F325" s="52">
        <v>2</v>
      </c>
      <c r="G325" s="52">
        <v>3</v>
      </c>
      <c r="H325" s="52">
        <v>2</v>
      </c>
      <c r="I325" s="52">
        <v>18</v>
      </c>
      <c r="J325" s="105">
        <v>3</v>
      </c>
      <c r="K325" s="52"/>
    </row>
    <row r="326" spans="1:11" ht="15.75" customHeight="1" x14ac:dyDescent="0.25">
      <c r="A326" s="2">
        <v>266</v>
      </c>
      <c r="B326" s="2" t="s">
        <v>4167</v>
      </c>
      <c r="C326" s="52">
        <v>5</v>
      </c>
      <c r="D326" s="52">
        <v>3</v>
      </c>
      <c r="E326" s="52">
        <v>5</v>
      </c>
      <c r="F326" s="52">
        <v>2</v>
      </c>
      <c r="G326" s="52">
        <v>2</v>
      </c>
      <c r="H326" s="52">
        <v>1</v>
      </c>
      <c r="I326" s="52">
        <v>18</v>
      </c>
      <c r="J326" s="105">
        <v>3</v>
      </c>
      <c r="K326" s="52"/>
    </row>
    <row r="327" spans="1:11" ht="15.75" customHeight="1" x14ac:dyDescent="0.25">
      <c r="A327" s="2">
        <v>267</v>
      </c>
      <c r="B327" s="2" t="s">
        <v>4168</v>
      </c>
      <c r="C327" s="52">
        <v>6</v>
      </c>
      <c r="D327" s="52">
        <v>7</v>
      </c>
      <c r="E327" s="52">
        <v>5</v>
      </c>
      <c r="F327" s="52">
        <v>10</v>
      </c>
      <c r="G327" s="52">
        <v>5</v>
      </c>
      <c r="H327" s="52">
        <v>6</v>
      </c>
      <c r="I327" s="52">
        <v>39</v>
      </c>
      <c r="J327" s="105">
        <v>6.5</v>
      </c>
      <c r="K327" s="52"/>
    </row>
    <row r="328" spans="1:11" ht="15.75" customHeight="1" x14ac:dyDescent="0.25">
      <c r="A328" s="2">
        <v>268</v>
      </c>
      <c r="B328" s="2" t="s">
        <v>4169</v>
      </c>
      <c r="C328" s="52">
        <v>5</v>
      </c>
      <c r="D328" s="52">
        <v>3</v>
      </c>
      <c r="E328" s="52">
        <v>5</v>
      </c>
      <c r="F328" s="52">
        <v>2</v>
      </c>
      <c r="G328" s="52">
        <v>2</v>
      </c>
      <c r="H328" s="52">
        <v>1</v>
      </c>
      <c r="I328" s="52">
        <v>18</v>
      </c>
      <c r="J328" s="105">
        <v>3</v>
      </c>
      <c r="K328" s="52"/>
    </row>
    <row r="329" spans="1:11" ht="15.75" customHeight="1" x14ac:dyDescent="0.25">
      <c r="A329" s="2">
        <v>269</v>
      </c>
      <c r="B329" s="2" t="s">
        <v>4170</v>
      </c>
      <c r="C329" s="52">
        <v>6</v>
      </c>
      <c r="D329" s="52">
        <v>5</v>
      </c>
      <c r="E329" s="52">
        <v>7</v>
      </c>
      <c r="F329" s="52">
        <v>5</v>
      </c>
      <c r="G329" s="52">
        <v>9</v>
      </c>
      <c r="H329" s="52">
        <v>6</v>
      </c>
      <c r="I329" s="52">
        <v>38</v>
      </c>
      <c r="J329" s="105">
        <v>6.333333333333333</v>
      </c>
      <c r="K329" s="52"/>
    </row>
    <row r="330" spans="1:11" ht="15.75" customHeight="1" x14ac:dyDescent="0.25">
      <c r="A330" s="2">
        <v>270</v>
      </c>
      <c r="B330" s="2" t="s">
        <v>4171</v>
      </c>
      <c r="C330" s="52">
        <v>4</v>
      </c>
      <c r="D330" s="52">
        <v>3</v>
      </c>
      <c r="E330" s="52">
        <v>3</v>
      </c>
      <c r="F330" s="52">
        <v>4</v>
      </c>
      <c r="G330" s="52">
        <v>5</v>
      </c>
      <c r="H330" s="52">
        <v>3</v>
      </c>
      <c r="I330" s="52">
        <v>22</v>
      </c>
      <c r="J330" s="105">
        <v>3.6666666666666665</v>
      </c>
      <c r="K330" s="52"/>
    </row>
    <row r="331" spans="1:11" ht="15.75" customHeight="1" x14ac:dyDescent="0.25">
      <c r="A331" s="2">
        <v>271</v>
      </c>
      <c r="B331" s="2" t="s">
        <v>4172</v>
      </c>
      <c r="C331" s="52">
        <v>6</v>
      </c>
      <c r="D331" s="52">
        <v>5</v>
      </c>
      <c r="E331" s="52">
        <v>5</v>
      </c>
      <c r="F331" s="52">
        <v>6</v>
      </c>
      <c r="G331" s="52">
        <v>7</v>
      </c>
      <c r="H331" s="52">
        <v>5</v>
      </c>
      <c r="I331" s="52">
        <v>34</v>
      </c>
      <c r="J331" s="105">
        <v>5.666666666666667</v>
      </c>
      <c r="K331" s="52"/>
    </row>
    <row r="332" spans="1:11" ht="15.75" customHeight="1" x14ac:dyDescent="0.25">
      <c r="A332" s="2">
        <v>272</v>
      </c>
      <c r="B332" s="2" t="s">
        <v>4173</v>
      </c>
      <c r="C332" s="52">
        <v>8</v>
      </c>
      <c r="D332" s="52">
        <v>7</v>
      </c>
      <c r="E332" s="52">
        <v>7</v>
      </c>
      <c r="F332" s="52">
        <v>9</v>
      </c>
      <c r="G332" s="52">
        <v>10</v>
      </c>
      <c r="H332" s="52">
        <v>7</v>
      </c>
      <c r="I332" s="52">
        <v>48</v>
      </c>
      <c r="J332" s="105">
        <v>8</v>
      </c>
      <c r="K332" s="52"/>
    </row>
    <row r="333" spans="1:11" ht="15.75" customHeight="1" x14ac:dyDescent="0.25">
      <c r="A333" s="2">
        <v>273</v>
      </c>
      <c r="B333" s="2" t="s">
        <v>4174</v>
      </c>
      <c r="C333" s="52">
        <v>4</v>
      </c>
      <c r="D333" s="52">
        <v>4</v>
      </c>
      <c r="E333" s="52">
        <v>5</v>
      </c>
      <c r="F333" s="52">
        <v>3</v>
      </c>
      <c r="G333" s="52">
        <v>3</v>
      </c>
      <c r="H333" s="52">
        <v>3</v>
      </c>
      <c r="I333" s="52">
        <v>22</v>
      </c>
      <c r="J333" s="105">
        <v>3.6666666666666665</v>
      </c>
      <c r="K333" s="52"/>
    </row>
    <row r="334" spans="1:11" ht="15.75" customHeight="1" x14ac:dyDescent="0.25">
      <c r="A334" s="2">
        <v>274</v>
      </c>
      <c r="B334" s="2" t="s">
        <v>4175</v>
      </c>
      <c r="C334" s="52">
        <v>7</v>
      </c>
      <c r="D334" s="52">
        <v>7</v>
      </c>
      <c r="E334" s="52">
        <v>4</v>
      </c>
      <c r="F334" s="52">
        <v>6</v>
      </c>
      <c r="G334" s="52">
        <v>4</v>
      </c>
      <c r="H334" s="52">
        <v>6</v>
      </c>
      <c r="I334" s="52">
        <v>34</v>
      </c>
      <c r="J334" s="105">
        <v>5.666666666666667</v>
      </c>
      <c r="K334" s="52"/>
    </row>
    <row r="335" spans="1:11" ht="15.75" customHeight="1" x14ac:dyDescent="0.25">
      <c r="A335" s="2">
        <v>275</v>
      </c>
      <c r="B335" s="2" t="s">
        <v>4176</v>
      </c>
      <c r="C335" s="52">
        <v>9</v>
      </c>
      <c r="D335" s="52">
        <v>10</v>
      </c>
      <c r="E335" s="52">
        <v>6</v>
      </c>
      <c r="F335" s="52">
        <v>9</v>
      </c>
      <c r="G335" s="52">
        <v>6</v>
      </c>
      <c r="H335" s="52">
        <v>8</v>
      </c>
      <c r="I335" s="52">
        <v>48</v>
      </c>
      <c r="J335" s="105">
        <v>8</v>
      </c>
      <c r="K335" s="52"/>
    </row>
    <row r="336" spans="1:11" ht="15.75" customHeight="1" x14ac:dyDescent="0.25">
      <c r="A336" s="2">
        <v>276</v>
      </c>
      <c r="B336" s="2" t="s">
        <v>4177</v>
      </c>
      <c r="C336" s="52">
        <v>4</v>
      </c>
      <c r="D336" s="52">
        <v>5</v>
      </c>
      <c r="E336" s="52">
        <v>3</v>
      </c>
      <c r="F336" s="52">
        <v>3</v>
      </c>
      <c r="G336" s="52">
        <v>3</v>
      </c>
      <c r="H336" s="52">
        <v>8</v>
      </c>
      <c r="I336" s="52">
        <v>26</v>
      </c>
      <c r="J336" s="105">
        <v>4.333333333333333</v>
      </c>
      <c r="K336" s="52"/>
    </row>
    <row r="337" spans="1:11" ht="15.75" customHeight="1" x14ac:dyDescent="0.25">
      <c r="A337" s="2">
        <v>277</v>
      </c>
      <c r="B337" s="2" t="s">
        <v>4178</v>
      </c>
      <c r="C337" s="52">
        <v>6</v>
      </c>
      <c r="D337" s="52">
        <v>8</v>
      </c>
      <c r="E337" s="52">
        <v>6</v>
      </c>
      <c r="F337" s="52">
        <v>7</v>
      </c>
      <c r="G337" s="52">
        <v>5</v>
      </c>
      <c r="H337" s="52">
        <v>12</v>
      </c>
      <c r="I337" s="52">
        <v>44</v>
      </c>
      <c r="J337" s="105">
        <v>7.333333333333333</v>
      </c>
      <c r="K337" s="52"/>
    </row>
    <row r="338" spans="1:11" ht="15.75" customHeight="1" x14ac:dyDescent="0.25">
      <c r="A338" s="2">
        <v>278</v>
      </c>
      <c r="B338" s="2" t="s">
        <v>4179</v>
      </c>
      <c r="C338" s="52">
        <v>4</v>
      </c>
      <c r="D338" s="52">
        <v>3</v>
      </c>
      <c r="E338" s="52">
        <v>3</v>
      </c>
      <c r="F338" s="52">
        <v>5</v>
      </c>
      <c r="G338" s="52">
        <v>3</v>
      </c>
      <c r="H338" s="52">
        <v>8</v>
      </c>
      <c r="I338" s="52">
        <v>26</v>
      </c>
      <c r="J338" s="105">
        <v>4.333333333333333</v>
      </c>
      <c r="K338" s="52"/>
    </row>
    <row r="339" spans="1:11" ht="15.75" customHeight="1" x14ac:dyDescent="0.25">
      <c r="A339" s="2">
        <v>279</v>
      </c>
      <c r="B339" s="2" t="s">
        <v>4180</v>
      </c>
      <c r="C339" s="52">
        <v>6</v>
      </c>
      <c r="D339" s="52">
        <v>5</v>
      </c>
      <c r="E339" s="52">
        <v>10</v>
      </c>
      <c r="F339" s="52">
        <v>9</v>
      </c>
      <c r="G339" s="52">
        <v>7</v>
      </c>
      <c r="H339" s="52">
        <v>6</v>
      </c>
      <c r="I339" s="52">
        <v>43</v>
      </c>
      <c r="J339" s="105">
        <v>7.166666666666667</v>
      </c>
      <c r="K339" s="52"/>
    </row>
    <row r="340" spans="1:11" ht="15.75" customHeight="1" x14ac:dyDescent="0.25">
      <c r="A340" s="2">
        <v>280</v>
      </c>
      <c r="B340" s="2" t="s">
        <v>4181</v>
      </c>
      <c r="C340" s="52">
        <v>2</v>
      </c>
      <c r="D340" s="52">
        <v>2</v>
      </c>
      <c r="E340" s="52">
        <v>2</v>
      </c>
      <c r="F340" s="52">
        <v>4</v>
      </c>
      <c r="G340" s="52">
        <v>3</v>
      </c>
      <c r="H340" s="52">
        <v>4</v>
      </c>
      <c r="I340" s="52">
        <v>17</v>
      </c>
      <c r="J340" s="105">
        <v>2.8333333333333335</v>
      </c>
      <c r="K340" s="52"/>
    </row>
    <row r="341" spans="1:11" ht="15.75" customHeight="1" x14ac:dyDescent="0.25">
      <c r="A341" s="2">
        <v>281</v>
      </c>
      <c r="B341" s="2" t="s">
        <v>4182</v>
      </c>
      <c r="C341" s="52">
        <v>3</v>
      </c>
      <c r="D341" s="52">
        <v>3</v>
      </c>
      <c r="E341" s="52">
        <v>3</v>
      </c>
      <c r="F341" s="52">
        <v>6</v>
      </c>
      <c r="G341" s="52">
        <v>5</v>
      </c>
      <c r="H341" s="52">
        <v>5</v>
      </c>
      <c r="I341" s="52">
        <v>25</v>
      </c>
      <c r="J341" s="105">
        <v>4.166666666666667</v>
      </c>
      <c r="K341" s="52"/>
    </row>
    <row r="342" spans="1:11" ht="15.75" customHeight="1" x14ac:dyDescent="0.25">
      <c r="A342" s="2">
        <v>282</v>
      </c>
      <c r="B342" s="2" t="s">
        <v>4183</v>
      </c>
      <c r="C342" s="52">
        <v>6</v>
      </c>
      <c r="D342" s="52">
        <v>6</v>
      </c>
      <c r="E342" s="52">
        <v>6</v>
      </c>
      <c r="F342" s="52">
        <v>12</v>
      </c>
      <c r="G342" s="52">
        <v>11</v>
      </c>
      <c r="H342" s="52">
        <v>8</v>
      </c>
      <c r="I342" s="52">
        <v>49</v>
      </c>
      <c r="J342" s="105">
        <v>8.1666666666666661</v>
      </c>
      <c r="K342" s="52"/>
    </row>
    <row r="343" spans="1:11" ht="15.75" customHeight="1" x14ac:dyDescent="0.25">
      <c r="A343" s="2">
        <v>282</v>
      </c>
      <c r="B343" s="2" t="s">
        <v>4184</v>
      </c>
      <c r="C343" s="52">
        <v>6</v>
      </c>
      <c r="D343" s="52">
        <v>8</v>
      </c>
      <c r="E343" s="52">
        <v>6</v>
      </c>
      <c r="F343" s="52">
        <v>16</v>
      </c>
      <c r="G343" s="52">
        <v>13</v>
      </c>
      <c r="H343" s="52">
        <v>10</v>
      </c>
      <c r="I343" s="52">
        <v>59</v>
      </c>
      <c r="J343" s="105">
        <v>9.8333333333333339</v>
      </c>
      <c r="K343" s="52"/>
    </row>
    <row r="344" spans="1:11" ht="15.75" customHeight="1" x14ac:dyDescent="0.25">
      <c r="A344" s="2">
        <v>283</v>
      </c>
      <c r="B344" s="2" t="s">
        <v>4185</v>
      </c>
      <c r="C344" s="52">
        <v>4</v>
      </c>
      <c r="D344" s="52">
        <v>3</v>
      </c>
      <c r="E344" s="52">
        <v>3</v>
      </c>
      <c r="F344" s="52">
        <v>5</v>
      </c>
      <c r="G344" s="52">
        <v>5</v>
      </c>
      <c r="H344" s="52">
        <v>6</v>
      </c>
      <c r="I344" s="52">
        <v>26</v>
      </c>
      <c r="J344" s="105">
        <v>4.333333333333333</v>
      </c>
      <c r="K344" s="52"/>
    </row>
    <row r="345" spans="1:11" ht="15.75" customHeight="1" x14ac:dyDescent="0.25">
      <c r="A345" s="2">
        <v>284</v>
      </c>
      <c r="B345" s="2" t="s">
        <v>4186</v>
      </c>
      <c r="C345" s="52">
        <v>7</v>
      </c>
      <c r="D345" s="52">
        <v>6</v>
      </c>
      <c r="E345" s="52">
        <v>6</v>
      </c>
      <c r="F345" s="52">
        <v>10</v>
      </c>
      <c r="G345" s="52">
        <v>8</v>
      </c>
      <c r="H345" s="52">
        <v>8</v>
      </c>
      <c r="I345" s="52">
        <v>45</v>
      </c>
      <c r="J345" s="105">
        <v>7.5</v>
      </c>
      <c r="K345" s="52"/>
    </row>
    <row r="346" spans="1:11" ht="15.75" customHeight="1" x14ac:dyDescent="0.25">
      <c r="A346" s="2">
        <v>285</v>
      </c>
      <c r="B346" s="2" t="s">
        <v>4187</v>
      </c>
      <c r="C346" s="52">
        <v>6</v>
      </c>
      <c r="D346" s="52">
        <v>4</v>
      </c>
      <c r="E346" s="52">
        <v>6</v>
      </c>
      <c r="F346" s="52">
        <v>4</v>
      </c>
      <c r="G346" s="52">
        <v>6</v>
      </c>
      <c r="H346" s="52">
        <v>3</v>
      </c>
      <c r="I346" s="52">
        <v>29</v>
      </c>
      <c r="J346" s="105">
        <v>4.833333333333333</v>
      </c>
      <c r="K346" s="52"/>
    </row>
    <row r="347" spans="1:11" ht="15.75" customHeight="1" x14ac:dyDescent="0.25">
      <c r="A347" s="2">
        <v>286</v>
      </c>
      <c r="B347" s="2" t="s">
        <v>4188</v>
      </c>
      <c r="C347" s="52">
        <v>6</v>
      </c>
      <c r="D347" s="52">
        <v>13</v>
      </c>
      <c r="E347" s="52">
        <v>8</v>
      </c>
      <c r="F347" s="52">
        <v>6</v>
      </c>
      <c r="G347" s="52">
        <v>6</v>
      </c>
      <c r="H347" s="52">
        <v>7</v>
      </c>
      <c r="I347" s="52">
        <v>46</v>
      </c>
      <c r="J347" s="105">
        <v>7.666666666666667</v>
      </c>
      <c r="K347" s="52"/>
    </row>
    <row r="348" spans="1:11" ht="15.75" customHeight="1" x14ac:dyDescent="0.25">
      <c r="A348" s="2">
        <v>287</v>
      </c>
      <c r="B348" s="2" t="s">
        <v>4189</v>
      </c>
      <c r="C348" s="52">
        <v>6</v>
      </c>
      <c r="D348" s="52">
        <v>6</v>
      </c>
      <c r="E348" s="52">
        <v>6</v>
      </c>
      <c r="F348" s="52">
        <v>3</v>
      </c>
      <c r="G348" s="52">
        <v>3</v>
      </c>
      <c r="H348" s="52">
        <v>3</v>
      </c>
      <c r="I348" s="52">
        <v>27</v>
      </c>
      <c r="J348" s="105">
        <v>4.5</v>
      </c>
      <c r="K348" s="52"/>
    </row>
    <row r="349" spans="1:11" ht="15.75" customHeight="1" x14ac:dyDescent="0.25">
      <c r="A349" s="2">
        <v>288</v>
      </c>
      <c r="B349" s="2" t="s">
        <v>4190</v>
      </c>
      <c r="C349" s="52">
        <v>8</v>
      </c>
      <c r="D349" s="52">
        <v>8</v>
      </c>
      <c r="E349" s="52">
        <v>8</v>
      </c>
      <c r="F349" s="52">
        <v>5</v>
      </c>
      <c r="G349" s="52">
        <v>5</v>
      </c>
      <c r="H349" s="52">
        <v>9</v>
      </c>
      <c r="I349" s="52">
        <v>43</v>
      </c>
      <c r="J349" s="105">
        <v>7.166666666666667</v>
      </c>
      <c r="K349" s="52"/>
    </row>
    <row r="350" spans="1:11" ht="15.75" customHeight="1" x14ac:dyDescent="0.25">
      <c r="A350" s="2">
        <v>289</v>
      </c>
      <c r="B350" s="2" t="s">
        <v>4191</v>
      </c>
      <c r="C350" s="52">
        <v>15</v>
      </c>
      <c r="D350" s="52">
        <v>16</v>
      </c>
      <c r="E350" s="52">
        <v>10</v>
      </c>
      <c r="F350" s="52">
        <v>9</v>
      </c>
      <c r="G350" s="52">
        <v>6</v>
      </c>
      <c r="H350" s="52">
        <v>10</v>
      </c>
      <c r="I350" s="52">
        <v>66</v>
      </c>
      <c r="J350" s="105">
        <v>11</v>
      </c>
      <c r="K350" s="52"/>
    </row>
    <row r="351" spans="1:11" ht="15.75" customHeight="1" x14ac:dyDescent="0.25">
      <c r="A351" s="2">
        <v>290</v>
      </c>
      <c r="B351" s="2" t="s">
        <v>4192</v>
      </c>
      <c r="C351" s="52">
        <v>3</v>
      </c>
      <c r="D351" s="52">
        <v>4</v>
      </c>
      <c r="E351" s="52">
        <v>9</v>
      </c>
      <c r="F351" s="52">
        <v>3</v>
      </c>
      <c r="G351" s="52">
        <v>3</v>
      </c>
      <c r="H351" s="52">
        <v>4</v>
      </c>
      <c r="I351" s="52">
        <v>26</v>
      </c>
      <c r="J351" s="105">
        <v>4.333333333333333</v>
      </c>
      <c r="K351" s="52"/>
    </row>
    <row r="352" spans="1:11" ht="15.75" customHeight="1" x14ac:dyDescent="0.25">
      <c r="A352" s="2">
        <v>291</v>
      </c>
      <c r="B352" s="2" t="s">
        <v>4193</v>
      </c>
      <c r="C352" s="52">
        <v>6</v>
      </c>
      <c r="D352" s="52">
        <v>9</v>
      </c>
      <c r="E352" s="52">
        <v>4</v>
      </c>
      <c r="F352" s="52">
        <v>5</v>
      </c>
      <c r="G352" s="52">
        <v>5</v>
      </c>
      <c r="H352" s="52">
        <v>16</v>
      </c>
      <c r="I352" s="52">
        <v>45</v>
      </c>
      <c r="J352" s="105">
        <v>7.5</v>
      </c>
      <c r="K352" s="52"/>
    </row>
    <row r="353" spans="1:11" ht="15.75" customHeight="1" x14ac:dyDescent="0.25">
      <c r="A353" s="2">
        <v>292</v>
      </c>
      <c r="B353" s="2" t="s">
        <v>4194</v>
      </c>
      <c r="C353" s="52">
        <v>0</v>
      </c>
      <c r="D353" s="52">
        <v>9</v>
      </c>
      <c r="E353" s="52">
        <v>4</v>
      </c>
      <c r="F353" s="52">
        <v>3</v>
      </c>
      <c r="G353" s="52">
        <v>3</v>
      </c>
      <c r="H353" s="52">
        <v>4</v>
      </c>
      <c r="I353" s="52">
        <v>23</v>
      </c>
      <c r="J353" s="105">
        <v>3.8333333333333335</v>
      </c>
      <c r="K353" s="52"/>
    </row>
    <row r="354" spans="1:11" ht="15.75" customHeight="1" x14ac:dyDescent="0.25">
      <c r="A354" s="2">
        <v>293</v>
      </c>
      <c r="B354" s="2" t="s">
        <v>4195</v>
      </c>
      <c r="C354" s="52">
        <v>6</v>
      </c>
      <c r="D354" s="52">
        <v>5</v>
      </c>
      <c r="E354" s="52">
        <v>2</v>
      </c>
      <c r="F354" s="52">
        <v>5</v>
      </c>
      <c r="G354" s="52">
        <v>2</v>
      </c>
      <c r="H354" s="52">
        <v>2</v>
      </c>
      <c r="I354" s="52">
        <v>22</v>
      </c>
      <c r="J354" s="105">
        <v>3.6666666666666665</v>
      </c>
      <c r="K354" s="52"/>
    </row>
    <row r="355" spans="1:11" ht="15.75" customHeight="1" x14ac:dyDescent="0.25">
      <c r="A355" s="2">
        <v>294</v>
      </c>
      <c r="B355" s="2" t="s">
        <v>4196</v>
      </c>
      <c r="C355" s="52">
        <v>8</v>
      </c>
      <c r="D355" s="52">
        <v>7</v>
      </c>
      <c r="E355" s="52">
        <v>4</v>
      </c>
      <c r="F355" s="52">
        <v>7</v>
      </c>
      <c r="G355" s="52">
        <v>4</v>
      </c>
      <c r="H355" s="52">
        <v>4</v>
      </c>
      <c r="I355" s="52">
        <v>34</v>
      </c>
      <c r="J355" s="105">
        <v>5.666666666666667</v>
      </c>
      <c r="K355" s="52"/>
    </row>
    <row r="356" spans="1:11" ht="15.75" customHeight="1" x14ac:dyDescent="0.25">
      <c r="A356" s="2">
        <v>295</v>
      </c>
      <c r="B356" s="2" t="s">
        <v>4197</v>
      </c>
      <c r="C356" s="52">
        <v>10</v>
      </c>
      <c r="D356" s="52">
        <v>9</v>
      </c>
      <c r="E356" s="52">
        <v>6</v>
      </c>
      <c r="F356" s="52">
        <v>9</v>
      </c>
      <c r="G356" s="52">
        <v>7</v>
      </c>
      <c r="H356" s="52">
        <v>6</v>
      </c>
      <c r="I356" s="52">
        <v>47</v>
      </c>
      <c r="J356" s="105">
        <v>7.833333333333333</v>
      </c>
      <c r="K356" s="52"/>
    </row>
    <row r="357" spans="1:11" ht="15.75" customHeight="1" x14ac:dyDescent="0.25">
      <c r="A357" s="2">
        <v>296</v>
      </c>
      <c r="B357" s="2" t="s">
        <v>4198</v>
      </c>
      <c r="C357" s="52">
        <v>7</v>
      </c>
      <c r="D357" s="52">
        <v>6</v>
      </c>
      <c r="E357" s="52">
        <v>3</v>
      </c>
      <c r="F357" s="52">
        <v>2</v>
      </c>
      <c r="G357" s="52">
        <v>3</v>
      </c>
      <c r="H357" s="52">
        <v>2</v>
      </c>
      <c r="I357" s="52">
        <v>23</v>
      </c>
      <c r="J357" s="105">
        <v>3.8333333333333335</v>
      </c>
      <c r="K357" s="52"/>
    </row>
    <row r="358" spans="1:11" ht="15.75" customHeight="1" x14ac:dyDescent="0.25">
      <c r="A358" s="2">
        <v>297</v>
      </c>
      <c r="B358" s="2" t="s">
        <v>4199</v>
      </c>
      <c r="C358" s="52">
        <v>14</v>
      </c>
      <c r="D358" s="52">
        <v>12</v>
      </c>
      <c r="E358" s="52">
        <v>6</v>
      </c>
      <c r="F358" s="52">
        <v>4</v>
      </c>
      <c r="G358" s="52">
        <v>6</v>
      </c>
      <c r="H358" s="52">
        <v>5</v>
      </c>
      <c r="I358" s="52">
        <v>47</v>
      </c>
      <c r="J358" s="105">
        <v>7.833333333333333</v>
      </c>
      <c r="K358" s="52"/>
    </row>
    <row r="359" spans="1:11" ht="15.75" customHeight="1" x14ac:dyDescent="0.25">
      <c r="A359" s="2">
        <v>298</v>
      </c>
      <c r="B359" s="2" t="s">
        <v>4200</v>
      </c>
      <c r="C359" s="52">
        <v>5</v>
      </c>
      <c r="D359" s="52">
        <v>2</v>
      </c>
      <c r="E359" s="52">
        <v>4</v>
      </c>
      <c r="F359" s="52">
        <v>2</v>
      </c>
      <c r="G359" s="52">
        <v>4</v>
      </c>
      <c r="H359" s="52">
        <v>2</v>
      </c>
      <c r="I359" s="52">
        <v>19</v>
      </c>
      <c r="J359" s="105">
        <v>3.1666666666666665</v>
      </c>
      <c r="K359" s="52"/>
    </row>
    <row r="360" spans="1:11" ht="15.75" customHeight="1" x14ac:dyDescent="0.25">
      <c r="A360" s="2">
        <v>299</v>
      </c>
      <c r="B360" s="2" t="s">
        <v>4201</v>
      </c>
      <c r="C360" s="52">
        <v>3</v>
      </c>
      <c r="D360" s="52">
        <v>4</v>
      </c>
      <c r="E360" s="52">
        <v>13</v>
      </c>
      <c r="F360" s="52">
        <v>4</v>
      </c>
      <c r="G360" s="52">
        <v>9</v>
      </c>
      <c r="H360" s="52">
        <v>3</v>
      </c>
      <c r="I360" s="52">
        <v>36</v>
      </c>
      <c r="J360" s="105">
        <v>6</v>
      </c>
      <c r="K360" s="52"/>
    </row>
    <row r="361" spans="1:11" ht="15.75" customHeight="1" x14ac:dyDescent="0.25">
      <c r="A361" s="2">
        <v>300</v>
      </c>
      <c r="B361" s="2" t="s">
        <v>4202</v>
      </c>
      <c r="C361" s="52">
        <v>5</v>
      </c>
      <c r="D361" s="52">
        <v>4</v>
      </c>
      <c r="E361" s="52">
        <v>4</v>
      </c>
      <c r="F361" s="52">
        <v>3</v>
      </c>
      <c r="G361" s="52">
        <v>3</v>
      </c>
      <c r="H361" s="52">
        <v>5</v>
      </c>
      <c r="I361" s="52">
        <v>24</v>
      </c>
      <c r="J361" s="105">
        <v>4</v>
      </c>
      <c r="K361" s="52"/>
    </row>
    <row r="362" spans="1:11" ht="15.75" customHeight="1" x14ac:dyDescent="0.25">
      <c r="A362" s="2">
        <v>301</v>
      </c>
      <c r="B362" s="2" t="s">
        <v>4203</v>
      </c>
      <c r="C362" s="52">
        <v>7</v>
      </c>
      <c r="D362" s="52">
        <v>6</v>
      </c>
      <c r="E362" s="52">
        <v>6</v>
      </c>
      <c r="F362" s="52">
        <v>5</v>
      </c>
      <c r="G362" s="52">
        <v>5</v>
      </c>
      <c r="H362" s="52">
        <v>9</v>
      </c>
      <c r="I362" s="52">
        <v>38</v>
      </c>
      <c r="J362" s="105">
        <v>6.333333333333333</v>
      </c>
      <c r="K362" s="52"/>
    </row>
    <row r="363" spans="1:11" ht="15.75" customHeight="1" x14ac:dyDescent="0.25">
      <c r="A363" s="2">
        <v>302</v>
      </c>
      <c r="B363" s="2" t="s">
        <v>4204</v>
      </c>
      <c r="C363" s="52">
        <v>5</v>
      </c>
      <c r="D363" s="52">
        <v>7</v>
      </c>
      <c r="E363" s="52">
        <v>7</v>
      </c>
      <c r="F363" s="52">
        <v>6</v>
      </c>
      <c r="G363" s="52">
        <v>6</v>
      </c>
      <c r="H363" s="52">
        <v>5</v>
      </c>
      <c r="I363" s="52">
        <v>36</v>
      </c>
      <c r="J363" s="105">
        <v>6</v>
      </c>
      <c r="K363" s="52"/>
    </row>
    <row r="364" spans="1:11" ht="15.75" customHeight="1" x14ac:dyDescent="0.25">
      <c r="A364" s="2">
        <v>302</v>
      </c>
      <c r="B364" s="2" t="s">
        <v>4205</v>
      </c>
      <c r="C364" s="52">
        <v>5</v>
      </c>
      <c r="D364" s="52">
        <v>8</v>
      </c>
      <c r="E364" s="52">
        <v>12</v>
      </c>
      <c r="F364" s="52">
        <v>8</v>
      </c>
      <c r="G364" s="52">
        <v>11</v>
      </c>
      <c r="H364" s="52">
        <v>2</v>
      </c>
      <c r="I364" s="52">
        <v>46</v>
      </c>
      <c r="J364" s="105">
        <v>7.666666666666667</v>
      </c>
      <c r="K364" s="52"/>
    </row>
    <row r="365" spans="1:11" ht="15.75" customHeight="1" x14ac:dyDescent="0.25">
      <c r="A365" s="2">
        <v>303</v>
      </c>
      <c r="B365" s="2" t="s">
        <v>4206</v>
      </c>
      <c r="C365" s="52">
        <v>5</v>
      </c>
      <c r="D365" s="52">
        <v>8</v>
      </c>
      <c r="E365" s="52">
        <v>8</v>
      </c>
      <c r="F365" s="52">
        <v>5</v>
      </c>
      <c r="G365" s="52">
        <v>5</v>
      </c>
      <c r="H365" s="52">
        <v>5</v>
      </c>
      <c r="I365" s="52">
        <v>36</v>
      </c>
      <c r="J365" s="105">
        <v>6</v>
      </c>
      <c r="K365" s="52"/>
    </row>
    <row r="366" spans="1:11" ht="15.75" customHeight="1" x14ac:dyDescent="0.25">
      <c r="A366" s="2">
        <v>303</v>
      </c>
      <c r="B366" s="2" t="s">
        <v>4207</v>
      </c>
      <c r="C366" s="52">
        <v>5</v>
      </c>
      <c r="D366" s="52">
        <v>10</v>
      </c>
      <c r="E366" s="52">
        <v>12</v>
      </c>
      <c r="F366" s="52">
        <v>5</v>
      </c>
      <c r="G366" s="52">
        <v>9</v>
      </c>
      <c r="H366" s="52">
        <v>5</v>
      </c>
      <c r="I366" s="52">
        <v>46</v>
      </c>
      <c r="J366" s="105">
        <v>7.666666666666667</v>
      </c>
      <c r="K366" s="52"/>
    </row>
    <row r="367" spans="1:11" ht="15.75" customHeight="1" x14ac:dyDescent="0.25">
      <c r="A367" s="2">
        <v>304</v>
      </c>
      <c r="B367" s="2" t="s">
        <v>4208</v>
      </c>
      <c r="C367" s="52">
        <v>5</v>
      </c>
      <c r="D367" s="52">
        <v>7</v>
      </c>
      <c r="E367" s="52">
        <v>10</v>
      </c>
      <c r="F367" s="52">
        <v>4</v>
      </c>
      <c r="G367" s="52">
        <v>4</v>
      </c>
      <c r="H367" s="52">
        <v>3</v>
      </c>
      <c r="I367" s="52">
        <v>33</v>
      </c>
      <c r="J367" s="105">
        <v>5.5</v>
      </c>
      <c r="K367" s="52"/>
    </row>
    <row r="368" spans="1:11" ht="15.75" customHeight="1" x14ac:dyDescent="0.25">
      <c r="A368" s="2">
        <v>305</v>
      </c>
      <c r="B368" s="2" t="s">
        <v>4209</v>
      </c>
      <c r="C368" s="52">
        <v>6</v>
      </c>
      <c r="D368" s="52">
        <v>9</v>
      </c>
      <c r="E368" s="52">
        <v>14</v>
      </c>
      <c r="F368" s="52">
        <v>5</v>
      </c>
      <c r="G368" s="52">
        <v>5</v>
      </c>
      <c r="H368" s="52">
        <v>4</v>
      </c>
      <c r="I368" s="52">
        <v>43</v>
      </c>
      <c r="J368" s="105">
        <v>7.166666666666667</v>
      </c>
      <c r="K368" s="52"/>
    </row>
    <row r="369" spans="1:11" ht="15.75" customHeight="1" x14ac:dyDescent="0.25">
      <c r="A369" s="2">
        <v>306</v>
      </c>
      <c r="B369" s="2" t="s">
        <v>4210</v>
      </c>
      <c r="C369" s="52">
        <v>7</v>
      </c>
      <c r="D369" s="52">
        <v>11</v>
      </c>
      <c r="E369" s="52">
        <v>18</v>
      </c>
      <c r="F369" s="52">
        <v>6</v>
      </c>
      <c r="G369" s="52">
        <v>6</v>
      </c>
      <c r="H369" s="52">
        <v>5</v>
      </c>
      <c r="I369" s="52">
        <v>53</v>
      </c>
      <c r="J369" s="105">
        <v>8.8333333333333339</v>
      </c>
      <c r="K369" s="52"/>
    </row>
    <row r="370" spans="1:11" ht="15.75" customHeight="1" x14ac:dyDescent="0.25">
      <c r="A370" s="2">
        <v>306</v>
      </c>
      <c r="B370" s="2" t="s">
        <v>4211</v>
      </c>
      <c r="C370" s="52">
        <v>7</v>
      </c>
      <c r="D370" s="52">
        <v>14</v>
      </c>
      <c r="E370" s="52">
        <v>23</v>
      </c>
      <c r="F370" s="52">
        <v>6</v>
      </c>
      <c r="G370" s="52">
        <v>8</v>
      </c>
      <c r="H370" s="52">
        <v>5</v>
      </c>
      <c r="I370" s="52">
        <v>63</v>
      </c>
      <c r="J370" s="105">
        <v>10.5</v>
      </c>
      <c r="K370" s="52"/>
    </row>
    <row r="371" spans="1:11" ht="15.75" customHeight="1" x14ac:dyDescent="0.25">
      <c r="A371" s="2">
        <v>307</v>
      </c>
      <c r="B371" s="2" t="s">
        <v>4212</v>
      </c>
      <c r="C371" s="52">
        <v>3</v>
      </c>
      <c r="D371" s="52">
        <v>4</v>
      </c>
      <c r="E371" s="52">
        <v>5</v>
      </c>
      <c r="F371" s="52">
        <v>4</v>
      </c>
      <c r="G371" s="52">
        <v>5</v>
      </c>
      <c r="H371" s="52">
        <v>6</v>
      </c>
      <c r="I371" s="52">
        <v>27</v>
      </c>
      <c r="J371" s="105">
        <v>4.5</v>
      </c>
      <c r="K371" s="52"/>
    </row>
    <row r="372" spans="1:11" ht="15.75" customHeight="1" x14ac:dyDescent="0.25">
      <c r="A372" s="2">
        <v>308</v>
      </c>
      <c r="B372" s="2" t="s">
        <v>4213</v>
      </c>
      <c r="C372" s="52">
        <v>6</v>
      </c>
      <c r="D372" s="52">
        <v>6</v>
      </c>
      <c r="E372" s="52">
        <v>7</v>
      </c>
      <c r="F372" s="52">
        <v>6</v>
      </c>
      <c r="G372" s="52">
        <v>7</v>
      </c>
      <c r="H372" s="52">
        <v>8</v>
      </c>
      <c r="I372" s="52">
        <v>40</v>
      </c>
      <c r="J372" s="105">
        <v>6.666666666666667</v>
      </c>
      <c r="K372" s="52"/>
    </row>
    <row r="373" spans="1:11" ht="15.75" customHeight="1" x14ac:dyDescent="0.25">
      <c r="A373" s="2">
        <v>308</v>
      </c>
      <c r="B373" s="2" t="s">
        <v>4214</v>
      </c>
      <c r="C373" s="52">
        <v>6</v>
      </c>
      <c r="D373" s="52">
        <v>10</v>
      </c>
      <c r="E373" s="52">
        <v>8</v>
      </c>
      <c r="F373" s="52">
        <v>8</v>
      </c>
      <c r="G373" s="52">
        <v>8</v>
      </c>
      <c r="H373" s="52">
        <v>10</v>
      </c>
      <c r="I373" s="52">
        <v>50</v>
      </c>
      <c r="J373" s="105">
        <v>8.3333333333333339</v>
      </c>
      <c r="K373" s="52"/>
    </row>
    <row r="374" spans="1:11" ht="15.75" customHeight="1" x14ac:dyDescent="0.25">
      <c r="A374" s="2">
        <v>309</v>
      </c>
      <c r="B374" s="2" t="s">
        <v>4215</v>
      </c>
      <c r="C374" s="52">
        <v>4</v>
      </c>
      <c r="D374" s="52">
        <v>4</v>
      </c>
      <c r="E374" s="52">
        <v>4</v>
      </c>
      <c r="F374" s="52">
        <v>6</v>
      </c>
      <c r="G374" s="52">
        <v>4</v>
      </c>
      <c r="H374" s="52">
        <v>6</v>
      </c>
      <c r="I374" s="52">
        <v>28</v>
      </c>
      <c r="J374" s="105">
        <v>4.666666666666667</v>
      </c>
      <c r="K374" s="52"/>
    </row>
    <row r="375" spans="1:11" ht="15.75" customHeight="1" x14ac:dyDescent="0.25">
      <c r="A375" s="2">
        <v>310</v>
      </c>
      <c r="B375" s="2" t="s">
        <v>4216</v>
      </c>
      <c r="C375" s="52">
        <v>7</v>
      </c>
      <c r="D375" s="52">
        <v>7</v>
      </c>
      <c r="E375" s="52">
        <v>6</v>
      </c>
      <c r="F375" s="52">
        <v>10</v>
      </c>
      <c r="G375" s="52">
        <v>6</v>
      </c>
      <c r="H375" s="52">
        <v>10</v>
      </c>
      <c r="I375" s="52">
        <v>46</v>
      </c>
      <c r="J375" s="105">
        <v>7.666666666666667</v>
      </c>
      <c r="K375" s="52"/>
    </row>
    <row r="376" spans="1:11" ht="15.75" customHeight="1" x14ac:dyDescent="0.25">
      <c r="A376" s="2">
        <v>310</v>
      </c>
      <c r="B376" s="2" t="s">
        <v>4217</v>
      </c>
      <c r="C376" s="52">
        <v>7</v>
      </c>
      <c r="D376" s="52">
        <v>7</v>
      </c>
      <c r="E376" s="52">
        <v>8</v>
      </c>
      <c r="F376" s="52">
        <v>13</v>
      </c>
      <c r="G376" s="52">
        <v>8</v>
      </c>
      <c r="H376" s="52">
        <v>13</v>
      </c>
      <c r="I376" s="52">
        <v>56</v>
      </c>
      <c r="J376" s="105">
        <v>9.3333333333333339</v>
      </c>
      <c r="K376" s="52"/>
    </row>
    <row r="377" spans="1:11" ht="15.75" customHeight="1" x14ac:dyDescent="0.25">
      <c r="A377" s="2">
        <v>311</v>
      </c>
      <c r="B377" s="2" t="s">
        <v>4218</v>
      </c>
      <c r="C377" s="52">
        <v>6</v>
      </c>
      <c r="D377" s="52">
        <v>5</v>
      </c>
      <c r="E377" s="52">
        <v>4</v>
      </c>
      <c r="F377" s="52">
        <v>8</v>
      </c>
      <c r="G377" s="52">
        <v>7</v>
      </c>
      <c r="H377" s="52">
        <v>9</v>
      </c>
      <c r="I377" s="52">
        <v>39</v>
      </c>
      <c r="J377" s="105">
        <v>6.5</v>
      </c>
      <c r="K377" s="52"/>
    </row>
    <row r="378" spans="1:11" ht="15.75" customHeight="1" x14ac:dyDescent="0.25">
      <c r="A378" s="2">
        <v>312</v>
      </c>
      <c r="B378" s="2" t="s">
        <v>4219</v>
      </c>
      <c r="C378" s="52">
        <v>6</v>
      </c>
      <c r="D378" s="52">
        <v>4</v>
      </c>
      <c r="E378" s="52">
        <v>5</v>
      </c>
      <c r="F378" s="52">
        <v>7</v>
      </c>
      <c r="G378" s="52">
        <v>8</v>
      </c>
      <c r="H378" s="52">
        <v>9</v>
      </c>
      <c r="I378" s="52">
        <v>39</v>
      </c>
      <c r="J378" s="105">
        <v>6.5</v>
      </c>
      <c r="K378" s="52"/>
    </row>
    <row r="379" spans="1:11" ht="15.75" customHeight="1" x14ac:dyDescent="0.25">
      <c r="A379" s="2">
        <v>313</v>
      </c>
      <c r="B379" s="2" t="s">
        <v>4220</v>
      </c>
      <c r="C379" s="52">
        <v>6</v>
      </c>
      <c r="D379" s="52">
        <v>7</v>
      </c>
      <c r="E379" s="52">
        <v>7</v>
      </c>
      <c r="F379" s="52">
        <v>4</v>
      </c>
      <c r="G379" s="52">
        <v>8</v>
      </c>
      <c r="H379" s="52">
        <v>8</v>
      </c>
      <c r="I379" s="52">
        <v>40</v>
      </c>
      <c r="J379" s="105">
        <v>6.666666666666667</v>
      </c>
      <c r="K379" s="52"/>
    </row>
    <row r="380" spans="1:11" ht="15.75" customHeight="1" x14ac:dyDescent="0.25">
      <c r="A380" s="2">
        <v>314</v>
      </c>
      <c r="B380" s="2" t="s">
        <v>4221</v>
      </c>
      <c r="C380" s="52">
        <v>6</v>
      </c>
      <c r="D380" s="52">
        <v>4</v>
      </c>
      <c r="E380" s="52">
        <v>7</v>
      </c>
      <c r="F380" s="52">
        <v>7</v>
      </c>
      <c r="G380" s="52">
        <v>8</v>
      </c>
      <c r="H380" s="52">
        <v>8</v>
      </c>
      <c r="I380" s="52">
        <v>40</v>
      </c>
      <c r="J380" s="105">
        <v>6.666666666666667</v>
      </c>
      <c r="K380" s="52"/>
    </row>
    <row r="381" spans="1:11" ht="15.75" customHeight="1" x14ac:dyDescent="0.25">
      <c r="A381" s="2">
        <v>315</v>
      </c>
      <c r="B381" s="2" t="s">
        <v>4222</v>
      </c>
      <c r="C381" s="52">
        <v>5</v>
      </c>
      <c r="D381" s="52">
        <v>6</v>
      </c>
      <c r="E381" s="52">
        <v>4</v>
      </c>
      <c r="F381" s="52">
        <v>10</v>
      </c>
      <c r="G381" s="52">
        <v>8</v>
      </c>
      <c r="H381" s="52">
        <v>6</v>
      </c>
      <c r="I381" s="52">
        <v>39</v>
      </c>
      <c r="J381" s="105">
        <v>6.5</v>
      </c>
      <c r="K381" s="52"/>
    </row>
    <row r="382" spans="1:11" ht="15.75" customHeight="1" x14ac:dyDescent="0.25">
      <c r="A382" s="2">
        <v>316</v>
      </c>
      <c r="B382" s="2" t="s">
        <v>4223</v>
      </c>
      <c r="C382" s="52">
        <v>7</v>
      </c>
      <c r="D382" s="52">
        <v>4</v>
      </c>
      <c r="E382" s="52">
        <v>5</v>
      </c>
      <c r="F382" s="52">
        <v>4</v>
      </c>
      <c r="G382" s="52">
        <v>5</v>
      </c>
      <c r="H382" s="52">
        <v>4</v>
      </c>
      <c r="I382" s="52">
        <v>29</v>
      </c>
      <c r="J382" s="105">
        <v>4.833333333333333</v>
      </c>
      <c r="K382" s="52"/>
    </row>
    <row r="383" spans="1:11" ht="15.75" customHeight="1" x14ac:dyDescent="0.25">
      <c r="A383" s="2">
        <v>317</v>
      </c>
      <c r="B383" s="2" t="s">
        <v>4224</v>
      </c>
      <c r="C383" s="52">
        <v>10</v>
      </c>
      <c r="D383" s="52">
        <v>7</v>
      </c>
      <c r="E383" s="52">
        <v>8</v>
      </c>
      <c r="F383" s="52">
        <v>7</v>
      </c>
      <c r="G383" s="52">
        <v>8</v>
      </c>
      <c r="H383" s="52">
        <v>5</v>
      </c>
      <c r="I383" s="52">
        <v>45</v>
      </c>
      <c r="J383" s="105">
        <v>7.5</v>
      </c>
      <c r="K383" s="52"/>
    </row>
    <row r="384" spans="1:11" ht="15.75" customHeight="1" x14ac:dyDescent="0.25">
      <c r="A384" s="2">
        <v>318</v>
      </c>
      <c r="B384" s="2" t="s">
        <v>4225</v>
      </c>
      <c r="C384" s="52">
        <v>4</v>
      </c>
      <c r="D384" s="52">
        <v>9</v>
      </c>
      <c r="E384" s="52">
        <v>2</v>
      </c>
      <c r="F384" s="52">
        <v>6</v>
      </c>
      <c r="G384" s="52">
        <v>2</v>
      </c>
      <c r="H384" s="52">
        <v>6</v>
      </c>
      <c r="I384" s="52">
        <v>29</v>
      </c>
      <c r="J384" s="105">
        <v>4.833333333333333</v>
      </c>
      <c r="K384" s="52"/>
    </row>
    <row r="385" spans="1:11" ht="15.75" customHeight="1" x14ac:dyDescent="0.25">
      <c r="A385" s="2">
        <v>319</v>
      </c>
      <c r="B385" s="2" t="s">
        <v>4226</v>
      </c>
      <c r="C385" s="52">
        <v>7</v>
      </c>
      <c r="D385" s="52">
        <v>12</v>
      </c>
      <c r="E385" s="52">
        <v>4</v>
      </c>
      <c r="F385" s="52">
        <v>9</v>
      </c>
      <c r="G385" s="52">
        <v>4</v>
      </c>
      <c r="H385" s="52">
        <v>9</v>
      </c>
      <c r="I385" s="52">
        <v>45</v>
      </c>
      <c r="J385" s="105">
        <v>7.5</v>
      </c>
      <c r="K385" s="52"/>
    </row>
    <row r="386" spans="1:11" ht="15.75" customHeight="1" x14ac:dyDescent="0.25">
      <c r="A386" s="2">
        <v>319</v>
      </c>
      <c r="B386" s="2" t="s">
        <v>4227</v>
      </c>
      <c r="C386" s="52">
        <v>7</v>
      </c>
      <c r="D386" s="52">
        <v>14</v>
      </c>
      <c r="E386" s="52">
        <v>7</v>
      </c>
      <c r="F386" s="52">
        <v>11</v>
      </c>
      <c r="G386" s="52">
        <v>6</v>
      </c>
      <c r="H386" s="52">
        <v>10</v>
      </c>
      <c r="I386" s="52">
        <v>55</v>
      </c>
      <c r="J386" s="105">
        <v>9.1666666666666661</v>
      </c>
      <c r="K386" s="52"/>
    </row>
    <row r="387" spans="1:11" ht="15.75" customHeight="1" x14ac:dyDescent="0.25">
      <c r="A387" s="2">
        <v>320</v>
      </c>
      <c r="B387" s="2" t="s">
        <v>4228</v>
      </c>
      <c r="C387" s="52">
        <v>13</v>
      </c>
      <c r="D387" s="52">
        <v>7</v>
      </c>
      <c r="E387" s="52">
        <v>3</v>
      </c>
      <c r="F387" s="52">
        <v>7</v>
      </c>
      <c r="G387" s="52">
        <v>3</v>
      </c>
      <c r="H387" s="52">
        <v>6</v>
      </c>
      <c r="I387" s="52">
        <v>39</v>
      </c>
      <c r="J387" s="105">
        <v>6.5</v>
      </c>
      <c r="K387" s="52"/>
    </row>
    <row r="388" spans="1:11" ht="15.75" customHeight="1" x14ac:dyDescent="0.25">
      <c r="A388" s="2">
        <v>321</v>
      </c>
      <c r="B388" s="2" t="s">
        <v>4229</v>
      </c>
      <c r="C388" s="52">
        <v>17</v>
      </c>
      <c r="D388" s="52">
        <v>9</v>
      </c>
      <c r="E388" s="52">
        <v>4</v>
      </c>
      <c r="F388" s="52">
        <v>9</v>
      </c>
      <c r="G388" s="52">
        <v>4</v>
      </c>
      <c r="H388" s="52">
        <v>6</v>
      </c>
      <c r="I388" s="52">
        <v>49</v>
      </c>
      <c r="J388" s="105">
        <v>8.1666666666666661</v>
      </c>
      <c r="K388" s="52"/>
    </row>
    <row r="389" spans="1:11" ht="15.75" customHeight="1" x14ac:dyDescent="0.25">
      <c r="A389" s="2">
        <v>322</v>
      </c>
      <c r="B389" s="2" t="s">
        <v>4230</v>
      </c>
      <c r="C389" s="52">
        <v>6</v>
      </c>
      <c r="D389" s="52">
        <v>6</v>
      </c>
      <c r="E389" s="52">
        <v>4</v>
      </c>
      <c r="F389" s="52">
        <v>6</v>
      </c>
      <c r="G389" s="52">
        <v>4</v>
      </c>
      <c r="H389" s="52">
        <v>3</v>
      </c>
      <c r="I389" s="52">
        <v>29</v>
      </c>
      <c r="J389" s="105">
        <v>4.833333333333333</v>
      </c>
      <c r="K389" s="52"/>
    </row>
    <row r="390" spans="1:11" ht="15.75" customHeight="1" x14ac:dyDescent="0.25">
      <c r="A390" s="2">
        <v>323</v>
      </c>
      <c r="B390" s="2" t="s">
        <v>4231</v>
      </c>
      <c r="C390" s="52">
        <v>7</v>
      </c>
      <c r="D390" s="52">
        <v>10</v>
      </c>
      <c r="E390" s="52">
        <v>7</v>
      </c>
      <c r="F390" s="52">
        <v>10</v>
      </c>
      <c r="G390" s="52">
        <v>7</v>
      </c>
      <c r="H390" s="52">
        <v>4</v>
      </c>
      <c r="I390" s="52">
        <v>45</v>
      </c>
      <c r="J390" s="105">
        <v>7.5</v>
      </c>
      <c r="K390" s="52"/>
    </row>
    <row r="391" spans="1:11" ht="15.75" customHeight="1" x14ac:dyDescent="0.25">
      <c r="A391" s="2">
        <v>323</v>
      </c>
      <c r="B391" s="2" t="s">
        <v>4232</v>
      </c>
      <c r="C391" s="52">
        <v>7</v>
      </c>
      <c r="D391" s="52">
        <v>12</v>
      </c>
      <c r="E391" s="52">
        <v>10</v>
      </c>
      <c r="F391" s="52">
        <v>14</v>
      </c>
      <c r="G391" s="52">
        <v>10</v>
      </c>
      <c r="H391" s="52">
        <v>2</v>
      </c>
      <c r="I391" s="52">
        <v>55</v>
      </c>
      <c r="J391" s="105">
        <v>9.1666666666666661</v>
      </c>
      <c r="K391" s="52"/>
    </row>
    <row r="392" spans="1:11" ht="15.75" customHeight="1" x14ac:dyDescent="0.25">
      <c r="A392" s="2">
        <v>324</v>
      </c>
      <c r="B392" s="2" t="s">
        <v>4233</v>
      </c>
      <c r="C392" s="52">
        <v>7</v>
      </c>
      <c r="D392" s="52">
        <v>8</v>
      </c>
      <c r="E392" s="52">
        <v>14</v>
      </c>
      <c r="F392" s="52">
        <v>8</v>
      </c>
      <c r="G392" s="52">
        <v>7</v>
      </c>
      <c r="H392" s="52">
        <v>2</v>
      </c>
      <c r="I392" s="52">
        <v>46</v>
      </c>
      <c r="J392" s="105">
        <v>7.666666666666667</v>
      </c>
      <c r="K392" s="52"/>
    </row>
    <row r="393" spans="1:11" ht="15.75" customHeight="1" x14ac:dyDescent="0.25">
      <c r="A393" s="2">
        <v>325</v>
      </c>
      <c r="B393" s="2" t="s">
        <v>4234</v>
      </c>
      <c r="C393" s="52">
        <v>6</v>
      </c>
      <c r="D393" s="52">
        <v>2</v>
      </c>
      <c r="E393" s="52">
        <v>3</v>
      </c>
      <c r="F393" s="52">
        <v>7</v>
      </c>
      <c r="G393" s="52">
        <v>8</v>
      </c>
      <c r="H393" s="52">
        <v>6</v>
      </c>
      <c r="I393" s="52">
        <v>32</v>
      </c>
      <c r="J393" s="105">
        <v>5.333333333333333</v>
      </c>
      <c r="K393" s="52"/>
    </row>
    <row r="394" spans="1:11" ht="15.75" customHeight="1" x14ac:dyDescent="0.25">
      <c r="A394" s="2">
        <v>326</v>
      </c>
      <c r="B394" s="2" t="s">
        <v>4235</v>
      </c>
      <c r="C394" s="52">
        <v>8</v>
      </c>
      <c r="D394" s="52">
        <v>4</v>
      </c>
      <c r="E394" s="52">
        <v>6</v>
      </c>
      <c r="F394" s="52">
        <v>9</v>
      </c>
      <c r="G394" s="52">
        <v>11</v>
      </c>
      <c r="H394" s="52">
        <v>8</v>
      </c>
      <c r="I394" s="52">
        <v>46</v>
      </c>
      <c r="J394" s="105">
        <v>7.666666666666667</v>
      </c>
      <c r="K394" s="52"/>
    </row>
    <row r="395" spans="1:11" ht="15.75" customHeight="1" x14ac:dyDescent="0.25">
      <c r="A395" s="2">
        <v>327</v>
      </c>
      <c r="B395" s="2" t="s">
        <v>4236</v>
      </c>
      <c r="C395" s="52">
        <v>6</v>
      </c>
      <c r="D395" s="52">
        <v>6</v>
      </c>
      <c r="E395" s="52">
        <v>6</v>
      </c>
      <c r="F395" s="52">
        <v>6</v>
      </c>
      <c r="G395" s="52">
        <v>6</v>
      </c>
      <c r="H395" s="52">
        <v>6</v>
      </c>
      <c r="I395" s="52">
        <v>36</v>
      </c>
      <c r="J395" s="105">
        <v>6</v>
      </c>
      <c r="K395" s="52"/>
    </row>
    <row r="396" spans="1:11" ht="15.75" customHeight="1" x14ac:dyDescent="0.25">
      <c r="A396" s="2">
        <v>328</v>
      </c>
      <c r="B396" s="2" t="s">
        <v>4237</v>
      </c>
      <c r="C396" s="52">
        <v>4</v>
      </c>
      <c r="D396" s="52">
        <v>10</v>
      </c>
      <c r="E396" s="52">
        <v>4</v>
      </c>
      <c r="F396" s="52">
        <v>4</v>
      </c>
      <c r="G396" s="52">
        <v>4</v>
      </c>
      <c r="H396" s="52">
        <v>1</v>
      </c>
      <c r="I396" s="52">
        <v>27</v>
      </c>
      <c r="J396" s="105">
        <v>4.5</v>
      </c>
      <c r="K396" s="52"/>
    </row>
    <row r="397" spans="1:11" ht="15.75" customHeight="1" x14ac:dyDescent="0.25">
      <c r="A397" s="2">
        <v>329</v>
      </c>
      <c r="B397" s="2" t="s">
        <v>4238</v>
      </c>
      <c r="C397" s="52">
        <v>5</v>
      </c>
      <c r="D397" s="52">
        <v>7</v>
      </c>
      <c r="E397" s="52">
        <v>5</v>
      </c>
      <c r="F397" s="52">
        <v>5</v>
      </c>
      <c r="G397" s="52">
        <v>5</v>
      </c>
      <c r="H397" s="52">
        <v>7</v>
      </c>
      <c r="I397" s="52">
        <v>34</v>
      </c>
      <c r="J397" s="105">
        <v>5.666666666666667</v>
      </c>
      <c r="K397" s="52"/>
    </row>
    <row r="398" spans="1:11" ht="15.75" customHeight="1" x14ac:dyDescent="0.25">
      <c r="A398" s="2">
        <v>330</v>
      </c>
      <c r="B398" s="2" t="s">
        <v>4239</v>
      </c>
      <c r="C398" s="52">
        <v>8</v>
      </c>
      <c r="D398" s="52">
        <v>10</v>
      </c>
      <c r="E398" s="52">
        <v>8</v>
      </c>
      <c r="F398" s="52">
        <v>8</v>
      </c>
      <c r="G398" s="52">
        <v>8</v>
      </c>
      <c r="H398" s="52">
        <v>10</v>
      </c>
      <c r="I398" s="52">
        <v>52</v>
      </c>
      <c r="J398" s="105">
        <v>8.6666666666666661</v>
      </c>
      <c r="K398" s="52"/>
    </row>
    <row r="399" spans="1:11" ht="15.75" customHeight="1" x14ac:dyDescent="0.25">
      <c r="A399" s="2">
        <v>331</v>
      </c>
      <c r="B399" s="2" t="s">
        <v>4240</v>
      </c>
      <c r="C399" s="52">
        <v>5</v>
      </c>
      <c r="D399" s="52">
        <v>8</v>
      </c>
      <c r="E399" s="52">
        <v>4</v>
      </c>
      <c r="F399" s="52">
        <v>8</v>
      </c>
      <c r="G399" s="52">
        <v>4</v>
      </c>
      <c r="H399" s="52">
        <v>3</v>
      </c>
      <c r="I399" s="52">
        <v>32</v>
      </c>
      <c r="J399" s="105">
        <v>5.333333333333333</v>
      </c>
      <c r="K399" s="52"/>
    </row>
    <row r="400" spans="1:11" ht="15.75" customHeight="1" x14ac:dyDescent="0.25">
      <c r="A400" s="2">
        <v>332</v>
      </c>
      <c r="B400" s="2" t="s">
        <v>4241</v>
      </c>
      <c r="C400" s="52">
        <v>7</v>
      </c>
      <c r="D400" s="52">
        <v>11</v>
      </c>
      <c r="E400" s="52">
        <v>6</v>
      </c>
      <c r="F400" s="52">
        <v>11</v>
      </c>
      <c r="G400" s="52">
        <v>6</v>
      </c>
      <c r="H400" s="52">
        <v>5</v>
      </c>
      <c r="I400" s="52">
        <v>46</v>
      </c>
      <c r="J400" s="105">
        <v>7.666666666666667</v>
      </c>
      <c r="K400" s="52"/>
    </row>
    <row r="401" spans="1:11" ht="15.75" customHeight="1" x14ac:dyDescent="0.25">
      <c r="A401" s="2">
        <v>333</v>
      </c>
      <c r="B401" s="2" t="s">
        <v>4242</v>
      </c>
      <c r="C401" s="52">
        <v>4</v>
      </c>
      <c r="D401" s="52">
        <v>4</v>
      </c>
      <c r="E401" s="52">
        <v>6</v>
      </c>
      <c r="F401" s="52">
        <v>4</v>
      </c>
      <c r="G401" s="52">
        <v>7</v>
      </c>
      <c r="H401" s="52">
        <v>5</v>
      </c>
      <c r="I401" s="52">
        <v>30</v>
      </c>
      <c r="J401" s="105">
        <v>5</v>
      </c>
      <c r="K401" s="52"/>
    </row>
    <row r="402" spans="1:11" ht="15.75" customHeight="1" x14ac:dyDescent="0.25">
      <c r="A402" s="2">
        <v>334</v>
      </c>
      <c r="B402" s="2" t="s">
        <v>4243</v>
      </c>
      <c r="C402" s="52">
        <v>7</v>
      </c>
      <c r="D402" s="52">
        <v>7</v>
      </c>
      <c r="E402" s="52">
        <v>9</v>
      </c>
      <c r="F402" s="52">
        <v>7</v>
      </c>
      <c r="G402" s="52">
        <v>10</v>
      </c>
      <c r="H402" s="52">
        <v>8</v>
      </c>
      <c r="I402" s="52">
        <v>48</v>
      </c>
      <c r="J402" s="105">
        <v>8</v>
      </c>
      <c r="K402" s="52"/>
    </row>
    <row r="403" spans="1:11" ht="15.75" customHeight="1" x14ac:dyDescent="0.25">
      <c r="A403" s="2">
        <v>334</v>
      </c>
      <c r="B403" s="2" t="s">
        <v>4244</v>
      </c>
      <c r="C403" s="52">
        <v>7</v>
      </c>
      <c r="D403" s="52">
        <v>11</v>
      </c>
      <c r="E403" s="52">
        <v>11</v>
      </c>
      <c r="F403" s="52">
        <v>11</v>
      </c>
      <c r="G403" s="52">
        <v>10</v>
      </c>
      <c r="H403" s="52">
        <v>8</v>
      </c>
      <c r="I403" s="52">
        <v>58</v>
      </c>
      <c r="J403" s="105">
        <v>9.6666666666666661</v>
      </c>
      <c r="K403" s="52"/>
    </row>
    <row r="404" spans="1:11" ht="15.75" customHeight="1" x14ac:dyDescent="0.25">
      <c r="A404" s="2">
        <v>335</v>
      </c>
      <c r="B404" s="2" t="s">
        <v>4245</v>
      </c>
      <c r="C404" s="52">
        <v>7</v>
      </c>
      <c r="D404" s="52">
        <v>11</v>
      </c>
      <c r="E404" s="52">
        <v>6</v>
      </c>
      <c r="F404" s="52">
        <v>6</v>
      </c>
      <c r="G404" s="52">
        <v>6</v>
      </c>
      <c r="H404" s="52">
        <v>9</v>
      </c>
      <c r="I404" s="52">
        <v>45</v>
      </c>
      <c r="J404" s="105">
        <v>7.5</v>
      </c>
      <c r="K404" s="52"/>
    </row>
    <row r="405" spans="1:11" ht="15.75" customHeight="1" x14ac:dyDescent="0.25">
      <c r="A405" s="2">
        <v>336</v>
      </c>
      <c r="B405" s="2" t="s">
        <v>4246</v>
      </c>
      <c r="C405" s="52">
        <v>7</v>
      </c>
      <c r="D405" s="52">
        <v>10</v>
      </c>
      <c r="E405" s="52">
        <v>6</v>
      </c>
      <c r="F405" s="52">
        <v>10</v>
      </c>
      <c r="G405" s="52">
        <v>6</v>
      </c>
      <c r="H405" s="52">
        <v>6</v>
      </c>
      <c r="I405" s="52">
        <v>45</v>
      </c>
      <c r="J405" s="105">
        <v>7.5</v>
      </c>
      <c r="K405" s="52"/>
    </row>
    <row r="406" spans="1:11" ht="15.75" customHeight="1" x14ac:dyDescent="0.25">
      <c r="A406" s="2">
        <v>337</v>
      </c>
      <c r="B406" s="2" t="s">
        <v>4247</v>
      </c>
      <c r="C406" s="52">
        <v>9</v>
      </c>
      <c r="D406" s="52">
        <v>5</v>
      </c>
      <c r="E406" s="52">
        <v>6</v>
      </c>
      <c r="F406" s="52">
        <v>9</v>
      </c>
      <c r="G406" s="52">
        <v>8</v>
      </c>
      <c r="H406" s="52">
        <v>7</v>
      </c>
      <c r="I406" s="52">
        <v>44</v>
      </c>
      <c r="J406" s="105">
        <v>7.333333333333333</v>
      </c>
      <c r="K406" s="52"/>
    </row>
    <row r="407" spans="1:11" ht="15.75" customHeight="1" x14ac:dyDescent="0.25">
      <c r="A407" s="2">
        <v>338</v>
      </c>
      <c r="B407" s="2" t="s">
        <v>4248</v>
      </c>
      <c r="C407" s="52">
        <v>9</v>
      </c>
      <c r="D407" s="52">
        <v>9</v>
      </c>
      <c r="E407" s="52">
        <v>8</v>
      </c>
      <c r="F407" s="52">
        <v>5</v>
      </c>
      <c r="G407" s="52">
        <v>6</v>
      </c>
      <c r="H407" s="52">
        <v>7</v>
      </c>
      <c r="I407" s="52">
        <v>44</v>
      </c>
      <c r="J407" s="105">
        <v>7.333333333333333</v>
      </c>
      <c r="K407" s="52"/>
    </row>
    <row r="408" spans="1:11" ht="15.75" customHeight="1" x14ac:dyDescent="0.25">
      <c r="A408" s="2">
        <v>339</v>
      </c>
      <c r="B408" s="2" t="s">
        <v>4249</v>
      </c>
      <c r="C408" s="52">
        <v>5</v>
      </c>
      <c r="D408" s="52">
        <v>4</v>
      </c>
      <c r="E408" s="52">
        <v>4</v>
      </c>
      <c r="F408" s="52">
        <v>4</v>
      </c>
      <c r="G408" s="52">
        <v>4</v>
      </c>
      <c r="H408" s="52">
        <v>6</v>
      </c>
      <c r="I408" s="52">
        <v>27</v>
      </c>
      <c r="J408" s="105">
        <v>4.5</v>
      </c>
      <c r="K408" s="52"/>
    </row>
    <row r="409" spans="1:11" ht="15.75" customHeight="1" x14ac:dyDescent="0.25">
      <c r="A409" s="2">
        <v>340</v>
      </c>
      <c r="B409" s="2" t="s">
        <v>4250</v>
      </c>
      <c r="C409" s="52">
        <v>11</v>
      </c>
      <c r="D409" s="52">
        <v>7</v>
      </c>
      <c r="E409" s="52">
        <v>7</v>
      </c>
      <c r="F409" s="52">
        <v>7</v>
      </c>
      <c r="G409" s="52">
        <v>7</v>
      </c>
      <c r="H409" s="52">
        <v>6</v>
      </c>
      <c r="I409" s="52">
        <v>45</v>
      </c>
      <c r="J409" s="105">
        <v>7.5</v>
      </c>
      <c r="K409" s="52"/>
    </row>
    <row r="410" spans="1:11" ht="15.75" customHeight="1" x14ac:dyDescent="0.25">
      <c r="A410" s="2">
        <v>341</v>
      </c>
      <c r="B410" s="2" t="s">
        <v>4251</v>
      </c>
      <c r="C410" s="52">
        <v>4</v>
      </c>
      <c r="D410" s="52">
        <v>8</v>
      </c>
      <c r="E410" s="52">
        <v>6</v>
      </c>
      <c r="F410" s="52">
        <v>5</v>
      </c>
      <c r="G410" s="52">
        <v>3</v>
      </c>
      <c r="H410" s="52">
        <v>3</v>
      </c>
      <c r="I410" s="52">
        <v>29</v>
      </c>
      <c r="J410" s="105">
        <v>4.833333333333333</v>
      </c>
      <c r="K410" s="52"/>
    </row>
    <row r="411" spans="1:11" ht="15.75" customHeight="1" x14ac:dyDescent="0.25">
      <c r="A411" s="2">
        <v>342</v>
      </c>
      <c r="B411" s="2" t="s">
        <v>4252</v>
      </c>
      <c r="C411" s="52">
        <v>6</v>
      </c>
      <c r="D411" s="52">
        <v>12</v>
      </c>
      <c r="E411" s="52">
        <v>8</v>
      </c>
      <c r="F411" s="52">
        <v>9</v>
      </c>
      <c r="G411" s="52">
        <v>5</v>
      </c>
      <c r="H411" s="52">
        <v>5</v>
      </c>
      <c r="I411" s="52">
        <v>45</v>
      </c>
      <c r="J411" s="105">
        <v>7.5</v>
      </c>
      <c r="K411" s="52"/>
    </row>
    <row r="412" spans="1:11" ht="15.75" customHeight="1" x14ac:dyDescent="0.25">
      <c r="A412" s="2">
        <v>343</v>
      </c>
      <c r="B412" s="2" t="s">
        <v>4253</v>
      </c>
      <c r="C412" s="52">
        <v>4</v>
      </c>
      <c r="D412" s="52">
        <v>4</v>
      </c>
      <c r="E412" s="52">
        <v>5</v>
      </c>
      <c r="F412" s="52">
        <v>4</v>
      </c>
      <c r="G412" s="52">
        <v>7</v>
      </c>
      <c r="H412" s="52">
        <v>5</v>
      </c>
      <c r="I412" s="52">
        <v>29</v>
      </c>
      <c r="J412" s="105">
        <v>4.833333333333333</v>
      </c>
      <c r="K412" s="52"/>
    </row>
    <row r="413" spans="1:11" ht="15.75" customHeight="1" x14ac:dyDescent="0.25">
      <c r="A413" s="2">
        <v>344</v>
      </c>
      <c r="B413" s="2" t="s">
        <v>4254</v>
      </c>
      <c r="C413" s="52">
        <v>6</v>
      </c>
      <c r="D413" s="52">
        <v>7</v>
      </c>
      <c r="E413" s="52">
        <v>10</v>
      </c>
      <c r="F413" s="52">
        <v>7</v>
      </c>
      <c r="G413" s="52">
        <v>12</v>
      </c>
      <c r="H413" s="52">
        <v>7</v>
      </c>
      <c r="I413" s="52">
        <v>49</v>
      </c>
      <c r="J413" s="105">
        <v>8.1666666666666661</v>
      </c>
      <c r="K413" s="52"/>
    </row>
    <row r="414" spans="1:11" ht="15.75" customHeight="1" x14ac:dyDescent="0.25">
      <c r="A414" s="2">
        <v>345</v>
      </c>
      <c r="B414" s="2" t="s">
        <v>4255</v>
      </c>
      <c r="C414" s="52">
        <v>6</v>
      </c>
      <c r="D414" s="52">
        <v>4</v>
      </c>
      <c r="E414" s="52">
        <v>7</v>
      </c>
      <c r="F414" s="52">
        <v>6</v>
      </c>
      <c r="G414" s="52">
        <v>8</v>
      </c>
      <c r="H414" s="52">
        <v>2</v>
      </c>
      <c r="I414" s="52">
        <v>33</v>
      </c>
      <c r="J414" s="105">
        <v>5.5</v>
      </c>
      <c r="K414" s="52"/>
    </row>
    <row r="415" spans="1:11" ht="15.75" customHeight="1" x14ac:dyDescent="0.25">
      <c r="A415" s="2">
        <v>346</v>
      </c>
      <c r="B415" s="2" t="s">
        <v>4256</v>
      </c>
      <c r="C415" s="52">
        <v>8</v>
      </c>
      <c r="D415" s="52">
        <v>8</v>
      </c>
      <c r="E415" s="52">
        <v>9</v>
      </c>
      <c r="F415" s="52">
        <v>8</v>
      </c>
      <c r="G415" s="52">
        <v>10</v>
      </c>
      <c r="H415" s="52">
        <v>4</v>
      </c>
      <c r="I415" s="52">
        <v>47</v>
      </c>
      <c r="J415" s="105">
        <v>7.833333333333333</v>
      </c>
      <c r="K415" s="52"/>
    </row>
    <row r="416" spans="1:11" ht="15.75" customHeight="1" x14ac:dyDescent="0.25">
      <c r="A416" s="2">
        <v>347</v>
      </c>
      <c r="B416" s="2" t="s">
        <v>4257</v>
      </c>
      <c r="C416" s="52">
        <v>4</v>
      </c>
      <c r="D416" s="52">
        <v>9</v>
      </c>
      <c r="E416" s="52">
        <v>5</v>
      </c>
      <c r="F416" s="52">
        <v>4</v>
      </c>
      <c r="G416" s="52">
        <v>5</v>
      </c>
      <c r="H416" s="52">
        <v>7</v>
      </c>
      <c r="I416" s="52">
        <v>34</v>
      </c>
      <c r="J416" s="105">
        <v>5.666666666666667</v>
      </c>
      <c r="K416" s="52"/>
    </row>
    <row r="417" spans="1:11" ht="15.75" customHeight="1" x14ac:dyDescent="0.25">
      <c r="A417" s="2">
        <v>348</v>
      </c>
      <c r="B417" s="2" t="s">
        <v>4258</v>
      </c>
      <c r="C417" s="52">
        <v>7</v>
      </c>
      <c r="D417" s="52">
        <v>12</v>
      </c>
      <c r="E417" s="52">
        <v>10</v>
      </c>
      <c r="F417" s="52">
        <v>7</v>
      </c>
      <c r="G417" s="52">
        <v>8</v>
      </c>
      <c r="H417" s="52">
        <v>4</v>
      </c>
      <c r="I417" s="52">
        <v>48</v>
      </c>
      <c r="J417" s="105">
        <v>8</v>
      </c>
      <c r="K417" s="52"/>
    </row>
    <row r="418" spans="1:11" ht="15.75" customHeight="1" x14ac:dyDescent="0.25">
      <c r="A418" s="2">
        <v>349</v>
      </c>
      <c r="B418" s="2" t="s">
        <v>4259</v>
      </c>
      <c r="C418" s="52">
        <v>2</v>
      </c>
      <c r="D418" s="52">
        <v>1</v>
      </c>
      <c r="E418" s="52">
        <v>2</v>
      </c>
      <c r="F418" s="52">
        <v>1</v>
      </c>
      <c r="G418" s="52">
        <v>5</v>
      </c>
      <c r="H418" s="52">
        <v>8</v>
      </c>
      <c r="I418" s="52">
        <v>19</v>
      </c>
      <c r="J418" s="105">
        <v>3.1666666666666665</v>
      </c>
      <c r="K418" s="52"/>
    </row>
    <row r="419" spans="1:11" ht="15.75" customHeight="1" x14ac:dyDescent="0.25">
      <c r="A419" s="2">
        <v>350</v>
      </c>
      <c r="B419" s="2" t="s">
        <v>4260</v>
      </c>
      <c r="C419" s="52">
        <v>9</v>
      </c>
      <c r="D419" s="52">
        <v>6</v>
      </c>
      <c r="E419" s="52">
        <v>7</v>
      </c>
      <c r="F419" s="52">
        <v>10</v>
      </c>
      <c r="G419" s="52">
        <v>12</v>
      </c>
      <c r="H419" s="52">
        <v>8</v>
      </c>
      <c r="I419" s="52">
        <v>52</v>
      </c>
      <c r="J419" s="105">
        <v>8.6666666666666661</v>
      </c>
      <c r="K419" s="52"/>
    </row>
    <row r="420" spans="1:11" ht="15.75" customHeight="1" x14ac:dyDescent="0.25">
      <c r="A420" s="2">
        <v>351</v>
      </c>
      <c r="B420" s="2" t="s">
        <v>4261</v>
      </c>
      <c r="C420" s="52">
        <v>7</v>
      </c>
      <c r="D420" s="52">
        <v>7</v>
      </c>
      <c r="E420" s="52">
        <v>7</v>
      </c>
      <c r="F420" s="52">
        <v>7</v>
      </c>
      <c r="G420" s="52">
        <v>7</v>
      </c>
      <c r="H420" s="52">
        <v>7</v>
      </c>
      <c r="I420" s="52">
        <v>42</v>
      </c>
      <c r="J420" s="105">
        <v>7</v>
      </c>
      <c r="K420" s="52"/>
    </row>
    <row r="421" spans="1:11" ht="15.75" customHeight="1" x14ac:dyDescent="0.25">
      <c r="A421" s="2">
        <v>352</v>
      </c>
      <c r="B421" s="2" t="s">
        <v>4262</v>
      </c>
      <c r="C421" s="52">
        <v>6</v>
      </c>
      <c r="D421" s="52">
        <v>9</v>
      </c>
      <c r="E421" s="52">
        <v>7</v>
      </c>
      <c r="F421" s="52">
        <v>6</v>
      </c>
      <c r="G421" s="52">
        <v>12</v>
      </c>
      <c r="H421" s="52">
        <v>4</v>
      </c>
      <c r="I421" s="52">
        <v>44</v>
      </c>
      <c r="J421" s="105">
        <v>7.333333333333333</v>
      </c>
      <c r="K421" s="52"/>
    </row>
    <row r="422" spans="1:11" ht="15.75" customHeight="1" x14ac:dyDescent="0.25">
      <c r="A422" s="2">
        <v>353</v>
      </c>
      <c r="B422" s="2" t="s">
        <v>4263</v>
      </c>
      <c r="C422" s="52">
        <v>4</v>
      </c>
      <c r="D422" s="52">
        <v>7</v>
      </c>
      <c r="E422" s="52">
        <v>3</v>
      </c>
      <c r="F422" s="52">
        <v>6</v>
      </c>
      <c r="G422" s="52">
        <v>3</v>
      </c>
      <c r="H422" s="52">
        <v>4</v>
      </c>
      <c r="I422" s="52">
        <v>27</v>
      </c>
      <c r="J422" s="105">
        <v>4.5</v>
      </c>
      <c r="K422" s="52"/>
    </row>
    <row r="423" spans="1:11" ht="15.75" customHeight="1" x14ac:dyDescent="0.25">
      <c r="A423" s="2">
        <v>354</v>
      </c>
      <c r="B423" s="2" t="s">
        <v>4264</v>
      </c>
      <c r="C423" s="52">
        <v>6</v>
      </c>
      <c r="D423" s="52">
        <v>11</v>
      </c>
      <c r="E423" s="52">
        <v>6</v>
      </c>
      <c r="F423" s="52">
        <v>8</v>
      </c>
      <c r="G423" s="52">
        <v>6</v>
      </c>
      <c r="H423" s="52">
        <v>6</v>
      </c>
      <c r="I423" s="52">
        <v>43</v>
      </c>
      <c r="J423" s="105">
        <v>7.166666666666667</v>
      </c>
      <c r="K423" s="52"/>
    </row>
    <row r="424" spans="1:11" ht="15.75" customHeight="1" x14ac:dyDescent="0.25">
      <c r="A424" s="2">
        <v>354</v>
      </c>
      <c r="B424" s="2" t="s">
        <v>4265</v>
      </c>
      <c r="C424" s="52">
        <v>6</v>
      </c>
      <c r="D424" s="52">
        <v>16</v>
      </c>
      <c r="E424" s="52">
        <v>7</v>
      </c>
      <c r="F424" s="52">
        <v>9</v>
      </c>
      <c r="G424" s="52">
        <v>8</v>
      </c>
      <c r="H424" s="52">
        <v>7</v>
      </c>
      <c r="I424" s="52">
        <v>53</v>
      </c>
      <c r="J424" s="105">
        <v>8.8333333333333339</v>
      </c>
      <c r="K424" s="52"/>
    </row>
    <row r="425" spans="1:11" ht="15.75" customHeight="1" x14ac:dyDescent="0.25">
      <c r="A425" s="2">
        <v>355</v>
      </c>
      <c r="B425" s="2" t="s">
        <v>4266</v>
      </c>
      <c r="C425" s="52">
        <v>2</v>
      </c>
      <c r="D425" s="52">
        <v>4</v>
      </c>
      <c r="E425" s="52">
        <v>9</v>
      </c>
      <c r="F425" s="52">
        <v>3</v>
      </c>
      <c r="G425" s="52">
        <v>9</v>
      </c>
      <c r="H425" s="52">
        <v>2</v>
      </c>
      <c r="I425" s="52">
        <v>29</v>
      </c>
      <c r="J425" s="105">
        <v>4.833333333333333</v>
      </c>
      <c r="K425" s="52"/>
    </row>
    <row r="426" spans="1:11" ht="15.75" customHeight="1" x14ac:dyDescent="0.25">
      <c r="A426" s="2">
        <v>356</v>
      </c>
      <c r="B426" s="2" t="s">
        <v>4267</v>
      </c>
      <c r="C426" s="52">
        <v>4</v>
      </c>
      <c r="D426" s="52">
        <v>7</v>
      </c>
      <c r="E426" s="52">
        <v>13</v>
      </c>
      <c r="F426" s="52">
        <v>6</v>
      </c>
      <c r="G426" s="52">
        <v>13</v>
      </c>
      <c r="H426" s="52">
        <v>2</v>
      </c>
      <c r="I426" s="52">
        <v>45</v>
      </c>
      <c r="J426" s="105">
        <v>7.5</v>
      </c>
      <c r="K426" s="52"/>
    </row>
    <row r="427" spans="1:11" ht="15.75" customHeight="1" x14ac:dyDescent="0.25">
      <c r="A427" s="2">
        <v>357</v>
      </c>
      <c r="B427" s="2" t="s">
        <v>4268</v>
      </c>
      <c r="C427" s="52">
        <v>9</v>
      </c>
      <c r="D427" s="52">
        <v>6</v>
      </c>
      <c r="E427" s="52">
        <v>8</v>
      </c>
      <c r="F427" s="52">
        <v>7</v>
      </c>
      <c r="G427" s="52">
        <v>8</v>
      </c>
      <c r="H427" s="52">
        <v>5</v>
      </c>
      <c r="I427" s="52">
        <v>43</v>
      </c>
      <c r="J427" s="105">
        <v>7.166666666666667</v>
      </c>
      <c r="K427" s="52"/>
    </row>
    <row r="428" spans="1:11" ht="15.75" customHeight="1" x14ac:dyDescent="0.25">
      <c r="A428" s="2">
        <v>358</v>
      </c>
      <c r="B428" s="2" t="s">
        <v>4269</v>
      </c>
      <c r="C428" s="52">
        <v>7</v>
      </c>
      <c r="D428" s="52">
        <v>5</v>
      </c>
      <c r="E428" s="52">
        <v>8</v>
      </c>
      <c r="F428" s="52">
        <v>9</v>
      </c>
      <c r="G428" s="52">
        <v>9</v>
      </c>
      <c r="H428" s="52">
        <v>6</v>
      </c>
      <c r="I428" s="52">
        <v>44</v>
      </c>
      <c r="J428" s="105">
        <v>7.333333333333333</v>
      </c>
      <c r="K428" s="52"/>
    </row>
    <row r="429" spans="1:11" ht="15.75" customHeight="1" x14ac:dyDescent="0.25">
      <c r="A429" s="2">
        <v>359</v>
      </c>
      <c r="B429" s="2" t="s">
        <v>4270</v>
      </c>
      <c r="C429" s="52">
        <v>6</v>
      </c>
      <c r="D429" s="52">
        <v>13</v>
      </c>
      <c r="E429" s="52">
        <v>6</v>
      </c>
      <c r="F429" s="52">
        <v>7</v>
      </c>
      <c r="G429" s="52">
        <v>6</v>
      </c>
      <c r="H429" s="52">
        <v>7</v>
      </c>
      <c r="I429" s="52">
        <v>45</v>
      </c>
      <c r="J429" s="105">
        <v>7.5</v>
      </c>
      <c r="K429" s="52"/>
    </row>
    <row r="430" spans="1:11" ht="15.75" customHeight="1" x14ac:dyDescent="0.25">
      <c r="A430" s="2">
        <v>359</v>
      </c>
      <c r="B430" s="2" t="s">
        <v>4271</v>
      </c>
      <c r="C430" s="52">
        <v>6</v>
      </c>
      <c r="D430" s="52">
        <v>15</v>
      </c>
      <c r="E430" s="52">
        <v>6</v>
      </c>
      <c r="F430" s="52">
        <v>11</v>
      </c>
      <c r="G430" s="52">
        <v>6</v>
      </c>
      <c r="H430" s="52">
        <v>11</v>
      </c>
      <c r="I430" s="52">
        <v>55</v>
      </c>
      <c r="J430" s="105">
        <v>9.1666666666666661</v>
      </c>
      <c r="K430" s="52"/>
    </row>
    <row r="431" spans="1:11" ht="15.75" customHeight="1" x14ac:dyDescent="0.25">
      <c r="A431" s="2">
        <v>360</v>
      </c>
      <c r="B431" s="2" t="s">
        <v>4272</v>
      </c>
      <c r="C431" s="52">
        <v>9</v>
      </c>
      <c r="D431" s="52">
        <v>2</v>
      </c>
      <c r="E431" s="52">
        <v>4</v>
      </c>
      <c r="F431" s="52">
        <v>2</v>
      </c>
      <c r="G431" s="52">
        <v>4</v>
      </c>
      <c r="H431" s="52">
        <v>2</v>
      </c>
      <c r="I431" s="52">
        <v>23</v>
      </c>
      <c r="J431" s="105">
        <v>3.8333333333333335</v>
      </c>
      <c r="K431" s="52"/>
    </row>
    <row r="432" spans="1:11" ht="15.75" customHeight="1" x14ac:dyDescent="0.25">
      <c r="A432" s="2">
        <v>361</v>
      </c>
      <c r="B432" s="2" t="s">
        <v>4273</v>
      </c>
      <c r="C432" s="52">
        <v>5</v>
      </c>
      <c r="D432" s="52">
        <v>5</v>
      </c>
      <c r="E432" s="52">
        <v>5</v>
      </c>
      <c r="F432" s="52">
        <v>5</v>
      </c>
      <c r="G432" s="52">
        <v>5</v>
      </c>
      <c r="H432" s="52">
        <v>5</v>
      </c>
      <c r="I432" s="52">
        <v>30</v>
      </c>
      <c r="J432" s="105">
        <v>5</v>
      </c>
      <c r="K432" s="52"/>
    </row>
    <row r="433" spans="1:11" ht="15.75" customHeight="1" x14ac:dyDescent="0.25">
      <c r="A433" s="2">
        <v>362</v>
      </c>
      <c r="B433" s="2" t="s">
        <v>4274</v>
      </c>
      <c r="C433" s="52">
        <v>8</v>
      </c>
      <c r="D433" s="52">
        <v>8</v>
      </c>
      <c r="E433" s="52">
        <v>8</v>
      </c>
      <c r="F433" s="52">
        <v>8</v>
      </c>
      <c r="G433" s="52">
        <v>8</v>
      </c>
      <c r="H433" s="52">
        <v>8</v>
      </c>
      <c r="I433" s="52">
        <v>48</v>
      </c>
      <c r="J433" s="105">
        <v>8</v>
      </c>
      <c r="K433" s="52"/>
    </row>
    <row r="434" spans="1:11" ht="15.75" customHeight="1" x14ac:dyDescent="0.25">
      <c r="A434" s="2">
        <v>362</v>
      </c>
      <c r="B434" s="2" t="s">
        <v>4275</v>
      </c>
      <c r="C434" s="52">
        <v>8</v>
      </c>
      <c r="D434" s="52">
        <v>12</v>
      </c>
      <c r="E434" s="52">
        <v>8</v>
      </c>
      <c r="F434" s="52">
        <v>12</v>
      </c>
      <c r="G434" s="52">
        <v>8</v>
      </c>
      <c r="H434" s="52">
        <v>10</v>
      </c>
      <c r="I434" s="52">
        <v>58</v>
      </c>
      <c r="J434" s="105">
        <v>9.6666666666666661</v>
      </c>
      <c r="K434" s="52"/>
    </row>
    <row r="435" spans="1:11" ht="15.75" customHeight="1" x14ac:dyDescent="0.25">
      <c r="A435" s="2">
        <v>363</v>
      </c>
      <c r="B435" s="2" t="s">
        <v>235</v>
      </c>
      <c r="C435" s="52">
        <v>7</v>
      </c>
      <c r="D435" s="52">
        <v>4</v>
      </c>
      <c r="E435" s="52">
        <v>5</v>
      </c>
      <c r="F435" s="52">
        <v>5</v>
      </c>
      <c r="G435" s="52">
        <v>5</v>
      </c>
      <c r="H435" s="52">
        <v>2</v>
      </c>
      <c r="I435" s="52">
        <v>28</v>
      </c>
      <c r="J435" s="105">
        <v>4.666666666666667</v>
      </c>
      <c r="K435" s="52"/>
    </row>
    <row r="436" spans="1:11" ht="15.75" customHeight="1" x14ac:dyDescent="0.25">
      <c r="A436" s="2">
        <v>364</v>
      </c>
      <c r="B436" s="2" t="s">
        <v>4276</v>
      </c>
      <c r="C436" s="52">
        <v>9</v>
      </c>
      <c r="D436" s="52">
        <v>6</v>
      </c>
      <c r="E436" s="52">
        <v>7</v>
      </c>
      <c r="F436" s="52">
        <v>7</v>
      </c>
      <c r="G436" s="52">
        <v>7</v>
      </c>
      <c r="H436" s="52">
        <v>4</v>
      </c>
      <c r="I436" s="52">
        <v>40</v>
      </c>
      <c r="J436" s="105">
        <v>6.666666666666667</v>
      </c>
      <c r="K436" s="52"/>
    </row>
    <row r="437" spans="1:11" ht="15.75" customHeight="1" x14ac:dyDescent="0.25">
      <c r="A437" s="2">
        <v>365</v>
      </c>
      <c r="B437" s="2" t="s">
        <v>4277</v>
      </c>
      <c r="C437" s="52">
        <v>11</v>
      </c>
      <c r="D437" s="52">
        <v>8</v>
      </c>
      <c r="E437" s="52">
        <v>9</v>
      </c>
      <c r="F437" s="52">
        <v>9</v>
      </c>
      <c r="G437" s="52">
        <v>9</v>
      </c>
      <c r="H437" s="52">
        <v>6</v>
      </c>
      <c r="I437" s="52">
        <v>52</v>
      </c>
      <c r="J437" s="105">
        <v>8.6666666666666661</v>
      </c>
      <c r="K437" s="52"/>
    </row>
    <row r="438" spans="1:11" ht="15.75" customHeight="1" x14ac:dyDescent="0.25">
      <c r="A438" s="2">
        <v>366</v>
      </c>
      <c r="B438" s="2" t="s">
        <v>4278</v>
      </c>
      <c r="C438" s="52">
        <v>3</v>
      </c>
      <c r="D438" s="52">
        <v>6</v>
      </c>
      <c r="E438" s="52">
        <v>8</v>
      </c>
      <c r="F438" s="52">
        <v>7</v>
      </c>
      <c r="G438" s="52">
        <v>5</v>
      </c>
      <c r="H438" s="52">
        <v>3</v>
      </c>
      <c r="I438" s="52">
        <v>32</v>
      </c>
      <c r="J438" s="105">
        <v>5.333333333333333</v>
      </c>
      <c r="K438" s="52"/>
    </row>
    <row r="439" spans="1:11" ht="15.75" customHeight="1" x14ac:dyDescent="0.25">
      <c r="A439" s="2">
        <v>367</v>
      </c>
      <c r="B439" s="2" t="s">
        <v>4279</v>
      </c>
      <c r="C439" s="52">
        <v>5</v>
      </c>
      <c r="D439" s="52">
        <v>10</v>
      </c>
      <c r="E439" s="52">
        <v>10</v>
      </c>
      <c r="F439" s="52">
        <v>9</v>
      </c>
      <c r="G439" s="52">
        <v>7</v>
      </c>
      <c r="H439" s="52">
        <v>5</v>
      </c>
      <c r="I439" s="52">
        <v>46</v>
      </c>
      <c r="J439" s="105">
        <v>7.666666666666667</v>
      </c>
      <c r="K439" s="52"/>
    </row>
    <row r="440" spans="1:11" ht="15.75" customHeight="1" x14ac:dyDescent="0.25">
      <c r="A440" s="2">
        <v>368</v>
      </c>
      <c r="B440" s="2" t="s">
        <v>4280</v>
      </c>
      <c r="C440" s="52">
        <v>5</v>
      </c>
      <c r="D440" s="52">
        <v>8</v>
      </c>
      <c r="E440" s="52">
        <v>10</v>
      </c>
      <c r="F440" s="52">
        <v>11</v>
      </c>
      <c r="G440" s="52">
        <v>7</v>
      </c>
      <c r="H440" s="52">
        <v>5</v>
      </c>
      <c r="I440" s="52">
        <v>46</v>
      </c>
      <c r="J440" s="105">
        <v>7.666666666666667</v>
      </c>
      <c r="K440" s="52"/>
    </row>
    <row r="441" spans="1:11" ht="15.75" customHeight="1" x14ac:dyDescent="0.25">
      <c r="A441" s="2">
        <v>369</v>
      </c>
      <c r="B441" s="2" t="s">
        <v>4281</v>
      </c>
      <c r="C441" s="52">
        <v>10</v>
      </c>
      <c r="D441" s="52">
        <v>9</v>
      </c>
      <c r="E441" s="52">
        <v>13</v>
      </c>
      <c r="F441" s="52">
        <v>4</v>
      </c>
      <c r="G441" s="52">
        <v>6</v>
      </c>
      <c r="H441" s="52">
        <v>5</v>
      </c>
      <c r="I441" s="52">
        <v>47</v>
      </c>
      <c r="J441" s="105">
        <v>7.833333333333333</v>
      </c>
      <c r="K441" s="52"/>
    </row>
    <row r="442" spans="1:11" ht="15.75" customHeight="1" x14ac:dyDescent="0.25">
      <c r="A442" s="2">
        <v>370</v>
      </c>
      <c r="B442" s="2" t="s">
        <v>4282</v>
      </c>
      <c r="C442" s="52">
        <v>4</v>
      </c>
      <c r="D442" s="52">
        <v>3</v>
      </c>
      <c r="E442" s="52">
        <v>5</v>
      </c>
      <c r="F442" s="52">
        <v>4</v>
      </c>
      <c r="G442" s="52">
        <v>6</v>
      </c>
      <c r="H442" s="52">
        <v>9</v>
      </c>
      <c r="I442" s="52">
        <v>31</v>
      </c>
      <c r="J442" s="105">
        <v>5.166666666666667</v>
      </c>
      <c r="K442" s="52"/>
    </row>
    <row r="443" spans="1:11" ht="15.75" customHeight="1" x14ac:dyDescent="0.25">
      <c r="A443" s="2">
        <v>371</v>
      </c>
      <c r="B443" s="2" t="s">
        <v>4283</v>
      </c>
      <c r="C443" s="52">
        <v>4</v>
      </c>
      <c r="D443" s="52">
        <v>7</v>
      </c>
      <c r="E443" s="52">
        <v>6</v>
      </c>
      <c r="F443" s="52">
        <v>4</v>
      </c>
      <c r="G443" s="52">
        <v>3</v>
      </c>
      <c r="H443" s="52">
        <v>5</v>
      </c>
      <c r="I443" s="52">
        <v>29</v>
      </c>
      <c r="J443" s="105">
        <v>4.833333333333333</v>
      </c>
      <c r="K443" s="52"/>
    </row>
    <row r="444" spans="1:11" ht="15.75" customHeight="1" x14ac:dyDescent="0.25">
      <c r="A444" s="2">
        <v>372</v>
      </c>
      <c r="B444" s="2" t="s">
        <v>4284</v>
      </c>
      <c r="C444" s="52">
        <v>6</v>
      </c>
      <c r="D444" s="52">
        <v>9</v>
      </c>
      <c r="E444" s="52">
        <v>10</v>
      </c>
      <c r="F444" s="52">
        <v>6</v>
      </c>
      <c r="G444" s="52">
        <v>5</v>
      </c>
      <c r="H444" s="52">
        <v>5</v>
      </c>
      <c r="I444" s="52">
        <v>41</v>
      </c>
      <c r="J444" s="105">
        <v>6.833333333333333</v>
      </c>
      <c r="K444" s="52"/>
    </row>
    <row r="445" spans="1:11" ht="15.75" customHeight="1" x14ac:dyDescent="0.25">
      <c r="A445" s="2">
        <v>373</v>
      </c>
      <c r="B445" s="2" t="s">
        <v>4285</v>
      </c>
      <c r="C445" s="52">
        <v>9</v>
      </c>
      <c r="D445" s="52">
        <v>13</v>
      </c>
      <c r="E445" s="52">
        <v>8</v>
      </c>
      <c r="F445" s="52">
        <v>11</v>
      </c>
      <c r="G445" s="52">
        <v>8</v>
      </c>
      <c r="H445" s="52">
        <v>10</v>
      </c>
      <c r="I445" s="52">
        <v>59</v>
      </c>
      <c r="J445" s="105">
        <v>9.8333333333333339</v>
      </c>
      <c r="K445" s="52"/>
    </row>
    <row r="446" spans="1:11" ht="15.75" customHeight="1" x14ac:dyDescent="0.25">
      <c r="A446" s="2">
        <v>373</v>
      </c>
      <c r="B446" s="2" t="s">
        <v>4286</v>
      </c>
      <c r="C446" s="52">
        <v>9</v>
      </c>
      <c r="D446" s="52">
        <v>14</v>
      </c>
      <c r="E446" s="52">
        <v>13</v>
      </c>
      <c r="F446" s="52">
        <v>12</v>
      </c>
      <c r="G446" s="52">
        <v>9</v>
      </c>
      <c r="H446" s="52">
        <v>12</v>
      </c>
      <c r="I446" s="52">
        <v>69</v>
      </c>
      <c r="J446" s="105">
        <v>11.5</v>
      </c>
      <c r="K446" s="52"/>
    </row>
    <row r="447" spans="1:11" ht="15.75" customHeight="1" x14ac:dyDescent="0.25">
      <c r="A447" s="2">
        <v>374</v>
      </c>
      <c r="B447" s="2" t="s">
        <v>4287</v>
      </c>
      <c r="C447" s="52">
        <v>4</v>
      </c>
      <c r="D447" s="52">
        <v>5</v>
      </c>
      <c r="E447" s="52">
        <v>8</v>
      </c>
      <c r="F447" s="52">
        <v>3</v>
      </c>
      <c r="G447" s="52">
        <v>6</v>
      </c>
      <c r="H447" s="52">
        <v>3</v>
      </c>
      <c r="I447" s="52">
        <v>29</v>
      </c>
      <c r="J447" s="105">
        <v>4.833333333333333</v>
      </c>
      <c r="K447" s="52"/>
    </row>
    <row r="448" spans="1:11" ht="15.75" customHeight="1" x14ac:dyDescent="0.25">
      <c r="A448" s="2">
        <v>375</v>
      </c>
      <c r="B448" s="2" t="s">
        <v>4288</v>
      </c>
      <c r="C448" s="52">
        <v>6</v>
      </c>
      <c r="D448" s="52">
        <v>7</v>
      </c>
      <c r="E448" s="52">
        <v>10</v>
      </c>
      <c r="F448" s="52">
        <v>5</v>
      </c>
      <c r="G448" s="52">
        <v>8</v>
      </c>
      <c r="H448" s="52">
        <v>5</v>
      </c>
      <c r="I448" s="52">
        <v>41</v>
      </c>
      <c r="J448" s="105">
        <v>6.833333333333333</v>
      </c>
      <c r="K448" s="52"/>
    </row>
    <row r="449" spans="1:11" ht="15.75" customHeight="1" x14ac:dyDescent="0.25">
      <c r="A449" s="2">
        <v>376</v>
      </c>
      <c r="B449" s="2" t="s">
        <v>4289</v>
      </c>
      <c r="C449" s="52">
        <v>8</v>
      </c>
      <c r="D449" s="52">
        <v>13</v>
      </c>
      <c r="E449" s="52">
        <v>13</v>
      </c>
      <c r="F449" s="52">
        <v>9</v>
      </c>
      <c r="G449" s="52">
        <v>9</v>
      </c>
      <c r="H449" s="52">
        <v>7</v>
      </c>
      <c r="I449" s="52">
        <v>59</v>
      </c>
      <c r="J449" s="105">
        <v>9.8333333333333339</v>
      </c>
      <c r="K449" s="52"/>
    </row>
    <row r="450" spans="1:11" ht="15.75" customHeight="1" x14ac:dyDescent="0.25">
      <c r="A450" s="2">
        <v>376</v>
      </c>
      <c r="B450" s="2" t="s">
        <v>4290</v>
      </c>
      <c r="C450" s="52">
        <v>8</v>
      </c>
      <c r="D450" s="52">
        <v>14</v>
      </c>
      <c r="E450" s="52">
        <v>15</v>
      </c>
      <c r="F450" s="52">
        <v>10</v>
      </c>
      <c r="G450" s="52">
        <v>11</v>
      </c>
      <c r="H450" s="52">
        <v>11</v>
      </c>
      <c r="I450" s="52">
        <v>69</v>
      </c>
      <c r="J450" s="105">
        <v>11.5</v>
      </c>
      <c r="K450" s="52"/>
    </row>
    <row r="451" spans="1:11" ht="15.75" customHeight="1" x14ac:dyDescent="0.25">
      <c r="A451" s="2">
        <v>377</v>
      </c>
      <c r="B451" s="2" t="s">
        <v>4291</v>
      </c>
      <c r="C451" s="52">
        <v>8</v>
      </c>
      <c r="D451" s="52">
        <v>10</v>
      </c>
      <c r="E451" s="52">
        <v>20</v>
      </c>
      <c r="F451" s="52">
        <v>5</v>
      </c>
      <c r="G451" s="52">
        <v>10</v>
      </c>
      <c r="H451" s="52">
        <v>5</v>
      </c>
      <c r="I451" s="52">
        <v>58</v>
      </c>
      <c r="J451" s="105">
        <v>9.6666666666666661</v>
      </c>
      <c r="K451" s="52"/>
    </row>
    <row r="452" spans="1:11" ht="15.75" customHeight="1" x14ac:dyDescent="0.25">
      <c r="A452" s="2">
        <v>378</v>
      </c>
      <c r="B452" s="2" t="s">
        <v>4292</v>
      </c>
      <c r="C452" s="52">
        <v>8</v>
      </c>
      <c r="D452" s="52">
        <v>5</v>
      </c>
      <c r="E452" s="52">
        <v>10</v>
      </c>
      <c r="F452" s="52">
        <v>10</v>
      </c>
      <c r="G452" s="52">
        <v>20</v>
      </c>
      <c r="H452" s="52">
        <v>5</v>
      </c>
      <c r="I452" s="52">
        <v>58</v>
      </c>
      <c r="J452" s="105">
        <v>9.6666666666666661</v>
      </c>
      <c r="K452" s="52"/>
    </row>
    <row r="453" spans="1:11" ht="15.75" customHeight="1" x14ac:dyDescent="0.25">
      <c r="A453" s="2">
        <v>379</v>
      </c>
      <c r="B453" s="2" t="s">
        <v>4293</v>
      </c>
      <c r="C453" s="52">
        <v>8</v>
      </c>
      <c r="D453" s="52">
        <v>7</v>
      </c>
      <c r="E453" s="52">
        <v>15</v>
      </c>
      <c r="F453" s="52">
        <v>7</v>
      </c>
      <c r="G453" s="52">
        <v>15</v>
      </c>
      <c r="H453" s="52">
        <v>5</v>
      </c>
      <c r="I453" s="52">
        <v>57</v>
      </c>
      <c r="J453" s="105">
        <v>9.5</v>
      </c>
      <c r="K453" s="52"/>
    </row>
    <row r="454" spans="1:11" ht="15.75" customHeight="1" x14ac:dyDescent="0.25">
      <c r="A454" s="2">
        <v>380</v>
      </c>
      <c r="B454" s="2" t="s">
        <v>4294</v>
      </c>
      <c r="C454" s="52">
        <v>8</v>
      </c>
      <c r="D454" s="52">
        <v>8</v>
      </c>
      <c r="E454" s="52">
        <v>9</v>
      </c>
      <c r="F454" s="52">
        <v>11</v>
      </c>
      <c r="G454" s="52">
        <v>13</v>
      </c>
      <c r="H454" s="52">
        <v>11</v>
      </c>
      <c r="I454" s="52">
        <v>60</v>
      </c>
      <c r="J454" s="105">
        <v>10</v>
      </c>
      <c r="K454" s="52"/>
    </row>
    <row r="455" spans="1:11" ht="15.75" customHeight="1" x14ac:dyDescent="0.25">
      <c r="A455" s="2">
        <v>380</v>
      </c>
      <c r="B455" s="2" t="s">
        <v>4295</v>
      </c>
      <c r="C455" s="52">
        <v>8</v>
      </c>
      <c r="D455" s="52">
        <v>10</v>
      </c>
      <c r="E455" s="52">
        <v>12</v>
      </c>
      <c r="F455" s="52">
        <v>14</v>
      </c>
      <c r="G455" s="52">
        <v>15</v>
      </c>
      <c r="H455" s="52">
        <v>11</v>
      </c>
      <c r="I455" s="52">
        <v>70</v>
      </c>
      <c r="J455" s="105">
        <v>11.666666666666666</v>
      </c>
      <c r="K455" s="52"/>
    </row>
    <row r="456" spans="1:11" ht="15.75" customHeight="1" x14ac:dyDescent="0.25">
      <c r="A456" s="2">
        <v>381</v>
      </c>
      <c r="B456" s="2" t="s">
        <v>4296</v>
      </c>
      <c r="C456" s="52">
        <v>8</v>
      </c>
      <c r="D456" s="52">
        <v>9</v>
      </c>
      <c r="E456" s="52">
        <v>8</v>
      </c>
      <c r="F456" s="52">
        <v>13</v>
      </c>
      <c r="G456" s="52">
        <v>11</v>
      </c>
      <c r="H456" s="52">
        <v>11</v>
      </c>
      <c r="I456" s="52">
        <v>60</v>
      </c>
      <c r="J456" s="105">
        <v>10</v>
      </c>
      <c r="K456" s="52"/>
    </row>
    <row r="457" spans="1:11" ht="15.75" customHeight="1" x14ac:dyDescent="0.25">
      <c r="A457" s="2">
        <v>381</v>
      </c>
      <c r="B457" s="2" t="s">
        <v>4297</v>
      </c>
      <c r="C457" s="52">
        <v>8</v>
      </c>
      <c r="D457" s="52">
        <v>13</v>
      </c>
      <c r="E457" s="52">
        <v>10</v>
      </c>
      <c r="F457" s="52">
        <v>16</v>
      </c>
      <c r="G457" s="52">
        <v>12</v>
      </c>
      <c r="H457" s="52">
        <v>11</v>
      </c>
      <c r="I457" s="52">
        <v>70</v>
      </c>
      <c r="J457" s="105">
        <v>11.666666666666666</v>
      </c>
      <c r="K457" s="52"/>
    </row>
    <row r="458" spans="1:11" ht="15.75" customHeight="1" x14ac:dyDescent="0.25">
      <c r="A458" s="2">
        <v>382</v>
      </c>
      <c r="B458" s="2" t="s">
        <v>4298</v>
      </c>
      <c r="C458" s="52">
        <v>10</v>
      </c>
      <c r="D458" s="52">
        <v>10</v>
      </c>
      <c r="E458" s="52">
        <v>9</v>
      </c>
      <c r="F458" s="52">
        <v>15</v>
      </c>
      <c r="G458" s="52">
        <v>14</v>
      </c>
      <c r="H458" s="52">
        <v>9</v>
      </c>
      <c r="I458" s="52">
        <v>67</v>
      </c>
      <c r="J458" s="105">
        <v>11.166666666666666</v>
      </c>
      <c r="K458" s="52"/>
    </row>
    <row r="459" spans="1:11" ht="15.75" customHeight="1" x14ac:dyDescent="0.25">
      <c r="A459" s="2">
        <v>382</v>
      </c>
      <c r="B459" s="2" t="s">
        <v>4299</v>
      </c>
      <c r="C459" s="52">
        <v>10</v>
      </c>
      <c r="D459" s="52">
        <v>15</v>
      </c>
      <c r="E459" s="52">
        <v>9</v>
      </c>
      <c r="F459" s="52">
        <v>18</v>
      </c>
      <c r="G459" s="52">
        <v>16</v>
      </c>
      <c r="H459" s="52">
        <v>9</v>
      </c>
      <c r="I459" s="52">
        <v>77</v>
      </c>
      <c r="J459" s="105">
        <v>12.833333333333334</v>
      </c>
      <c r="K459" s="52"/>
    </row>
    <row r="460" spans="1:11" ht="15.75" customHeight="1" x14ac:dyDescent="0.25">
      <c r="A460" s="2">
        <v>383</v>
      </c>
      <c r="B460" s="2" t="s">
        <v>4300</v>
      </c>
      <c r="C460" s="52">
        <v>10</v>
      </c>
      <c r="D460" s="52">
        <v>15</v>
      </c>
      <c r="E460" s="52">
        <v>14</v>
      </c>
      <c r="F460" s="52">
        <v>10</v>
      </c>
      <c r="G460" s="52">
        <v>9</v>
      </c>
      <c r="H460" s="52">
        <v>9</v>
      </c>
      <c r="I460" s="52">
        <v>67</v>
      </c>
      <c r="J460" s="105">
        <v>11.166666666666666</v>
      </c>
      <c r="K460" s="52"/>
    </row>
    <row r="461" spans="1:11" ht="15.75" customHeight="1" x14ac:dyDescent="0.25">
      <c r="A461" s="2">
        <v>383</v>
      </c>
      <c r="B461" s="2" t="s">
        <v>4301</v>
      </c>
      <c r="C461" s="52">
        <v>10</v>
      </c>
      <c r="D461" s="52">
        <v>18</v>
      </c>
      <c r="E461" s="52">
        <v>16</v>
      </c>
      <c r="F461" s="52">
        <v>15</v>
      </c>
      <c r="G461" s="52">
        <v>9</v>
      </c>
      <c r="H461" s="52">
        <v>9</v>
      </c>
      <c r="I461" s="52">
        <v>77</v>
      </c>
      <c r="J461" s="105">
        <v>12.833333333333334</v>
      </c>
      <c r="K461" s="52"/>
    </row>
    <row r="462" spans="1:11" ht="15.75" customHeight="1" x14ac:dyDescent="0.25">
      <c r="A462" s="2">
        <v>384</v>
      </c>
      <c r="B462" s="2" t="s">
        <v>4302</v>
      </c>
      <c r="C462" s="52">
        <v>10</v>
      </c>
      <c r="D462" s="52">
        <v>15</v>
      </c>
      <c r="E462" s="52">
        <v>9</v>
      </c>
      <c r="F462" s="52">
        <v>15</v>
      </c>
      <c r="G462" s="52">
        <v>9</v>
      </c>
      <c r="H462" s="52">
        <v>9</v>
      </c>
      <c r="I462" s="52">
        <v>67</v>
      </c>
      <c r="J462" s="105">
        <v>11.166666666666666</v>
      </c>
      <c r="K462" s="52"/>
    </row>
    <row r="463" spans="1:11" ht="15.75" customHeight="1" x14ac:dyDescent="0.25">
      <c r="A463" s="2">
        <v>384</v>
      </c>
      <c r="B463" s="2" t="s">
        <v>4303</v>
      </c>
      <c r="C463" s="52">
        <v>10</v>
      </c>
      <c r="D463" s="52">
        <v>18</v>
      </c>
      <c r="E463" s="52">
        <v>10</v>
      </c>
      <c r="F463" s="52">
        <v>18</v>
      </c>
      <c r="G463" s="52">
        <v>10</v>
      </c>
      <c r="H463" s="52">
        <v>11</v>
      </c>
      <c r="I463" s="52">
        <v>77</v>
      </c>
      <c r="J463" s="105">
        <v>12.833333333333334</v>
      </c>
      <c r="K463" s="52"/>
    </row>
    <row r="464" spans="1:11" ht="15.75" customHeight="1" x14ac:dyDescent="0.25">
      <c r="A464" s="2">
        <v>385</v>
      </c>
      <c r="B464" s="2" t="s">
        <v>4304</v>
      </c>
      <c r="C464" s="52">
        <v>10</v>
      </c>
      <c r="D464" s="52">
        <v>10</v>
      </c>
      <c r="E464" s="52">
        <v>10</v>
      </c>
      <c r="F464" s="52">
        <v>10</v>
      </c>
      <c r="G464" s="52">
        <v>10</v>
      </c>
      <c r="H464" s="52">
        <v>10</v>
      </c>
      <c r="I464" s="52">
        <v>60</v>
      </c>
      <c r="J464" s="105">
        <v>10</v>
      </c>
      <c r="K464" s="52"/>
    </row>
    <row r="465" spans="1:11" ht="15.75" customHeight="1" x14ac:dyDescent="0.25">
      <c r="A465" s="2">
        <v>386</v>
      </c>
      <c r="B465" s="2" t="s">
        <v>4305</v>
      </c>
      <c r="C465" s="52">
        <v>5</v>
      </c>
      <c r="D465" s="52">
        <v>15</v>
      </c>
      <c r="E465" s="52">
        <v>5</v>
      </c>
      <c r="F465" s="52">
        <v>15</v>
      </c>
      <c r="G465" s="52">
        <v>5</v>
      </c>
      <c r="H465" s="52">
        <v>15</v>
      </c>
      <c r="I465" s="52">
        <v>60</v>
      </c>
      <c r="J465" s="105">
        <v>10</v>
      </c>
      <c r="K465" s="52"/>
    </row>
    <row r="466" spans="1:11" ht="15.75" customHeight="1" x14ac:dyDescent="0.25">
      <c r="A466" s="2">
        <v>386</v>
      </c>
      <c r="B466" s="2" t="s">
        <v>4306</v>
      </c>
      <c r="C466" s="52">
        <v>5</v>
      </c>
      <c r="D466" s="52">
        <v>18</v>
      </c>
      <c r="E466" s="52">
        <v>2</v>
      </c>
      <c r="F466" s="52">
        <v>18</v>
      </c>
      <c r="G466" s="52">
        <v>2</v>
      </c>
      <c r="H466" s="52">
        <v>15</v>
      </c>
      <c r="I466" s="52">
        <v>60</v>
      </c>
      <c r="J466" s="105">
        <v>10</v>
      </c>
      <c r="K466" s="52"/>
    </row>
    <row r="467" spans="1:11" ht="15.75" customHeight="1" x14ac:dyDescent="0.25">
      <c r="A467" s="2">
        <v>386</v>
      </c>
      <c r="B467" s="2" t="s">
        <v>4307</v>
      </c>
      <c r="C467" s="52">
        <v>5</v>
      </c>
      <c r="D467" s="52">
        <v>7</v>
      </c>
      <c r="E467" s="52">
        <v>16</v>
      </c>
      <c r="F467" s="52">
        <v>7</v>
      </c>
      <c r="G467" s="52">
        <v>16</v>
      </c>
      <c r="H467" s="52">
        <v>9</v>
      </c>
      <c r="I467" s="52">
        <v>60</v>
      </c>
      <c r="J467" s="105">
        <v>10</v>
      </c>
      <c r="K467" s="52"/>
    </row>
    <row r="468" spans="1:11" ht="15.75" customHeight="1" x14ac:dyDescent="0.25">
      <c r="A468" s="2">
        <v>386</v>
      </c>
      <c r="B468" s="2" t="s">
        <v>4308</v>
      </c>
      <c r="C468" s="52">
        <v>5</v>
      </c>
      <c r="D468" s="52">
        <v>9</v>
      </c>
      <c r="E468" s="52">
        <v>9</v>
      </c>
      <c r="F468" s="52">
        <v>9</v>
      </c>
      <c r="G468" s="52">
        <v>9</v>
      </c>
      <c r="H468" s="52">
        <v>18</v>
      </c>
      <c r="I468" s="52">
        <v>59</v>
      </c>
      <c r="J468" s="105">
        <v>9.8333333333333339</v>
      </c>
      <c r="K468" s="52"/>
    </row>
    <row r="469" spans="1:11" ht="15.75" customHeight="1" x14ac:dyDescent="0.25">
      <c r="A469" s="2">
        <v>387</v>
      </c>
      <c r="B469" s="2" t="s">
        <v>4309</v>
      </c>
      <c r="C469" s="52">
        <v>5</v>
      </c>
      <c r="D469" s="52">
        <v>6</v>
      </c>
      <c r="E469" s="52">
        <v>6</v>
      </c>
      <c r="F469" s="52">
        <v>4</v>
      </c>
      <c r="G469" s="52">
        <v>5</v>
      </c>
      <c r="H469" s="52">
        <v>3</v>
      </c>
      <c r="I469" s="52">
        <v>29</v>
      </c>
      <c r="J469" s="105">
        <v>4.833333333333333</v>
      </c>
      <c r="K469" s="52"/>
    </row>
    <row r="470" spans="1:11" ht="15.75" customHeight="1" x14ac:dyDescent="0.25">
      <c r="A470" s="2">
        <v>388</v>
      </c>
      <c r="B470" s="2" t="s">
        <v>4310</v>
      </c>
      <c r="C470" s="52">
        <v>7</v>
      </c>
      <c r="D470" s="52">
        <v>8</v>
      </c>
      <c r="E470" s="52">
        <v>8</v>
      </c>
      <c r="F470" s="52">
        <v>5</v>
      </c>
      <c r="G470" s="52">
        <v>6</v>
      </c>
      <c r="H470" s="52">
        <v>3</v>
      </c>
      <c r="I470" s="52">
        <v>37</v>
      </c>
      <c r="J470" s="105">
        <v>6.166666666666667</v>
      </c>
      <c r="K470" s="52"/>
    </row>
    <row r="471" spans="1:11" ht="15.75" customHeight="1" x14ac:dyDescent="0.25">
      <c r="A471" s="2">
        <v>389</v>
      </c>
      <c r="B471" s="2" t="s">
        <v>4311</v>
      </c>
      <c r="C471" s="52">
        <v>9</v>
      </c>
      <c r="D471" s="52">
        <v>10</v>
      </c>
      <c r="E471" s="52">
        <v>10</v>
      </c>
      <c r="F471" s="52">
        <v>7</v>
      </c>
      <c r="G471" s="52">
        <v>8</v>
      </c>
      <c r="H471" s="52">
        <v>5</v>
      </c>
      <c r="I471" s="52">
        <v>49</v>
      </c>
      <c r="J471" s="105">
        <v>8.1666666666666661</v>
      </c>
      <c r="K471" s="52"/>
    </row>
    <row r="472" spans="1:11" ht="15.75" customHeight="1" x14ac:dyDescent="0.25">
      <c r="A472" s="2">
        <v>390</v>
      </c>
      <c r="B472" s="2" t="s">
        <v>4312</v>
      </c>
      <c r="C472" s="52">
        <v>4</v>
      </c>
      <c r="D472" s="52">
        <v>5</v>
      </c>
      <c r="E472" s="52">
        <v>4</v>
      </c>
      <c r="F472" s="52">
        <v>5</v>
      </c>
      <c r="G472" s="52">
        <v>4</v>
      </c>
      <c r="H472" s="52">
        <v>6</v>
      </c>
      <c r="I472" s="52">
        <v>28</v>
      </c>
      <c r="J472" s="105">
        <v>4.666666666666667</v>
      </c>
      <c r="K472" s="52"/>
    </row>
    <row r="473" spans="1:11" ht="15.75" customHeight="1" x14ac:dyDescent="0.25">
      <c r="A473" s="2">
        <v>391</v>
      </c>
      <c r="B473" s="2" t="s">
        <v>4313</v>
      </c>
      <c r="C473" s="52">
        <v>6</v>
      </c>
      <c r="D473" s="52">
        <v>7</v>
      </c>
      <c r="E473" s="52">
        <v>5</v>
      </c>
      <c r="F473" s="52">
        <v>7</v>
      </c>
      <c r="G473" s="52">
        <v>5</v>
      </c>
      <c r="H473" s="52">
        <v>8</v>
      </c>
      <c r="I473" s="52">
        <v>38</v>
      </c>
      <c r="J473" s="105">
        <v>6.333333333333333</v>
      </c>
      <c r="K473" s="52"/>
    </row>
    <row r="474" spans="1:11" ht="15.75" customHeight="1" x14ac:dyDescent="0.25">
      <c r="A474" s="2">
        <v>392</v>
      </c>
      <c r="B474" s="2" t="s">
        <v>4314</v>
      </c>
      <c r="C474" s="52">
        <v>7</v>
      </c>
      <c r="D474" s="52">
        <v>10</v>
      </c>
      <c r="E474" s="52">
        <v>7</v>
      </c>
      <c r="F474" s="52">
        <v>10</v>
      </c>
      <c r="G474" s="52">
        <v>7</v>
      </c>
      <c r="H474" s="52">
        <v>10</v>
      </c>
      <c r="I474" s="52">
        <v>51</v>
      </c>
      <c r="J474" s="105">
        <v>8.5</v>
      </c>
      <c r="K474" s="52"/>
    </row>
    <row r="475" spans="1:11" ht="15.75" customHeight="1" x14ac:dyDescent="0.25">
      <c r="A475" s="2">
        <v>393</v>
      </c>
      <c r="B475" s="2" t="s">
        <v>4315</v>
      </c>
      <c r="C475" s="52">
        <v>5</v>
      </c>
      <c r="D475" s="52">
        <v>5</v>
      </c>
      <c r="E475" s="52">
        <v>5</v>
      </c>
      <c r="F475" s="52">
        <v>6</v>
      </c>
      <c r="G475" s="52">
        <v>5</v>
      </c>
      <c r="H475" s="52">
        <v>4</v>
      </c>
      <c r="I475" s="52">
        <v>30</v>
      </c>
      <c r="J475" s="105">
        <v>5</v>
      </c>
      <c r="K475" s="52"/>
    </row>
    <row r="476" spans="1:11" ht="15.75" customHeight="1" x14ac:dyDescent="0.25">
      <c r="A476" s="2">
        <v>394</v>
      </c>
      <c r="B476" s="2" t="s">
        <v>4316</v>
      </c>
      <c r="C476" s="52">
        <v>6</v>
      </c>
      <c r="D476" s="52">
        <v>6</v>
      </c>
      <c r="E476" s="52">
        <v>6</v>
      </c>
      <c r="F476" s="52">
        <v>8</v>
      </c>
      <c r="G476" s="52">
        <v>7</v>
      </c>
      <c r="H476" s="52">
        <v>5</v>
      </c>
      <c r="I476" s="52">
        <v>38</v>
      </c>
      <c r="J476" s="105">
        <v>6.333333333333333</v>
      </c>
      <c r="K476" s="52"/>
    </row>
    <row r="477" spans="1:11" ht="15.75" customHeight="1" x14ac:dyDescent="0.25">
      <c r="A477" s="2">
        <v>395</v>
      </c>
      <c r="B477" s="2" t="s">
        <v>4317</v>
      </c>
      <c r="C477" s="52">
        <v>8</v>
      </c>
      <c r="D477" s="52">
        <v>8</v>
      </c>
      <c r="E477" s="52">
        <v>8</v>
      </c>
      <c r="F477" s="52">
        <v>11</v>
      </c>
      <c r="G477" s="52">
        <v>10</v>
      </c>
      <c r="H477" s="52">
        <v>6</v>
      </c>
      <c r="I477" s="52">
        <v>51</v>
      </c>
      <c r="J477" s="105">
        <v>8.5</v>
      </c>
      <c r="K477" s="52"/>
    </row>
    <row r="478" spans="1:11" ht="15.75" customHeight="1" x14ac:dyDescent="0.25">
      <c r="A478" s="2">
        <v>396</v>
      </c>
      <c r="B478" s="2" t="s">
        <v>4318</v>
      </c>
      <c r="C478" s="52">
        <v>4</v>
      </c>
      <c r="D478" s="52">
        <v>5</v>
      </c>
      <c r="E478" s="52">
        <v>3</v>
      </c>
      <c r="F478" s="52">
        <v>3</v>
      </c>
      <c r="G478" s="52">
        <v>3</v>
      </c>
      <c r="H478" s="52">
        <v>6</v>
      </c>
      <c r="I478" s="52">
        <v>24</v>
      </c>
      <c r="J478" s="105">
        <v>4</v>
      </c>
      <c r="K478" s="52"/>
    </row>
    <row r="479" spans="1:11" ht="15.75" customHeight="1" x14ac:dyDescent="0.25">
      <c r="A479" s="2">
        <v>397</v>
      </c>
      <c r="B479" s="2" t="s">
        <v>4319</v>
      </c>
      <c r="C479" s="52">
        <v>5</v>
      </c>
      <c r="D479" s="52">
        <v>7</v>
      </c>
      <c r="E479" s="52">
        <v>5</v>
      </c>
      <c r="F479" s="52">
        <v>4</v>
      </c>
      <c r="G479" s="52">
        <v>4</v>
      </c>
      <c r="H479" s="52">
        <v>8</v>
      </c>
      <c r="I479" s="52">
        <v>33</v>
      </c>
      <c r="J479" s="105">
        <v>5.5</v>
      </c>
      <c r="K479" s="52"/>
    </row>
    <row r="480" spans="1:11" ht="15.75" customHeight="1" x14ac:dyDescent="0.25">
      <c r="A480" s="2">
        <v>398</v>
      </c>
      <c r="B480" s="2" t="s">
        <v>4320</v>
      </c>
      <c r="C480" s="52">
        <v>8</v>
      </c>
      <c r="D480" s="52">
        <v>12</v>
      </c>
      <c r="E480" s="52">
        <v>7</v>
      </c>
      <c r="F480" s="52">
        <v>5</v>
      </c>
      <c r="G480" s="52">
        <v>6</v>
      </c>
      <c r="H480" s="52">
        <v>10</v>
      </c>
      <c r="I480" s="52">
        <v>48</v>
      </c>
      <c r="J480" s="105">
        <v>8</v>
      </c>
      <c r="K480" s="52"/>
    </row>
    <row r="481" spans="1:11" ht="15.75" customHeight="1" x14ac:dyDescent="0.25">
      <c r="A481" s="2">
        <v>399</v>
      </c>
      <c r="B481" s="2" t="s">
        <v>4321</v>
      </c>
      <c r="C481" s="52">
        <v>5</v>
      </c>
      <c r="D481" s="52">
        <v>4</v>
      </c>
      <c r="E481" s="52">
        <v>4</v>
      </c>
      <c r="F481" s="52">
        <v>3</v>
      </c>
      <c r="G481" s="52">
        <v>4</v>
      </c>
      <c r="H481" s="52">
        <v>3</v>
      </c>
      <c r="I481" s="52">
        <v>23</v>
      </c>
      <c r="J481" s="105">
        <v>3.8333333333333335</v>
      </c>
      <c r="K481" s="52"/>
    </row>
    <row r="482" spans="1:11" ht="15.75" customHeight="1" x14ac:dyDescent="0.25">
      <c r="A482" s="2">
        <v>400</v>
      </c>
      <c r="B482" s="2" t="s">
        <v>4322</v>
      </c>
      <c r="C482" s="52">
        <v>7</v>
      </c>
      <c r="D482" s="52">
        <v>8</v>
      </c>
      <c r="E482" s="52">
        <v>6</v>
      </c>
      <c r="F482" s="52">
        <v>5</v>
      </c>
      <c r="G482" s="52">
        <v>6</v>
      </c>
      <c r="H482" s="52">
        <v>7</v>
      </c>
      <c r="I482" s="52">
        <v>39</v>
      </c>
      <c r="J482" s="105">
        <v>6.5</v>
      </c>
      <c r="K482" s="52"/>
    </row>
    <row r="483" spans="1:11" ht="15.75" customHeight="1" x14ac:dyDescent="0.25">
      <c r="A483" s="2">
        <v>401</v>
      </c>
      <c r="B483" s="2" t="s">
        <v>4323</v>
      </c>
      <c r="C483" s="52">
        <v>3</v>
      </c>
      <c r="D483" s="52">
        <v>2</v>
      </c>
      <c r="E483" s="52">
        <v>4</v>
      </c>
      <c r="F483" s="52">
        <v>2</v>
      </c>
      <c r="G483" s="52">
        <v>4</v>
      </c>
      <c r="H483" s="52">
        <v>2</v>
      </c>
      <c r="I483" s="52">
        <v>17</v>
      </c>
      <c r="J483" s="105">
        <v>2.8333333333333335</v>
      </c>
      <c r="K483" s="52"/>
    </row>
    <row r="484" spans="1:11" ht="15.75" customHeight="1" x14ac:dyDescent="0.25">
      <c r="A484" s="2">
        <v>402</v>
      </c>
      <c r="B484" s="2" t="s">
        <v>4324</v>
      </c>
      <c r="C484" s="52">
        <v>7</v>
      </c>
      <c r="D484" s="52">
        <v>8</v>
      </c>
      <c r="E484" s="52">
        <v>5</v>
      </c>
      <c r="F484" s="52">
        <v>5</v>
      </c>
      <c r="G484" s="52">
        <v>5</v>
      </c>
      <c r="H484" s="52">
        <v>6</v>
      </c>
      <c r="I484" s="52">
        <v>36</v>
      </c>
      <c r="J484" s="105">
        <v>6</v>
      </c>
      <c r="K484" s="52"/>
    </row>
    <row r="485" spans="1:11" ht="15.75" customHeight="1" x14ac:dyDescent="0.25">
      <c r="A485" s="2">
        <v>403</v>
      </c>
      <c r="B485" s="2" t="s">
        <v>4325</v>
      </c>
      <c r="C485" s="52">
        <v>4</v>
      </c>
      <c r="D485" s="52">
        <v>6</v>
      </c>
      <c r="E485" s="52">
        <v>3</v>
      </c>
      <c r="F485" s="52">
        <v>4</v>
      </c>
      <c r="G485" s="52">
        <v>3</v>
      </c>
      <c r="H485" s="52">
        <v>4</v>
      </c>
      <c r="I485" s="52">
        <v>24</v>
      </c>
      <c r="J485" s="105">
        <v>4</v>
      </c>
      <c r="K485" s="52"/>
    </row>
    <row r="486" spans="1:11" ht="15.75" customHeight="1" x14ac:dyDescent="0.25">
      <c r="A486" s="2">
        <v>404</v>
      </c>
      <c r="B486" s="2" t="s">
        <v>4326</v>
      </c>
      <c r="C486" s="52">
        <v>6</v>
      </c>
      <c r="D486" s="52">
        <v>8</v>
      </c>
      <c r="E486" s="52">
        <v>4</v>
      </c>
      <c r="F486" s="52">
        <v>6</v>
      </c>
      <c r="G486" s="52">
        <v>4</v>
      </c>
      <c r="H486" s="52">
        <v>6</v>
      </c>
      <c r="I486" s="52">
        <v>34</v>
      </c>
      <c r="J486" s="105">
        <v>5.666666666666667</v>
      </c>
      <c r="K486" s="52"/>
    </row>
    <row r="487" spans="1:11" ht="15.75" customHeight="1" x14ac:dyDescent="0.25">
      <c r="A487" s="2">
        <v>405</v>
      </c>
      <c r="B487" s="2" t="s">
        <v>4327</v>
      </c>
      <c r="C487" s="52">
        <v>8</v>
      </c>
      <c r="D487" s="52">
        <v>12</v>
      </c>
      <c r="E487" s="52">
        <v>7</v>
      </c>
      <c r="F487" s="52">
        <v>9</v>
      </c>
      <c r="G487" s="52">
        <v>7</v>
      </c>
      <c r="H487" s="52">
        <v>7</v>
      </c>
      <c r="I487" s="52">
        <v>50</v>
      </c>
      <c r="J487" s="105">
        <v>8.3333333333333339</v>
      </c>
      <c r="K487" s="52"/>
    </row>
    <row r="488" spans="1:11" ht="15.75" customHeight="1" x14ac:dyDescent="0.25">
      <c r="A488" s="2">
        <v>406</v>
      </c>
      <c r="B488" s="2" t="s">
        <v>4328</v>
      </c>
      <c r="C488" s="52">
        <v>4</v>
      </c>
      <c r="D488" s="52">
        <v>3</v>
      </c>
      <c r="E488" s="52">
        <v>3</v>
      </c>
      <c r="F488" s="52">
        <v>5</v>
      </c>
      <c r="G488" s="52">
        <v>7</v>
      </c>
      <c r="H488" s="52">
        <v>5</v>
      </c>
      <c r="I488" s="52">
        <v>27</v>
      </c>
      <c r="J488" s="105">
        <v>4.5</v>
      </c>
      <c r="K488" s="52"/>
    </row>
    <row r="489" spans="1:11" ht="15.75" customHeight="1" x14ac:dyDescent="0.25">
      <c r="A489" s="2">
        <v>407</v>
      </c>
      <c r="B489" s="2" t="s">
        <v>4329</v>
      </c>
      <c r="C489" s="52">
        <v>6</v>
      </c>
      <c r="D489" s="52">
        <v>7</v>
      </c>
      <c r="E489" s="52">
        <v>6</v>
      </c>
      <c r="F489" s="52">
        <v>12</v>
      </c>
      <c r="G489" s="52">
        <v>10</v>
      </c>
      <c r="H489" s="52">
        <v>9</v>
      </c>
      <c r="I489" s="52">
        <v>50</v>
      </c>
      <c r="J489" s="105">
        <v>8.3333333333333339</v>
      </c>
      <c r="K489" s="52"/>
    </row>
    <row r="490" spans="1:11" ht="15.75" customHeight="1" x14ac:dyDescent="0.25">
      <c r="A490" s="2">
        <v>408</v>
      </c>
      <c r="B490" s="2" t="s">
        <v>4330</v>
      </c>
      <c r="C490" s="52">
        <v>6</v>
      </c>
      <c r="D490" s="52">
        <v>12</v>
      </c>
      <c r="E490" s="52">
        <v>4</v>
      </c>
      <c r="F490" s="52">
        <v>3</v>
      </c>
      <c r="G490" s="52">
        <v>3</v>
      </c>
      <c r="H490" s="52">
        <v>5</v>
      </c>
      <c r="I490" s="52">
        <v>33</v>
      </c>
      <c r="J490" s="105">
        <v>5.5</v>
      </c>
      <c r="K490" s="52"/>
    </row>
    <row r="491" spans="1:11" ht="15.75" customHeight="1" x14ac:dyDescent="0.25">
      <c r="A491" s="2">
        <v>409</v>
      </c>
      <c r="B491" s="2" t="s">
        <v>4331</v>
      </c>
      <c r="C491" s="52">
        <v>9</v>
      </c>
      <c r="D491" s="52">
        <v>16</v>
      </c>
      <c r="E491" s="52">
        <v>6</v>
      </c>
      <c r="F491" s="52">
        <v>6</v>
      </c>
      <c r="G491" s="52">
        <v>5</v>
      </c>
      <c r="H491" s="52">
        <v>5</v>
      </c>
      <c r="I491" s="52">
        <v>47</v>
      </c>
      <c r="J491" s="105">
        <v>7.833333333333333</v>
      </c>
      <c r="K491" s="52"/>
    </row>
    <row r="492" spans="1:11" ht="15.75" customHeight="1" x14ac:dyDescent="0.25">
      <c r="A492" s="2">
        <v>410</v>
      </c>
      <c r="B492" s="2" t="s">
        <v>4332</v>
      </c>
      <c r="C492" s="52">
        <v>3</v>
      </c>
      <c r="D492" s="52">
        <v>4</v>
      </c>
      <c r="E492" s="52">
        <v>11</v>
      </c>
      <c r="F492" s="52">
        <v>4</v>
      </c>
      <c r="G492" s="52">
        <v>8</v>
      </c>
      <c r="H492" s="52">
        <v>3</v>
      </c>
      <c r="I492" s="52">
        <v>33</v>
      </c>
      <c r="J492" s="105">
        <v>5.5</v>
      </c>
      <c r="K492" s="52"/>
    </row>
    <row r="493" spans="1:11" ht="15.75" customHeight="1" x14ac:dyDescent="0.25">
      <c r="A493" s="2">
        <v>411</v>
      </c>
      <c r="B493" s="2" t="s">
        <v>4333</v>
      </c>
      <c r="C493" s="52">
        <v>6</v>
      </c>
      <c r="D493" s="52">
        <v>5</v>
      </c>
      <c r="E493" s="52">
        <v>16</v>
      </c>
      <c r="F493" s="52">
        <v>4</v>
      </c>
      <c r="G493" s="52">
        <v>13</v>
      </c>
      <c r="H493" s="52">
        <v>3</v>
      </c>
      <c r="I493" s="52">
        <v>47</v>
      </c>
      <c r="J493" s="105">
        <v>7.833333333333333</v>
      </c>
      <c r="K493" s="52"/>
    </row>
    <row r="494" spans="1:11" ht="15.75" customHeight="1" x14ac:dyDescent="0.25">
      <c r="A494" s="2">
        <v>412</v>
      </c>
      <c r="B494" s="2" t="s">
        <v>4334</v>
      </c>
      <c r="C494" s="52">
        <v>4</v>
      </c>
      <c r="D494" s="52">
        <v>2</v>
      </c>
      <c r="E494" s="52">
        <v>4</v>
      </c>
      <c r="F494" s="52">
        <v>2</v>
      </c>
      <c r="G494" s="52">
        <v>4</v>
      </c>
      <c r="H494" s="52">
        <v>3</v>
      </c>
      <c r="I494" s="52">
        <v>19</v>
      </c>
      <c r="J494" s="105">
        <v>3.1666666666666665</v>
      </c>
      <c r="K494" s="52"/>
    </row>
    <row r="495" spans="1:11" ht="15.75" customHeight="1" x14ac:dyDescent="0.25">
      <c r="A495" s="2">
        <v>413</v>
      </c>
      <c r="B495" s="2" t="s">
        <v>4335</v>
      </c>
      <c r="C495" s="52">
        <v>6</v>
      </c>
      <c r="D495" s="52">
        <v>5</v>
      </c>
      <c r="E495" s="52">
        <v>8</v>
      </c>
      <c r="F495" s="52">
        <v>7</v>
      </c>
      <c r="G495" s="52">
        <v>10</v>
      </c>
      <c r="H495" s="52">
        <v>3</v>
      </c>
      <c r="I495" s="52">
        <v>39</v>
      </c>
      <c r="J495" s="105">
        <v>6.5</v>
      </c>
      <c r="K495" s="52"/>
    </row>
    <row r="496" spans="1:11" ht="15.75" customHeight="1" x14ac:dyDescent="0.25">
      <c r="A496" s="2">
        <v>413</v>
      </c>
      <c r="B496" s="2" t="s">
        <v>4336</v>
      </c>
      <c r="C496" s="52">
        <v>6</v>
      </c>
      <c r="D496" s="52">
        <v>7</v>
      </c>
      <c r="E496" s="52">
        <v>10</v>
      </c>
      <c r="F496" s="52">
        <v>5</v>
      </c>
      <c r="G496" s="52">
        <v>8</v>
      </c>
      <c r="H496" s="52">
        <v>3</v>
      </c>
      <c r="I496" s="52">
        <v>39</v>
      </c>
      <c r="J496" s="105">
        <v>6.5</v>
      </c>
      <c r="K496" s="52"/>
    </row>
    <row r="497" spans="1:11" ht="15.75" customHeight="1" x14ac:dyDescent="0.25">
      <c r="A497" s="2">
        <v>413</v>
      </c>
      <c r="B497" s="2" t="s">
        <v>4337</v>
      </c>
      <c r="C497" s="52">
        <v>6</v>
      </c>
      <c r="D497" s="52">
        <v>6</v>
      </c>
      <c r="E497" s="52">
        <v>9</v>
      </c>
      <c r="F497" s="52">
        <v>6</v>
      </c>
      <c r="G497" s="52">
        <v>9</v>
      </c>
      <c r="H497" s="52">
        <v>3</v>
      </c>
      <c r="I497" s="52">
        <v>39</v>
      </c>
      <c r="J497" s="105">
        <v>6.5</v>
      </c>
      <c r="K497" s="52"/>
    </row>
    <row r="498" spans="1:11" ht="15.75" customHeight="1" x14ac:dyDescent="0.25">
      <c r="A498" s="2">
        <v>414</v>
      </c>
      <c r="B498" s="2" t="s">
        <v>4338</v>
      </c>
      <c r="C498" s="52">
        <v>7</v>
      </c>
      <c r="D498" s="52">
        <v>9</v>
      </c>
      <c r="E498" s="52">
        <v>5</v>
      </c>
      <c r="F498" s="52">
        <v>9</v>
      </c>
      <c r="G498" s="52">
        <v>5</v>
      </c>
      <c r="H498" s="52">
        <v>6</v>
      </c>
      <c r="I498" s="52">
        <v>41</v>
      </c>
      <c r="J498" s="105">
        <v>6.833333333333333</v>
      </c>
      <c r="K498" s="52"/>
    </row>
    <row r="499" spans="1:11" ht="15.75" customHeight="1" x14ac:dyDescent="0.25">
      <c r="A499" s="2">
        <v>415</v>
      </c>
      <c r="B499" s="2" t="s">
        <v>4339</v>
      </c>
      <c r="C499" s="52">
        <v>3</v>
      </c>
      <c r="D499" s="52">
        <v>3</v>
      </c>
      <c r="E499" s="52">
        <v>4</v>
      </c>
      <c r="F499" s="52">
        <v>3</v>
      </c>
      <c r="G499" s="52">
        <v>4</v>
      </c>
      <c r="H499" s="52">
        <v>7</v>
      </c>
      <c r="I499" s="52">
        <v>24</v>
      </c>
      <c r="J499" s="105">
        <v>4</v>
      </c>
      <c r="K499" s="52"/>
    </row>
    <row r="500" spans="1:11" ht="15.75" customHeight="1" x14ac:dyDescent="0.25">
      <c r="A500" s="2">
        <v>416</v>
      </c>
      <c r="B500" s="2" t="s">
        <v>4340</v>
      </c>
      <c r="C500" s="52">
        <v>7</v>
      </c>
      <c r="D500" s="52">
        <v>8</v>
      </c>
      <c r="E500" s="52">
        <v>10</v>
      </c>
      <c r="F500" s="52">
        <v>8</v>
      </c>
      <c r="G500" s="52">
        <v>10</v>
      </c>
      <c r="H500" s="52">
        <v>4</v>
      </c>
      <c r="I500" s="52">
        <v>47</v>
      </c>
      <c r="J500" s="105">
        <v>7.833333333333333</v>
      </c>
      <c r="K500" s="52"/>
    </row>
    <row r="501" spans="1:11" ht="15.75" customHeight="1" x14ac:dyDescent="0.25">
      <c r="A501" s="2">
        <v>417</v>
      </c>
      <c r="B501" s="2" t="s">
        <v>4341</v>
      </c>
      <c r="C501" s="52">
        <v>6</v>
      </c>
      <c r="D501" s="52">
        <v>4</v>
      </c>
      <c r="E501" s="52">
        <v>7</v>
      </c>
      <c r="F501" s="52">
        <v>4</v>
      </c>
      <c r="G501" s="52">
        <v>9</v>
      </c>
      <c r="H501" s="52">
        <v>9</v>
      </c>
      <c r="I501" s="52">
        <v>39</v>
      </c>
      <c r="J501" s="105">
        <v>6.5</v>
      </c>
      <c r="K501" s="52"/>
    </row>
    <row r="502" spans="1:11" ht="15.75" customHeight="1" x14ac:dyDescent="0.25">
      <c r="A502" s="2">
        <v>418</v>
      </c>
      <c r="B502" s="2" t="s">
        <v>4342</v>
      </c>
      <c r="C502" s="52">
        <v>5</v>
      </c>
      <c r="D502" s="52">
        <v>6</v>
      </c>
      <c r="E502" s="52">
        <v>3</v>
      </c>
      <c r="F502" s="52">
        <v>6</v>
      </c>
      <c r="G502" s="52">
        <v>3</v>
      </c>
      <c r="H502" s="52">
        <v>8</v>
      </c>
      <c r="I502" s="52">
        <v>31</v>
      </c>
      <c r="J502" s="105">
        <v>5.166666666666667</v>
      </c>
      <c r="K502" s="52"/>
    </row>
    <row r="503" spans="1:11" ht="15.75" customHeight="1" x14ac:dyDescent="0.25">
      <c r="A503" s="2">
        <v>419</v>
      </c>
      <c r="B503" s="2" t="s">
        <v>4343</v>
      </c>
      <c r="C503" s="52">
        <v>8</v>
      </c>
      <c r="D503" s="52">
        <v>10</v>
      </c>
      <c r="E503" s="52">
        <v>5</v>
      </c>
      <c r="F503" s="52">
        <v>8</v>
      </c>
      <c r="G503" s="52">
        <v>5</v>
      </c>
      <c r="H503" s="52">
        <v>11</v>
      </c>
      <c r="I503" s="52">
        <v>47</v>
      </c>
      <c r="J503" s="105">
        <v>7.833333333333333</v>
      </c>
      <c r="K503" s="52"/>
    </row>
    <row r="504" spans="1:11" ht="15.75" customHeight="1" x14ac:dyDescent="0.25">
      <c r="A504" s="2">
        <v>420</v>
      </c>
      <c r="B504" s="2" t="s">
        <v>4344</v>
      </c>
      <c r="C504" s="52">
        <v>4</v>
      </c>
      <c r="D504" s="52">
        <v>3</v>
      </c>
      <c r="E504" s="52">
        <v>4</v>
      </c>
      <c r="F504" s="52">
        <v>6</v>
      </c>
      <c r="G504" s="52">
        <v>5</v>
      </c>
      <c r="H504" s="52">
        <v>3</v>
      </c>
      <c r="I504" s="52">
        <v>25</v>
      </c>
      <c r="J504" s="105">
        <v>4.166666666666667</v>
      </c>
      <c r="K504" s="52"/>
    </row>
    <row r="505" spans="1:11" ht="15.75" customHeight="1" x14ac:dyDescent="0.25">
      <c r="A505" s="2">
        <v>421</v>
      </c>
      <c r="B505" s="2" t="s">
        <v>4345</v>
      </c>
      <c r="C505" s="52">
        <v>7</v>
      </c>
      <c r="D505" s="52">
        <v>6</v>
      </c>
      <c r="E505" s="52">
        <v>7</v>
      </c>
      <c r="F505" s="52">
        <v>8</v>
      </c>
      <c r="G505" s="52">
        <v>7</v>
      </c>
      <c r="H505" s="52">
        <v>8</v>
      </c>
      <c r="I505" s="52">
        <v>43</v>
      </c>
      <c r="J505" s="105">
        <v>7.166666666666667</v>
      </c>
      <c r="K505" s="52"/>
    </row>
    <row r="506" spans="1:11" ht="15.75" customHeight="1" x14ac:dyDescent="0.25">
      <c r="A506" s="2">
        <v>422</v>
      </c>
      <c r="B506" s="2" t="s">
        <v>4346</v>
      </c>
      <c r="C506" s="52">
        <v>7</v>
      </c>
      <c r="D506" s="52">
        <v>4</v>
      </c>
      <c r="E506" s="52">
        <v>4</v>
      </c>
      <c r="F506" s="52">
        <v>5</v>
      </c>
      <c r="G506" s="52">
        <v>6</v>
      </c>
      <c r="H506" s="52">
        <v>3</v>
      </c>
      <c r="I506" s="52">
        <v>29</v>
      </c>
      <c r="J506" s="105">
        <v>4.833333333333333</v>
      </c>
      <c r="K506" s="52"/>
    </row>
    <row r="507" spans="1:11" ht="15.75" customHeight="1" x14ac:dyDescent="0.25">
      <c r="A507" s="2">
        <v>423</v>
      </c>
      <c r="B507" s="2" t="s">
        <v>4347</v>
      </c>
      <c r="C507" s="52">
        <v>11</v>
      </c>
      <c r="D507" s="52">
        <v>8</v>
      </c>
      <c r="E507" s="52">
        <v>6</v>
      </c>
      <c r="F507" s="52">
        <v>9</v>
      </c>
      <c r="G507" s="52">
        <v>8</v>
      </c>
      <c r="H507" s="52">
        <v>3</v>
      </c>
      <c r="I507" s="52">
        <v>45</v>
      </c>
      <c r="J507" s="105">
        <v>7.5</v>
      </c>
      <c r="K507" s="52"/>
    </row>
    <row r="508" spans="1:11" ht="15.75" customHeight="1" x14ac:dyDescent="0.25">
      <c r="A508" s="2">
        <v>424</v>
      </c>
      <c r="B508" s="2" t="s">
        <v>4348</v>
      </c>
      <c r="C508" s="52">
        <v>7</v>
      </c>
      <c r="D508" s="52">
        <v>10</v>
      </c>
      <c r="E508" s="52">
        <v>6</v>
      </c>
      <c r="F508" s="52">
        <v>6</v>
      </c>
      <c r="G508" s="52">
        <v>6</v>
      </c>
      <c r="H508" s="52">
        <v>11</v>
      </c>
      <c r="I508" s="52">
        <v>46</v>
      </c>
      <c r="J508" s="105">
        <v>7.666666666666667</v>
      </c>
      <c r="K508" s="52"/>
    </row>
    <row r="509" spans="1:11" ht="15.75" customHeight="1" x14ac:dyDescent="0.25">
      <c r="A509" s="2">
        <v>425</v>
      </c>
      <c r="B509" s="2" t="s">
        <v>4349</v>
      </c>
      <c r="C509" s="52">
        <v>9</v>
      </c>
      <c r="D509" s="52">
        <v>5</v>
      </c>
      <c r="E509" s="52">
        <v>3</v>
      </c>
      <c r="F509" s="52">
        <v>6</v>
      </c>
      <c r="G509" s="52">
        <v>4</v>
      </c>
      <c r="H509" s="52">
        <v>7</v>
      </c>
      <c r="I509" s="52">
        <v>34</v>
      </c>
      <c r="J509" s="105">
        <v>5.666666666666667</v>
      </c>
      <c r="K509" s="52"/>
    </row>
    <row r="510" spans="1:11" ht="15.75" customHeight="1" x14ac:dyDescent="0.25">
      <c r="A510" s="2">
        <v>426</v>
      </c>
      <c r="B510" s="2" t="s">
        <v>4350</v>
      </c>
      <c r="C510" s="52">
        <v>15</v>
      </c>
      <c r="D510" s="52">
        <v>8</v>
      </c>
      <c r="E510" s="52">
        <v>4</v>
      </c>
      <c r="F510" s="52">
        <v>9</v>
      </c>
      <c r="G510" s="52">
        <v>5</v>
      </c>
      <c r="H510" s="52">
        <v>8</v>
      </c>
      <c r="I510" s="52">
        <v>49</v>
      </c>
      <c r="J510" s="105">
        <v>8.1666666666666661</v>
      </c>
      <c r="K510" s="52"/>
    </row>
    <row r="511" spans="1:11" ht="15.75" customHeight="1" x14ac:dyDescent="0.25">
      <c r="A511" s="2">
        <v>427</v>
      </c>
      <c r="B511" s="2" t="s">
        <v>4351</v>
      </c>
      <c r="C511" s="52">
        <v>5</v>
      </c>
      <c r="D511" s="52">
        <v>6</v>
      </c>
      <c r="E511" s="52">
        <v>4</v>
      </c>
      <c r="F511" s="52">
        <v>4</v>
      </c>
      <c r="G511" s="52">
        <v>5</v>
      </c>
      <c r="H511" s="52">
        <v>8</v>
      </c>
      <c r="I511" s="52">
        <v>32</v>
      </c>
      <c r="J511" s="105">
        <v>5.333333333333333</v>
      </c>
      <c r="K511" s="52"/>
    </row>
    <row r="512" spans="1:11" ht="15.75" customHeight="1" x14ac:dyDescent="0.25">
      <c r="A512" s="2">
        <v>428</v>
      </c>
      <c r="B512" s="2" t="s">
        <v>4352</v>
      </c>
      <c r="C512" s="52">
        <v>6</v>
      </c>
      <c r="D512" s="52">
        <v>7</v>
      </c>
      <c r="E512" s="52">
        <v>8</v>
      </c>
      <c r="F512" s="52">
        <v>5</v>
      </c>
      <c r="G512" s="52">
        <v>9</v>
      </c>
      <c r="H512" s="52">
        <v>10</v>
      </c>
      <c r="I512" s="52">
        <v>45</v>
      </c>
      <c r="J512" s="105">
        <v>7.5</v>
      </c>
      <c r="K512" s="52"/>
    </row>
    <row r="513" spans="1:11" ht="15.75" customHeight="1" x14ac:dyDescent="0.25">
      <c r="A513" s="2">
        <v>428</v>
      </c>
      <c r="B513" s="2" t="s">
        <v>4353</v>
      </c>
      <c r="C513" s="52">
        <v>6</v>
      </c>
      <c r="D513" s="52">
        <v>13</v>
      </c>
      <c r="E513" s="52">
        <v>9</v>
      </c>
      <c r="F513" s="52">
        <v>5</v>
      </c>
      <c r="G513" s="52">
        <v>9</v>
      </c>
      <c r="H513" s="52">
        <v>13</v>
      </c>
      <c r="I513" s="52">
        <v>55</v>
      </c>
      <c r="J513" s="105">
        <v>9.1666666666666661</v>
      </c>
      <c r="K513" s="52"/>
    </row>
    <row r="514" spans="1:11" ht="15.75" customHeight="1" x14ac:dyDescent="0.25">
      <c r="A514" s="2">
        <v>429</v>
      </c>
      <c r="B514" s="2" t="s">
        <v>4354</v>
      </c>
      <c r="C514" s="52">
        <v>6</v>
      </c>
      <c r="D514" s="52">
        <v>6</v>
      </c>
      <c r="E514" s="52">
        <v>6</v>
      </c>
      <c r="F514" s="52">
        <v>10</v>
      </c>
      <c r="G514" s="52">
        <v>10</v>
      </c>
      <c r="H514" s="52">
        <v>10</v>
      </c>
      <c r="I514" s="52">
        <v>48</v>
      </c>
      <c r="J514" s="105">
        <v>8</v>
      </c>
      <c r="K514" s="52"/>
    </row>
    <row r="515" spans="1:11" ht="15.75" customHeight="1" x14ac:dyDescent="0.25">
      <c r="A515" s="2">
        <v>430</v>
      </c>
      <c r="B515" s="2" t="s">
        <v>4355</v>
      </c>
      <c r="C515" s="52">
        <v>10</v>
      </c>
      <c r="D515" s="52">
        <v>12</v>
      </c>
      <c r="E515" s="52">
        <v>5</v>
      </c>
      <c r="F515" s="52">
        <v>10</v>
      </c>
      <c r="G515" s="52">
        <v>5</v>
      </c>
      <c r="H515" s="52">
        <v>7</v>
      </c>
      <c r="I515" s="52">
        <v>49</v>
      </c>
      <c r="J515" s="105">
        <v>8.1666666666666661</v>
      </c>
      <c r="K515" s="52"/>
    </row>
    <row r="516" spans="1:11" ht="15.75" customHeight="1" x14ac:dyDescent="0.25">
      <c r="A516" s="2">
        <v>431</v>
      </c>
      <c r="B516" s="2" t="s">
        <v>4356</v>
      </c>
      <c r="C516" s="52">
        <v>4</v>
      </c>
      <c r="D516" s="52">
        <v>5</v>
      </c>
      <c r="E516" s="52">
        <v>4</v>
      </c>
      <c r="F516" s="52">
        <v>4</v>
      </c>
      <c r="G516" s="52">
        <v>3</v>
      </c>
      <c r="H516" s="52">
        <v>8</v>
      </c>
      <c r="I516" s="52">
        <v>28</v>
      </c>
      <c r="J516" s="105">
        <v>4.666666666666667</v>
      </c>
      <c r="K516" s="52"/>
    </row>
    <row r="517" spans="1:11" ht="15.75" customHeight="1" x14ac:dyDescent="0.25">
      <c r="A517" s="2">
        <v>432</v>
      </c>
      <c r="B517" s="2" t="s">
        <v>4357</v>
      </c>
      <c r="C517" s="52">
        <v>7</v>
      </c>
      <c r="D517" s="52">
        <v>8</v>
      </c>
      <c r="E517" s="52">
        <v>6</v>
      </c>
      <c r="F517" s="52">
        <v>6</v>
      </c>
      <c r="G517" s="52">
        <v>5</v>
      </c>
      <c r="H517" s="52">
        <v>11</v>
      </c>
      <c r="I517" s="52">
        <v>43</v>
      </c>
      <c r="J517" s="105">
        <v>7.166666666666667</v>
      </c>
      <c r="K517" s="52"/>
    </row>
    <row r="518" spans="1:11" ht="15.75" customHeight="1" x14ac:dyDescent="0.25">
      <c r="A518" s="2">
        <v>433</v>
      </c>
      <c r="B518" s="2" t="s">
        <v>4358</v>
      </c>
      <c r="C518" s="52">
        <v>4</v>
      </c>
      <c r="D518" s="52">
        <v>3</v>
      </c>
      <c r="E518" s="52">
        <v>5</v>
      </c>
      <c r="F518" s="52">
        <v>6</v>
      </c>
      <c r="G518" s="52">
        <v>5</v>
      </c>
      <c r="H518" s="52">
        <v>4</v>
      </c>
      <c r="I518" s="52">
        <v>27</v>
      </c>
      <c r="J518" s="105">
        <v>4.5</v>
      </c>
      <c r="K518" s="52"/>
    </row>
    <row r="519" spans="1:11" ht="15.75" customHeight="1" x14ac:dyDescent="0.25">
      <c r="A519" s="2">
        <v>434</v>
      </c>
      <c r="B519" s="2" t="s">
        <v>4359</v>
      </c>
      <c r="C519" s="52">
        <v>6</v>
      </c>
      <c r="D519" s="52">
        <v>6</v>
      </c>
      <c r="E519" s="52">
        <v>4</v>
      </c>
      <c r="F519" s="52">
        <v>4</v>
      </c>
      <c r="G519" s="52">
        <v>4</v>
      </c>
      <c r="H519" s="52">
        <v>7</v>
      </c>
      <c r="I519" s="52">
        <v>31</v>
      </c>
      <c r="J519" s="105">
        <v>5.166666666666667</v>
      </c>
      <c r="K519" s="52"/>
    </row>
    <row r="520" spans="1:11" ht="15.75" customHeight="1" x14ac:dyDescent="0.25">
      <c r="A520" s="2">
        <v>435</v>
      </c>
      <c r="B520" s="2" t="s">
        <v>4360</v>
      </c>
      <c r="C520" s="52">
        <v>10</v>
      </c>
      <c r="D520" s="52">
        <v>9</v>
      </c>
      <c r="E520" s="52">
        <v>6</v>
      </c>
      <c r="F520" s="52">
        <v>7</v>
      </c>
      <c r="G520" s="52">
        <v>6</v>
      </c>
      <c r="H520" s="52">
        <v>8</v>
      </c>
      <c r="I520" s="52">
        <v>46</v>
      </c>
      <c r="J520" s="105">
        <v>7.666666666666667</v>
      </c>
      <c r="K520" s="52"/>
    </row>
    <row r="521" spans="1:11" ht="15.75" customHeight="1" x14ac:dyDescent="0.25">
      <c r="A521" s="2">
        <v>436</v>
      </c>
      <c r="B521" s="2" t="s">
        <v>4361</v>
      </c>
      <c r="C521" s="52">
        <v>5</v>
      </c>
      <c r="D521" s="52">
        <v>2</v>
      </c>
      <c r="E521" s="52">
        <v>8</v>
      </c>
      <c r="F521" s="52">
        <v>2</v>
      </c>
      <c r="G521" s="52">
        <v>8</v>
      </c>
      <c r="H521" s="52">
        <v>2</v>
      </c>
      <c r="I521" s="52">
        <v>27</v>
      </c>
      <c r="J521" s="105">
        <v>4.5</v>
      </c>
      <c r="K521" s="52"/>
    </row>
    <row r="522" spans="1:11" ht="15.75" customHeight="1" x14ac:dyDescent="0.25">
      <c r="A522" s="2">
        <v>437</v>
      </c>
      <c r="B522" s="2" t="s">
        <v>4362</v>
      </c>
      <c r="C522" s="52">
        <v>6</v>
      </c>
      <c r="D522" s="52">
        <v>8</v>
      </c>
      <c r="E522" s="52">
        <v>11</v>
      </c>
      <c r="F522" s="52">
        <v>7</v>
      </c>
      <c r="G522" s="52">
        <v>11</v>
      </c>
      <c r="H522" s="52">
        <v>3</v>
      </c>
      <c r="I522" s="52">
        <v>46</v>
      </c>
      <c r="J522" s="105">
        <v>7.666666666666667</v>
      </c>
      <c r="K522" s="52"/>
    </row>
    <row r="523" spans="1:11" ht="15.75" customHeight="1" x14ac:dyDescent="0.25">
      <c r="A523" s="2">
        <v>438</v>
      </c>
      <c r="B523" s="2" t="s">
        <v>4363</v>
      </c>
      <c r="C523" s="52">
        <v>5</v>
      </c>
      <c r="D523" s="52">
        <v>8</v>
      </c>
      <c r="E523" s="52">
        <v>9</v>
      </c>
      <c r="F523" s="52">
        <v>1</v>
      </c>
      <c r="G523" s="52">
        <v>4</v>
      </c>
      <c r="H523" s="52">
        <v>1</v>
      </c>
      <c r="I523" s="52">
        <v>28</v>
      </c>
      <c r="J523" s="105">
        <v>4.666666666666667</v>
      </c>
      <c r="K523" s="52"/>
    </row>
    <row r="524" spans="1:11" ht="15.75" customHeight="1" x14ac:dyDescent="0.25">
      <c r="A524" s="2">
        <v>439</v>
      </c>
      <c r="B524" s="2" t="s">
        <v>4364</v>
      </c>
      <c r="C524" s="52">
        <v>2</v>
      </c>
      <c r="D524" s="52">
        <v>2</v>
      </c>
      <c r="E524" s="52">
        <v>4</v>
      </c>
      <c r="F524" s="52">
        <v>7</v>
      </c>
      <c r="G524" s="52">
        <v>9</v>
      </c>
      <c r="H524" s="52">
        <v>6</v>
      </c>
      <c r="I524" s="52">
        <v>30</v>
      </c>
      <c r="J524" s="105">
        <v>5</v>
      </c>
      <c r="K524" s="52"/>
    </row>
    <row r="525" spans="1:11" ht="15.75" customHeight="1" x14ac:dyDescent="0.25">
      <c r="A525" s="2">
        <v>440</v>
      </c>
      <c r="B525" s="2" t="s">
        <v>4365</v>
      </c>
      <c r="C525" s="52">
        <v>10</v>
      </c>
      <c r="D525" s="52">
        <v>0</v>
      </c>
      <c r="E525" s="52">
        <v>0</v>
      </c>
      <c r="F525" s="52">
        <v>1</v>
      </c>
      <c r="G525" s="52">
        <v>6</v>
      </c>
      <c r="H525" s="52">
        <v>3</v>
      </c>
      <c r="I525" s="52">
        <v>20</v>
      </c>
      <c r="J525" s="105">
        <v>3.3333333333333335</v>
      </c>
      <c r="K525" s="52"/>
    </row>
    <row r="526" spans="1:11" ht="15.75" customHeight="1" x14ac:dyDescent="0.25">
      <c r="A526" s="2">
        <v>441</v>
      </c>
      <c r="B526" s="2" t="s">
        <v>4366</v>
      </c>
      <c r="C526" s="52">
        <v>7</v>
      </c>
      <c r="D526" s="52">
        <v>6</v>
      </c>
      <c r="E526" s="52">
        <v>4</v>
      </c>
      <c r="F526" s="52">
        <v>9</v>
      </c>
      <c r="G526" s="52">
        <v>4</v>
      </c>
      <c r="H526" s="52">
        <v>9</v>
      </c>
      <c r="I526" s="52">
        <v>39</v>
      </c>
      <c r="J526" s="105">
        <v>6.5</v>
      </c>
      <c r="K526" s="52"/>
    </row>
    <row r="527" spans="1:11" ht="15.75" customHeight="1" x14ac:dyDescent="0.25">
      <c r="A527" s="2">
        <v>442</v>
      </c>
      <c r="B527" s="2" t="s">
        <v>4367</v>
      </c>
      <c r="C527" s="52">
        <v>5</v>
      </c>
      <c r="D527" s="52">
        <v>9</v>
      </c>
      <c r="E527" s="52">
        <v>10</v>
      </c>
      <c r="F527" s="52">
        <v>9</v>
      </c>
      <c r="G527" s="52">
        <v>10</v>
      </c>
      <c r="H527" s="52">
        <v>3</v>
      </c>
      <c r="I527" s="52">
        <v>46</v>
      </c>
      <c r="J527" s="105">
        <v>7.666666666666667</v>
      </c>
      <c r="K527" s="52"/>
    </row>
    <row r="528" spans="1:11" ht="15.75" customHeight="1" x14ac:dyDescent="0.25">
      <c r="A528" s="2">
        <v>443</v>
      </c>
      <c r="B528" s="2" t="s">
        <v>4368</v>
      </c>
      <c r="C528" s="52">
        <v>5</v>
      </c>
      <c r="D528" s="52">
        <v>7</v>
      </c>
      <c r="E528" s="52">
        <v>4</v>
      </c>
      <c r="F528" s="52">
        <v>4</v>
      </c>
      <c r="G528" s="52">
        <v>4</v>
      </c>
      <c r="H528" s="52">
        <v>4</v>
      </c>
      <c r="I528" s="52">
        <v>28</v>
      </c>
      <c r="J528" s="105">
        <v>4.666666666666667</v>
      </c>
      <c r="K528" s="52"/>
    </row>
    <row r="529" spans="1:11" ht="15.75" customHeight="1" x14ac:dyDescent="0.25">
      <c r="A529" s="2">
        <v>444</v>
      </c>
      <c r="B529" s="2" t="s">
        <v>4369</v>
      </c>
      <c r="C529" s="52">
        <v>6</v>
      </c>
      <c r="D529" s="52">
        <v>9</v>
      </c>
      <c r="E529" s="52">
        <v>6</v>
      </c>
      <c r="F529" s="52">
        <v>5</v>
      </c>
      <c r="G529" s="52">
        <v>5</v>
      </c>
      <c r="H529" s="52">
        <v>8</v>
      </c>
      <c r="I529" s="52">
        <v>39</v>
      </c>
      <c r="J529" s="105">
        <v>6.5</v>
      </c>
      <c r="K529" s="52"/>
    </row>
    <row r="530" spans="1:11" ht="15.75" customHeight="1" x14ac:dyDescent="0.25">
      <c r="A530" s="2">
        <v>445</v>
      </c>
      <c r="B530" s="2" t="s">
        <v>4370</v>
      </c>
      <c r="C530" s="52">
        <v>10</v>
      </c>
      <c r="D530" s="52">
        <v>13</v>
      </c>
      <c r="E530" s="52">
        <v>9</v>
      </c>
      <c r="F530" s="52">
        <v>8</v>
      </c>
      <c r="G530" s="52">
        <v>8</v>
      </c>
      <c r="H530" s="52">
        <v>10</v>
      </c>
      <c r="I530" s="52">
        <v>58</v>
      </c>
      <c r="J530" s="105">
        <v>9.6666666666666661</v>
      </c>
      <c r="K530" s="52"/>
    </row>
    <row r="531" spans="1:11" ht="15.75" customHeight="1" x14ac:dyDescent="0.25">
      <c r="A531" s="2">
        <v>445</v>
      </c>
      <c r="B531" s="2" t="s">
        <v>4371</v>
      </c>
      <c r="C531" s="52">
        <v>10</v>
      </c>
      <c r="D531" s="52">
        <v>17</v>
      </c>
      <c r="E531" s="52">
        <v>11</v>
      </c>
      <c r="F531" s="52">
        <v>12</v>
      </c>
      <c r="G531" s="52">
        <v>9</v>
      </c>
      <c r="H531" s="52">
        <v>9</v>
      </c>
      <c r="I531" s="52">
        <v>68</v>
      </c>
      <c r="J531" s="105">
        <v>11.333333333333334</v>
      </c>
      <c r="K531" s="52"/>
    </row>
    <row r="532" spans="1:11" ht="15.75" customHeight="1" x14ac:dyDescent="0.25">
      <c r="A532" s="2">
        <v>446</v>
      </c>
      <c r="B532" s="2" t="s">
        <v>4372</v>
      </c>
      <c r="C532" s="52">
        <v>13</v>
      </c>
      <c r="D532" s="52">
        <v>8</v>
      </c>
      <c r="E532" s="52">
        <v>4</v>
      </c>
      <c r="F532" s="52">
        <v>4</v>
      </c>
      <c r="G532" s="52">
        <v>8</v>
      </c>
      <c r="H532" s="52">
        <v>0</v>
      </c>
      <c r="I532" s="52">
        <v>37</v>
      </c>
      <c r="J532" s="105">
        <v>6.166666666666667</v>
      </c>
      <c r="K532" s="52"/>
    </row>
    <row r="533" spans="1:11" ht="15.75" customHeight="1" x14ac:dyDescent="0.25">
      <c r="A533" s="2">
        <v>447</v>
      </c>
      <c r="B533" s="2" t="s">
        <v>4373</v>
      </c>
      <c r="C533" s="52">
        <v>4</v>
      </c>
      <c r="D533" s="52">
        <v>7</v>
      </c>
      <c r="E533" s="52">
        <v>4</v>
      </c>
      <c r="F533" s="52">
        <v>3</v>
      </c>
      <c r="G533" s="52">
        <v>4</v>
      </c>
      <c r="H533" s="52">
        <v>6</v>
      </c>
      <c r="I533" s="52">
        <v>28</v>
      </c>
      <c r="J533" s="105">
        <v>4.666666666666667</v>
      </c>
      <c r="K533" s="52"/>
    </row>
    <row r="534" spans="1:11" ht="15.75" customHeight="1" x14ac:dyDescent="0.25">
      <c r="A534" s="2">
        <v>448</v>
      </c>
      <c r="B534" s="2" t="s">
        <v>4374</v>
      </c>
      <c r="C534" s="52">
        <v>7</v>
      </c>
      <c r="D534" s="52">
        <v>11</v>
      </c>
      <c r="E534" s="52">
        <v>7</v>
      </c>
      <c r="F534" s="52">
        <v>11</v>
      </c>
      <c r="G534" s="52">
        <v>7</v>
      </c>
      <c r="H534" s="52">
        <v>9</v>
      </c>
      <c r="I534" s="52">
        <v>52</v>
      </c>
      <c r="J534" s="105">
        <v>8.6666666666666661</v>
      </c>
      <c r="K534" s="52"/>
    </row>
    <row r="535" spans="1:11" ht="15.75" customHeight="1" x14ac:dyDescent="0.25">
      <c r="A535" s="2">
        <v>448</v>
      </c>
      <c r="B535" s="2" t="s">
        <v>4375</v>
      </c>
      <c r="C535" s="52">
        <v>7</v>
      </c>
      <c r="D535" s="52">
        <v>14</v>
      </c>
      <c r="E535" s="52">
        <v>8</v>
      </c>
      <c r="F535" s="52">
        <v>14</v>
      </c>
      <c r="G535" s="52">
        <v>7</v>
      </c>
      <c r="H535" s="52">
        <v>11</v>
      </c>
      <c r="I535" s="52">
        <v>61</v>
      </c>
      <c r="J535" s="105">
        <v>10.166666666666666</v>
      </c>
      <c r="K535" s="52"/>
    </row>
    <row r="536" spans="1:11" ht="15.75" customHeight="1" x14ac:dyDescent="0.25">
      <c r="A536" s="2">
        <v>449</v>
      </c>
      <c r="B536" s="2" t="s">
        <v>4376</v>
      </c>
      <c r="C536" s="52">
        <v>6</v>
      </c>
      <c r="D536" s="52">
        <v>7</v>
      </c>
      <c r="E536" s="52">
        <v>7</v>
      </c>
      <c r="F536" s="52">
        <v>3</v>
      </c>
      <c r="G536" s="52">
        <v>4</v>
      </c>
      <c r="H536" s="52">
        <v>3</v>
      </c>
      <c r="I536" s="52">
        <v>30</v>
      </c>
      <c r="J536" s="105">
        <v>5</v>
      </c>
      <c r="K536" s="52"/>
    </row>
    <row r="537" spans="1:11" ht="15.75" customHeight="1" x14ac:dyDescent="0.25">
      <c r="A537" s="2">
        <v>450</v>
      </c>
      <c r="B537" s="2" t="s">
        <v>4377</v>
      </c>
      <c r="C537" s="52">
        <v>10</v>
      </c>
      <c r="D537" s="52">
        <v>11</v>
      </c>
      <c r="E537" s="52">
        <v>11</v>
      </c>
      <c r="F537" s="52">
        <v>6</v>
      </c>
      <c r="G537" s="52">
        <v>7</v>
      </c>
      <c r="H537" s="52">
        <v>4</v>
      </c>
      <c r="I537" s="52">
        <v>49</v>
      </c>
      <c r="J537" s="105">
        <v>8.1666666666666661</v>
      </c>
      <c r="K537" s="52"/>
    </row>
    <row r="538" spans="1:11" ht="15.75" customHeight="1" x14ac:dyDescent="0.25">
      <c r="A538" s="2">
        <v>451</v>
      </c>
      <c r="B538" s="2" t="s">
        <v>4378</v>
      </c>
      <c r="C538" s="52">
        <v>4</v>
      </c>
      <c r="D538" s="52">
        <v>5</v>
      </c>
      <c r="E538" s="52">
        <v>9</v>
      </c>
      <c r="F538" s="52">
        <v>3</v>
      </c>
      <c r="G538" s="52">
        <v>5</v>
      </c>
      <c r="H538" s="52">
        <v>6</v>
      </c>
      <c r="I538" s="52">
        <v>32</v>
      </c>
      <c r="J538" s="105">
        <v>5.333333333333333</v>
      </c>
      <c r="K538" s="52"/>
    </row>
    <row r="539" spans="1:11" ht="15.75" customHeight="1" x14ac:dyDescent="0.25">
      <c r="A539" s="2">
        <v>452</v>
      </c>
      <c r="B539" s="2" t="s">
        <v>4379</v>
      </c>
      <c r="C539" s="52">
        <v>7</v>
      </c>
      <c r="D539" s="52">
        <v>9</v>
      </c>
      <c r="E539" s="52">
        <v>11</v>
      </c>
      <c r="F539" s="52">
        <v>6</v>
      </c>
      <c r="G539" s="52">
        <v>7</v>
      </c>
      <c r="H539" s="52">
        <v>9</v>
      </c>
      <c r="I539" s="52">
        <v>49</v>
      </c>
      <c r="J539" s="105">
        <v>8.1666666666666661</v>
      </c>
      <c r="K539" s="52"/>
    </row>
    <row r="540" spans="1:11" ht="15.75" customHeight="1" x14ac:dyDescent="0.25">
      <c r="A540" s="2">
        <v>453</v>
      </c>
      <c r="B540" s="2" t="s">
        <v>4380</v>
      </c>
      <c r="C540" s="52">
        <v>4</v>
      </c>
      <c r="D540" s="52">
        <v>6</v>
      </c>
      <c r="E540" s="52">
        <v>4</v>
      </c>
      <c r="F540" s="52">
        <v>6</v>
      </c>
      <c r="G540" s="52">
        <v>4</v>
      </c>
      <c r="H540" s="52">
        <v>5</v>
      </c>
      <c r="I540" s="52">
        <v>29</v>
      </c>
      <c r="J540" s="105">
        <v>4.833333333333333</v>
      </c>
      <c r="K540" s="52"/>
    </row>
    <row r="541" spans="1:11" ht="15.75" customHeight="1" x14ac:dyDescent="0.25">
      <c r="A541" s="2">
        <v>454</v>
      </c>
      <c r="B541" s="2" t="s">
        <v>4381</v>
      </c>
      <c r="C541" s="52">
        <v>8</v>
      </c>
      <c r="D541" s="52">
        <v>10</v>
      </c>
      <c r="E541" s="52">
        <v>6</v>
      </c>
      <c r="F541" s="52">
        <v>8</v>
      </c>
      <c r="G541" s="52">
        <v>6</v>
      </c>
      <c r="H541" s="52">
        <v>8</v>
      </c>
      <c r="I541" s="52">
        <v>46</v>
      </c>
      <c r="J541" s="105">
        <v>7.666666666666667</v>
      </c>
      <c r="K541" s="52"/>
    </row>
    <row r="542" spans="1:11" ht="15.75" customHeight="1" x14ac:dyDescent="0.25">
      <c r="A542" s="2">
        <v>455</v>
      </c>
      <c r="B542" s="2" t="s">
        <v>4382</v>
      </c>
      <c r="C542" s="52">
        <v>7</v>
      </c>
      <c r="D542" s="52">
        <v>10</v>
      </c>
      <c r="E542" s="52">
        <v>7</v>
      </c>
      <c r="F542" s="52">
        <v>9</v>
      </c>
      <c r="G542" s="52">
        <v>7</v>
      </c>
      <c r="H542" s="52">
        <v>4</v>
      </c>
      <c r="I542" s="52">
        <v>44</v>
      </c>
      <c r="J542" s="105">
        <v>7.333333333333333</v>
      </c>
      <c r="K542" s="52"/>
    </row>
    <row r="543" spans="1:11" ht="15.75" customHeight="1" x14ac:dyDescent="0.25">
      <c r="A543" s="2">
        <v>456</v>
      </c>
      <c r="B543" s="2" t="s">
        <v>4383</v>
      </c>
      <c r="C543" s="52">
        <v>4</v>
      </c>
      <c r="D543" s="52">
        <v>4</v>
      </c>
      <c r="E543" s="52">
        <v>5</v>
      </c>
      <c r="F543" s="52">
        <v>4</v>
      </c>
      <c r="G543" s="52">
        <v>6</v>
      </c>
      <c r="H543" s="52">
        <v>6</v>
      </c>
      <c r="I543" s="52">
        <v>29</v>
      </c>
      <c r="J543" s="105">
        <v>4.833333333333333</v>
      </c>
      <c r="K543" s="52"/>
    </row>
    <row r="544" spans="1:11" ht="15.75" customHeight="1" x14ac:dyDescent="0.25">
      <c r="A544" s="2">
        <v>457</v>
      </c>
      <c r="B544" s="2" t="s">
        <v>4384</v>
      </c>
      <c r="C544" s="52">
        <v>6</v>
      </c>
      <c r="D544" s="52">
        <v>6</v>
      </c>
      <c r="E544" s="52">
        <v>7</v>
      </c>
      <c r="F544" s="52">
        <v>6</v>
      </c>
      <c r="G544" s="52">
        <v>8</v>
      </c>
      <c r="H544" s="52">
        <v>9</v>
      </c>
      <c r="I544" s="52">
        <v>42</v>
      </c>
      <c r="J544" s="105">
        <v>7</v>
      </c>
      <c r="K544" s="52"/>
    </row>
    <row r="545" spans="1:11" ht="15.75" customHeight="1" x14ac:dyDescent="0.25">
      <c r="A545" s="2">
        <v>458</v>
      </c>
      <c r="B545" s="2" t="s">
        <v>4385</v>
      </c>
      <c r="C545" s="52">
        <v>4</v>
      </c>
      <c r="D545" s="52">
        <v>2</v>
      </c>
      <c r="E545" s="52">
        <v>5</v>
      </c>
      <c r="F545" s="52">
        <v>6</v>
      </c>
      <c r="G545" s="52">
        <v>12</v>
      </c>
      <c r="H545" s="52">
        <v>5</v>
      </c>
      <c r="I545" s="52">
        <v>34</v>
      </c>
      <c r="J545" s="105">
        <v>5.666666666666667</v>
      </c>
      <c r="K545" s="52"/>
    </row>
    <row r="546" spans="1:11" ht="15.75" customHeight="1" x14ac:dyDescent="0.25">
      <c r="A546" s="2">
        <v>459</v>
      </c>
      <c r="B546" s="2" t="s">
        <v>4386</v>
      </c>
      <c r="C546" s="52">
        <v>6</v>
      </c>
      <c r="D546" s="52">
        <v>6</v>
      </c>
      <c r="E546" s="52">
        <v>5</v>
      </c>
      <c r="F546" s="52">
        <v>6</v>
      </c>
      <c r="G546" s="52">
        <v>6</v>
      </c>
      <c r="H546" s="52">
        <v>4</v>
      </c>
      <c r="I546" s="52">
        <v>33</v>
      </c>
      <c r="J546" s="105">
        <v>5.5</v>
      </c>
      <c r="K546" s="52"/>
    </row>
    <row r="547" spans="1:11" ht="15.75" customHeight="1" x14ac:dyDescent="0.25">
      <c r="A547" s="2">
        <v>460</v>
      </c>
      <c r="B547" s="2" t="s">
        <v>4387</v>
      </c>
      <c r="C547" s="52">
        <v>9</v>
      </c>
      <c r="D547" s="52">
        <v>9</v>
      </c>
      <c r="E547" s="52">
        <v>7</v>
      </c>
      <c r="F547" s="52">
        <v>9</v>
      </c>
      <c r="G547" s="52">
        <v>8</v>
      </c>
      <c r="H547" s="52">
        <v>6</v>
      </c>
      <c r="I547" s="52">
        <v>48</v>
      </c>
      <c r="J547" s="105">
        <v>8</v>
      </c>
      <c r="K547" s="52"/>
    </row>
    <row r="548" spans="1:11" ht="15.75" customHeight="1" x14ac:dyDescent="0.25">
      <c r="A548" s="2">
        <v>460</v>
      </c>
      <c r="B548" s="2" t="s">
        <v>4388</v>
      </c>
      <c r="C548" s="52">
        <v>9</v>
      </c>
      <c r="D548" s="52">
        <v>13</v>
      </c>
      <c r="E548" s="52">
        <v>10</v>
      </c>
      <c r="F548" s="52">
        <v>13</v>
      </c>
      <c r="G548" s="52">
        <v>10</v>
      </c>
      <c r="H548" s="52">
        <v>3</v>
      </c>
      <c r="I548" s="52">
        <v>58</v>
      </c>
      <c r="J548" s="105">
        <v>9.6666666666666661</v>
      </c>
      <c r="K548" s="52"/>
    </row>
    <row r="549" spans="1:11" ht="15.75" customHeight="1" x14ac:dyDescent="0.25">
      <c r="A549" s="2">
        <v>461</v>
      </c>
      <c r="B549" s="2" t="s">
        <v>4389</v>
      </c>
      <c r="C549" s="52">
        <v>7</v>
      </c>
      <c r="D549" s="52">
        <v>12</v>
      </c>
      <c r="E549" s="52">
        <v>6</v>
      </c>
      <c r="F549" s="52">
        <v>4</v>
      </c>
      <c r="G549" s="52">
        <v>8</v>
      </c>
      <c r="H549" s="52">
        <v>12</v>
      </c>
      <c r="I549" s="52">
        <v>49</v>
      </c>
      <c r="J549" s="105">
        <v>8.1666666666666661</v>
      </c>
      <c r="K549" s="52"/>
    </row>
    <row r="550" spans="1:11" ht="15.75" customHeight="1" x14ac:dyDescent="0.25">
      <c r="A550" s="2">
        <v>462</v>
      </c>
      <c r="B550" s="2" t="s">
        <v>4390</v>
      </c>
      <c r="C550" s="52">
        <v>7</v>
      </c>
      <c r="D550" s="52">
        <v>7</v>
      </c>
      <c r="E550" s="52">
        <v>11</v>
      </c>
      <c r="F550" s="52">
        <v>13</v>
      </c>
      <c r="G550" s="52">
        <v>9</v>
      </c>
      <c r="H550" s="52">
        <v>6</v>
      </c>
      <c r="I550" s="52">
        <v>53</v>
      </c>
      <c r="J550" s="105">
        <v>8.8333333333333339</v>
      </c>
      <c r="K550" s="52"/>
    </row>
    <row r="551" spans="1:11" ht="15.75" customHeight="1" x14ac:dyDescent="0.25">
      <c r="A551" s="2">
        <v>463</v>
      </c>
      <c r="B551" s="2" t="s">
        <v>4391</v>
      </c>
      <c r="C551" s="52">
        <v>11</v>
      </c>
      <c r="D551" s="52">
        <v>8</v>
      </c>
      <c r="E551" s="52">
        <v>9</v>
      </c>
      <c r="F551" s="52">
        <v>8</v>
      </c>
      <c r="G551" s="52">
        <v>9</v>
      </c>
      <c r="H551" s="52">
        <v>5</v>
      </c>
      <c r="I551" s="52">
        <v>50</v>
      </c>
      <c r="J551" s="105">
        <v>8.3333333333333339</v>
      </c>
      <c r="K551" s="52"/>
    </row>
    <row r="552" spans="1:11" ht="15.75" customHeight="1" x14ac:dyDescent="0.25">
      <c r="A552" s="2">
        <v>464</v>
      </c>
      <c r="B552" s="2" t="s">
        <v>4392</v>
      </c>
      <c r="C552" s="52">
        <v>11</v>
      </c>
      <c r="D552" s="52">
        <v>14</v>
      </c>
      <c r="E552" s="52">
        <v>13</v>
      </c>
      <c r="F552" s="52">
        <v>5</v>
      </c>
      <c r="G552" s="52">
        <v>5</v>
      </c>
      <c r="H552" s="52">
        <v>4</v>
      </c>
      <c r="I552" s="52">
        <v>52</v>
      </c>
      <c r="J552" s="105">
        <v>8.6666666666666661</v>
      </c>
      <c r="K552" s="52"/>
    </row>
    <row r="553" spans="1:11" ht="15.75" customHeight="1" x14ac:dyDescent="0.25">
      <c r="A553" s="2">
        <v>465</v>
      </c>
      <c r="B553" s="2" t="s">
        <v>4393</v>
      </c>
      <c r="C553" s="52">
        <v>10</v>
      </c>
      <c r="D553" s="52">
        <v>10</v>
      </c>
      <c r="E553" s="52">
        <v>12</v>
      </c>
      <c r="F553" s="52">
        <v>11</v>
      </c>
      <c r="G553" s="52">
        <v>5</v>
      </c>
      <c r="H553" s="52">
        <v>5</v>
      </c>
      <c r="I553" s="52">
        <v>53</v>
      </c>
      <c r="J553" s="105">
        <v>8.8333333333333339</v>
      </c>
      <c r="K553" s="52"/>
    </row>
    <row r="554" spans="1:11" ht="15.75" customHeight="1" x14ac:dyDescent="0.25">
      <c r="A554" s="2">
        <v>466</v>
      </c>
      <c r="B554" s="2" t="s">
        <v>4394</v>
      </c>
      <c r="C554" s="52">
        <v>7</v>
      </c>
      <c r="D554" s="52">
        <v>12</v>
      </c>
      <c r="E554" s="52">
        <v>6</v>
      </c>
      <c r="F554" s="52">
        <v>9</v>
      </c>
      <c r="G554" s="52">
        <v>8</v>
      </c>
      <c r="H554" s="52">
        <v>9</v>
      </c>
      <c r="I554" s="52">
        <v>51</v>
      </c>
      <c r="J554" s="105">
        <v>8.5</v>
      </c>
      <c r="K554" s="52"/>
    </row>
    <row r="555" spans="1:11" ht="15.75" customHeight="1" x14ac:dyDescent="0.25">
      <c r="A555" s="2">
        <v>467</v>
      </c>
      <c r="B555" s="2" t="s">
        <v>4395</v>
      </c>
      <c r="C555" s="52">
        <v>7</v>
      </c>
      <c r="D555" s="52">
        <v>9</v>
      </c>
      <c r="E555" s="52">
        <v>6</v>
      </c>
      <c r="F555" s="52">
        <v>12</v>
      </c>
      <c r="G555" s="52">
        <v>9</v>
      </c>
      <c r="H555" s="52">
        <v>8</v>
      </c>
      <c r="I555" s="52">
        <v>51</v>
      </c>
      <c r="J555" s="105">
        <v>8.5</v>
      </c>
      <c r="K555" s="52"/>
    </row>
    <row r="556" spans="1:11" ht="15.75" customHeight="1" x14ac:dyDescent="0.25">
      <c r="A556" s="2">
        <v>468</v>
      </c>
      <c r="B556" s="2" t="s">
        <v>4396</v>
      </c>
      <c r="C556" s="52">
        <v>8</v>
      </c>
      <c r="D556" s="52">
        <v>5</v>
      </c>
      <c r="E556" s="52">
        <v>9</v>
      </c>
      <c r="F556" s="52">
        <v>12</v>
      </c>
      <c r="G556" s="52">
        <v>11</v>
      </c>
      <c r="H556" s="52">
        <v>8</v>
      </c>
      <c r="I556" s="52">
        <v>53</v>
      </c>
      <c r="J556" s="105">
        <v>8.8333333333333339</v>
      </c>
      <c r="K556" s="52"/>
    </row>
    <row r="557" spans="1:11" ht="15.75" customHeight="1" x14ac:dyDescent="0.25">
      <c r="A557" s="2">
        <v>469</v>
      </c>
      <c r="B557" s="2" t="s">
        <v>4397</v>
      </c>
      <c r="C557" s="52">
        <v>8</v>
      </c>
      <c r="D557" s="52">
        <v>7</v>
      </c>
      <c r="E557" s="52">
        <v>8</v>
      </c>
      <c r="F557" s="52">
        <v>11</v>
      </c>
      <c r="G557" s="52">
        <v>5</v>
      </c>
      <c r="H557" s="52">
        <v>9</v>
      </c>
      <c r="I557" s="52">
        <v>48</v>
      </c>
      <c r="J557" s="105">
        <v>8</v>
      </c>
      <c r="K557" s="52"/>
    </row>
    <row r="558" spans="1:11" ht="15.75" customHeight="1" x14ac:dyDescent="0.25">
      <c r="A558" s="2">
        <v>470</v>
      </c>
      <c r="B558" s="2" t="s">
        <v>4398</v>
      </c>
      <c r="C558" s="52">
        <v>6</v>
      </c>
      <c r="D558" s="52">
        <v>11</v>
      </c>
      <c r="E558" s="52">
        <v>13</v>
      </c>
      <c r="F558" s="52">
        <v>6</v>
      </c>
      <c r="G558" s="52">
        <v>6</v>
      </c>
      <c r="H558" s="52">
        <v>9</v>
      </c>
      <c r="I558" s="52">
        <v>51</v>
      </c>
      <c r="J558" s="105">
        <v>8.5</v>
      </c>
      <c r="K558" s="52"/>
    </row>
    <row r="559" spans="1:11" ht="15.75" customHeight="1" x14ac:dyDescent="0.25">
      <c r="A559" s="2">
        <v>471</v>
      </c>
      <c r="B559" s="2" t="s">
        <v>4399</v>
      </c>
      <c r="C559" s="52">
        <v>6</v>
      </c>
      <c r="D559" s="52">
        <v>6</v>
      </c>
      <c r="E559" s="52">
        <v>11</v>
      </c>
      <c r="F559" s="52">
        <v>13</v>
      </c>
      <c r="G559" s="52">
        <v>9</v>
      </c>
      <c r="H559" s="52">
        <v>6</v>
      </c>
      <c r="I559" s="52">
        <v>51</v>
      </c>
      <c r="J559" s="105">
        <v>8.5</v>
      </c>
      <c r="K559" s="52"/>
    </row>
    <row r="560" spans="1:11" ht="15.75" customHeight="1" x14ac:dyDescent="0.25">
      <c r="A560" s="2">
        <v>472</v>
      </c>
      <c r="B560" s="2" t="s">
        <v>4400</v>
      </c>
      <c r="C560" s="52">
        <v>7</v>
      </c>
      <c r="D560" s="52">
        <v>9</v>
      </c>
      <c r="E560" s="52">
        <v>12</v>
      </c>
      <c r="F560" s="52">
        <v>4</v>
      </c>
      <c r="G560" s="52">
        <v>7</v>
      </c>
      <c r="H560" s="52">
        <v>9</v>
      </c>
      <c r="I560" s="52">
        <v>48</v>
      </c>
      <c r="J560" s="105">
        <v>8</v>
      </c>
      <c r="K560" s="52"/>
    </row>
    <row r="561" spans="1:11" ht="15.75" customHeight="1" x14ac:dyDescent="0.25">
      <c r="A561" s="2">
        <v>473</v>
      </c>
      <c r="B561" s="2" t="s">
        <v>4401</v>
      </c>
      <c r="C561" s="52">
        <v>11</v>
      </c>
      <c r="D561" s="52">
        <v>13</v>
      </c>
      <c r="E561" s="52">
        <v>8</v>
      </c>
      <c r="F561" s="52">
        <v>7</v>
      </c>
      <c r="G561" s="52">
        <v>6</v>
      </c>
      <c r="H561" s="52">
        <v>8</v>
      </c>
      <c r="I561" s="52">
        <v>53</v>
      </c>
      <c r="J561" s="105">
        <v>8.8333333333333339</v>
      </c>
      <c r="K561" s="52"/>
    </row>
    <row r="562" spans="1:11" ht="15.75" customHeight="1" x14ac:dyDescent="0.25">
      <c r="A562" s="2">
        <v>474</v>
      </c>
      <c r="B562" s="2" t="s">
        <v>4402</v>
      </c>
      <c r="C562" s="52">
        <v>8</v>
      </c>
      <c r="D562" s="52">
        <v>8</v>
      </c>
      <c r="E562" s="52">
        <v>7</v>
      </c>
      <c r="F562" s="52">
        <v>13</v>
      </c>
      <c r="G562" s="52">
        <v>7</v>
      </c>
      <c r="H562" s="52">
        <v>9</v>
      </c>
      <c r="I562" s="52">
        <v>52</v>
      </c>
      <c r="J562" s="105">
        <v>8.6666666666666661</v>
      </c>
      <c r="K562" s="52"/>
    </row>
    <row r="563" spans="1:11" ht="15.75" customHeight="1" x14ac:dyDescent="0.25">
      <c r="A563" s="2">
        <v>475</v>
      </c>
      <c r="B563" s="2" t="s">
        <v>4403</v>
      </c>
      <c r="C563" s="52">
        <v>6</v>
      </c>
      <c r="D563" s="52">
        <v>12</v>
      </c>
      <c r="E563" s="52">
        <v>6</v>
      </c>
      <c r="F563" s="52">
        <v>6</v>
      </c>
      <c r="G563" s="52">
        <v>11</v>
      </c>
      <c r="H563" s="52">
        <v>8</v>
      </c>
      <c r="I563" s="52">
        <v>49</v>
      </c>
      <c r="J563" s="105">
        <v>8.1666666666666661</v>
      </c>
      <c r="K563" s="52"/>
    </row>
    <row r="564" spans="1:11" ht="15.75" customHeight="1" x14ac:dyDescent="0.25">
      <c r="A564" s="2">
        <v>475</v>
      </c>
      <c r="B564" s="2" t="s">
        <v>4404</v>
      </c>
      <c r="C564" s="52">
        <v>6</v>
      </c>
      <c r="D564" s="52">
        <v>16</v>
      </c>
      <c r="E564" s="52">
        <v>9</v>
      </c>
      <c r="F564" s="52">
        <v>6</v>
      </c>
      <c r="G564" s="52">
        <v>11</v>
      </c>
      <c r="H564" s="52">
        <v>11</v>
      </c>
      <c r="I564" s="52">
        <v>59</v>
      </c>
      <c r="J564" s="105">
        <v>9.8333333333333339</v>
      </c>
      <c r="K564" s="52"/>
    </row>
    <row r="565" spans="1:11" ht="15.75" customHeight="1" x14ac:dyDescent="0.25">
      <c r="A565" s="2">
        <v>476</v>
      </c>
      <c r="B565" s="2" t="s">
        <v>4405</v>
      </c>
      <c r="C565" s="52">
        <v>6</v>
      </c>
      <c r="D565" s="52">
        <v>5</v>
      </c>
      <c r="E565" s="52">
        <v>14</v>
      </c>
      <c r="F565" s="52">
        <v>7</v>
      </c>
      <c r="G565" s="52">
        <v>15</v>
      </c>
      <c r="H565" s="52">
        <v>4</v>
      </c>
      <c r="I565" s="52">
        <v>51</v>
      </c>
      <c r="J565" s="105">
        <v>8.5</v>
      </c>
      <c r="K565" s="52"/>
    </row>
    <row r="566" spans="1:11" ht="15.75" customHeight="1" x14ac:dyDescent="0.25">
      <c r="A566" s="2">
        <v>477</v>
      </c>
      <c r="B566" s="2" t="s">
        <v>4406</v>
      </c>
      <c r="C566" s="52">
        <v>4</v>
      </c>
      <c r="D566" s="52">
        <v>10</v>
      </c>
      <c r="E566" s="52">
        <v>13</v>
      </c>
      <c r="F566" s="52">
        <v>6</v>
      </c>
      <c r="G566" s="52">
        <v>13</v>
      </c>
      <c r="H566" s="52">
        <v>4</v>
      </c>
      <c r="I566" s="52">
        <v>50</v>
      </c>
      <c r="J566" s="105">
        <v>8.3333333333333339</v>
      </c>
      <c r="K566" s="52"/>
    </row>
    <row r="567" spans="1:11" ht="15.75" customHeight="1" x14ac:dyDescent="0.25">
      <c r="A567" s="2">
        <v>478</v>
      </c>
      <c r="B567" s="2" t="s">
        <v>4407</v>
      </c>
      <c r="C567" s="52">
        <v>7</v>
      </c>
      <c r="D567" s="52">
        <v>8</v>
      </c>
      <c r="E567" s="52">
        <v>7</v>
      </c>
      <c r="F567" s="52">
        <v>8</v>
      </c>
      <c r="G567" s="52">
        <v>7</v>
      </c>
      <c r="H567" s="52">
        <v>11</v>
      </c>
      <c r="I567" s="52">
        <v>48</v>
      </c>
      <c r="J567" s="105">
        <v>8</v>
      </c>
      <c r="K567" s="52"/>
    </row>
    <row r="568" spans="1:11" ht="15.75" customHeight="1" x14ac:dyDescent="0.25">
      <c r="A568" s="2">
        <v>479</v>
      </c>
      <c r="B568" s="2" t="s">
        <v>4408</v>
      </c>
      <c r="C568" s="52">
        <v>5</v>
      </c>
      <c r="D568" s="52">
        <v>5</v>
      </c>
      <c r="E568" s="52">
        <v>7</v>
      </c>
      <c r="F568" s="52">
        <v>9</v>
      </c>
      <c r="G568" s="52">
        <v>7</v>
      </c>
      <c r="H568" s="52">
        <v>9</v>
      </c>
      <c r="I568" s="52">
        <v>42</v>
      </c>
      <c r="J568" s="105">
        <v>7</v>
      </c>
      <c r="K568" s="52"/>
    </row>
    <row r="569" spans="1:11" ht="15.75" customHeight="1" x14ac:dyDescent="0.25">
      <c r="A569" s="2">
        <v>479</v>
      </c>
      <c r="B569" s="2" t="s">
        <v>4409</v>
      </c>
      <c r="C569" s="52">
        <v>5</v>
      </c>
      <c r="D569" s="52">
        <v>6</v>
      </c>
      <c r="E569" s="52">
        <v>10</v>
      </c>
      <c r="F569" s="52">
        <v>10</v>
      </c>
      <c r="G569" s="52">
        <v>10</v>
      </c>
      <c r="H569" s="52">
        <v>8</v>
      </c>
      <c r="I569" s="52">
        <v>49</v>
      </c>
      <c r="J569" s="105">
        <v>8.1666666666666661</v>
      </c>
      <c r="K569" s="52"/>
    </row>
    <row r="570" spans="1:11" ht="15.75" customHeight="1" x14ac:dyDescent="0.25">
      <c r="A570" s="2">
        <v>479</v>
      </c>
      <c r="B570" s="2" t="s">
        <v>4410</v>
      </c>
      <c r="C570" s="52">
        <v>5</v>
      </c>
      <c r="D570" s="52">
        <v>6</v>
      </c>
      <c r="E570" s="52">
        <v>10</v>
      </c>
      <c r="F570" s="52">
        <v>10</v>
      </c>
      <c r="G570" s="52">
        <v>10</v>
      </c>
      <c r="H570" s="52">
        <v>8</v>
      </c>
      <c r="I570" s="52">
        <v>49</v>
      </c>
      <c r="J570" s="105">
        <v>8.1666666666666661</v>
      </c>
      <c r="K570" s="52"/>
    </row>
    <row r="571" spans="1:11" ht="15.75" customHeight="1" x14ac:dyDescent="0.25">
      <c r="A571" s="2">
        <v>479</v>
      </c>
      <c r="B571" s="2" t="s">
        <v>4411</v>
      </c>
      <c r="C571" s="52">
        <v>5</v>
      </c>
      <c r="D571" s="52">
        <v>6</v>
      </c>
      <c r="E571" s="52">
        <v>10</v>
      </c>
      <c r="F571" s="52">
        <v>10</v>
      </c>
      <c r="G571" s="52">
        <v>10</v>
      </c>
      <c r="H571" s="52">
        <v>8</v>
      </c>
      <c r="I571" s="52">
        <v>49</v>
      </c>
      <c r="J571" s="105">
        <v>8.1666666666666661</v>
      </c>
      <c r="K571" s="52"/>
    </row>
    <row r="572" spans="1:11" ht="15.75" customHeight="1" x14ac:dyDescent="0.25">
      <c r="A572" s="2">
        <v>479</v>
      </c>
      <c r="B572" s="2" t="s">
        <v>4412</v>
      </c>
      <c r="C572" s="52">
        <v>5</v>
      </c>
      <c r="D572" s="52">
        <v>6</v>
      </c>
      <c r="E572" s="52">
        <v>10</v>
      </c>
      <c r="F572" s="52">
        <v>10</v>
      </c>
      <c r="G572" s="52">
        <v>10</v>
      </c>
      <c r="H572" s="52">
        <v>8</v>
      </c>
      <c r="I572" s="52">
        <v>49</v>
      </c>
      <c r="J572" s="105">
        <v>8.1666666666666661</v>
      </c>
      <c r="K572" s="52"/>
    </row>
    <row r="573" spans="1:11" ht="15.75" customHeight="1" x14ac:dyDescent="0.25">
      <c r="A573" s="2">
        <v>479</v>
      </c>
      <c r="B573" s="2" t="s">
        <v>4413</v>
      </c>
      <c r="C573" s="52">
        <v>5</v>
      </c>
      <c r="D573" s="52">
        <v>6</v>
      </c>
      <c r="E573" s="52">
        <v>10</v>
      </c>
      <c r="F573" s="52">
        <v>10</v>
      </c>
      <c r="G573" s="52">
        <v>10</v>
      </c>
      <c r="H573" s="52">
        <v>8</v>
      </c>
      <c r="I573" s="52">
        <v>49</v>
      </c>
      <c r="J573" s="105">
        <v>8.1666666666666661</v>
      </c>
      <c r="K573" s="52"/>
    </row>
    <row r="574" spans="1:11" ht="15.75" customHeight="1" x14ac:dyDescent="0.25">
      <c r="A574" s="2">
        <v>480</v>
      </c>
      <c r="B574" s="2" t="s">
        <v>4414</v>
      </c>
      <c r="C574" s="52">
        <v>7</v>
      </c>
      <c r="D574" s="52">
        <v>7</v>
      </c>
      <c r="E574" s="52">
        <v>13</v>
      </c>
      <c r="F574" s="52">
        <v>7</v>
      </c>
      <c r="G574" s="52">
        <v>13</v>
      </c>
      <c r="H574" s="52">
        <v>9</v>
      </c>
      <c r="I574" s="52">
        <v>56</v>
      </c>
      <c r="J574" s="105">
        <v>9.3333333333333339</v>
      </c>
      <c r="K574" s="52"/>
    </row>
    <row r="575" spans="1:11" ht="15.75" customHeight="1" x14ac:dyDescent="0.25">
      <c r="A575" s="2">
        <v>481</v>
      </c>
      <c r="B575" s="2" t="s">
        <v>4415</v>
      </c>
      <c r="C575" s="52">
        <v>8</v>
      </c>
      <c r="D575" s="52">
        <v>10</v>
      </c>
      <c r="E575" s="52">
        <v>10</v>
      </c>
      <c r="F575" s="52">
        <v>10</v>
      </c>
      <c r="G575" s="52">
        <v>10</v>
      </c>
      <c r="H575" s="52">
        <v>8</v>
      </c>
      <c r="I575" s="52">
        <v>56</v>
      </c>
      <c r="J575" s="105">
        <v>9.3333333333333339</v>
      </c>
      <c r="K575" s="52"/>
    </row>
    <row r="576" spans="1:11" ht="15.75" customHeight="1" x14ac:dyDescent="0.25">
      <c r="A576" s="2">
        <v>482</v>
      </c>
      <c r="B576" s="2" t="s">
        <v>4416</v>
      </c>
      <c r="C576" s="52">
        <v>7</v>
      </c>
      <c r="D576" s="52">
        <v>12</v>
      </c>
      <c r="E576" s="52">
        <v>7</v>
      </c>
      <c r="F576" s="52">
        <v>12</v>
      </c>
      <c r="G576" s="52">
        <v>7</v>
      </c>
      <c r="H576" s="52">
        <v>11</v>
      </c>
      <c r="I576" s="52">
        <v>56</v>
      </c>
      <c r="J576" s="105">
        <v>9.3333333333333339</v>
      </c>
      <c r="K576" s="52"/>
    </row>
    <row r="577" spans="1:11" ht="15.75" customHeight="1" x14ac:dyDescent="0.25">
      <c r="A577" s="2">
        <v>483</v>
      </c>
      <c r="B577" s="2" t="s">
        <v>4417</v>
      </c>
      <c r="C577" s="52">
        <v>10</v>
      </c>
      <c r="D577" s="52">
        <v>12</v>
      </c>
      <c r="E577" s="52">
        <v>12</v>
      </c>
      <c r="F577" s="52">
        <v>15</v>
      </c>
      <c r="G577" s="52">
        <v>10</v>
      </c>
      <c r="H577" s="52">
        <v>9</v>
      </c>
      <c r="I577" s="52">
        <v>68</v>
      </c>
      <c r="J577" s="105">
        <v>11.333333333333334</v>
      </c>
      <c r="K577" s="52"/>
    </row>
    <row r="578" spans="1:11" ht="15.75" customHeight="1" x14ac:dyDescent="0.25">
      <c r="A578" s="2">
        <v>484</v>
      </c>
      <c r="B578" s="2" t="s">
        <v>4418</v>
      </c>
      <c r="C578" s="52">
        <v>9</v>
      </c>
      <c r="D578" s="52">
        <v>12</v>
      </c>
      <c r="E578" s="52">
        <v>10</v>
      </c>
      <c r="F578" s="52">
        <v>15</v>
      </c>
      <c r="G578" s="52">
        <v>12</v>
      </c>
      <c r="H578" s="52">
        <v>10</v>
      </c>
      <c r="I578" s="52">
        <v>68</v>
      </c>
      <c r="J578" s="105">
        <v>11.333333333333334</v>
      </c>
      <c r="K578" s="52"/>
    </row>
    <row r="579" spans="1:11" ht="15.75" customHeight="1" x14ac:dyDescent="0.25">
      <c r="A579" s="2">
        <v>485</v>
      </c>
      <c r="B579" s="2" t="s">
        <v>4419</v>
      </c>
      <c r="C579" s="52">
        <v>9</v>
      </c>
      <c r="D579" s="52">
        <v>9</v>
      </c>
      <c r="E579" s="52">
        <v>10</v>
      </c>
      <c r="F579" s="52">
        <v>13</v>
      </c>
      <c r="G579" s="52">
        <v>10</v>
      </c>
      <c r="H579" s="52">
        <v>7</v>
      </c>
      <c r="I579" s="52">
        <v>58</v>
      </c>
      <c r="J579" s="105">
        <v>9.6666666666666661</v>
      </c>
      <c r="K579" s="52"/>
    </row>
    <row r="580" spans="1:11" ht="15.75" customHeight="1" x14ac:dyDescent="0.25">
      <c r="A580" s="2">
        <v>486</v>
      </c>
      <c r="B580" s="2" t="s">
        <v>4420</v>
      </c>
      <c r="C580" s="52">
        <v>11</v>
      </c>
      <c r="D580" s="52">
        <v>16</v>
      </c>
      <c r="E580" s="52">
        <v>11</v>
      </c>
      <c r="F580" s="52">
        <v>8</v>
      </c>
      <c r="G580" s="52">
        <v>11</v>
      </c>
      <c r="H580" s="52">
        <v>10</v>
      </c>
      <c r="I580" s="52">
        <v>67</v>
      </c>
      <c r="J580" s="105">
        <v>11.166666666666666</v>
      </c>
      <c r="K580" s="52"/>
    </row>
    <row r="581" spans="1:11" ht="15.75" customHeight="1" x14ac:dyDescent="0.25">
      <c r="A581" s="2">
        <v>487</v>
      </c>
      <c r="B581" s="2" t="s">
        <v>4421</v>
      </c>
      <c r="C581" s="52">
        <v>15</v>
      </c>
      <c r="D581" s="52">
        <v>10</v>
      </c>
      <c r="E581" s="52">
        <v>12</v>
      </c>
      <c r="F581" s="52">
        <v>10</v>
      </c>
      <c r="G581" s="52">
        <v>12</v>
      </c>
      <c r="H581" s="52">
        <v>9</v>
      </c>
      <c r="I581" s="52">
        <v>68</v>
      </c>
      <c r="J581" s="105">
        <v>11.333333333333334</v>
      </c>
      <c r="K581" s="52"/>
    </row>
    <row r="582" spans="1:11" ht="15.75" customHeight="1" x14ac:dyDescent="0.25">
      <c r="A582" s="2">
        <v>487</v>
      </c>
      <c r="B582" s="2" t="s">
        <v>4422</v>
      </c>
      <c r="C582" s="52">
        <v>15</v>
      </c>
      <c r="D582" s="52">
        <v>12</v>
      </c>
      <c r="E582" s="52">
        <v>10</v>
      </c>
      <c r="F582" s="52">
        <v>12</v>
      </c>
      <c r="G582" s="52">
        <v>10</v>
      </c>
      <c r="H582" s="52">
        <v>9</v>
      </c>
      <c r="I582" s="52">
        <v>68</v>
      </c>
      <c r="J582" s="105">
        <v>11.333333333333334</v>
      </c>
      <c r="K582" s="52"/>
    </row>
    <row r="583" spans="1:11" ht="15.75" customHeight="1" x14ac:dyDescent="0.25">
      <c r="A583" s="2">
        <v>488</v>
      </c>
      <c r="B583" s="2" t="s">
        <v>4423</v>
      </c>
      <c r="C583" s="52">
        <v>12</v>
      </c>
      <c r="D583" s="52">
        <v>7</v>
      </c>
      <c r="E583" s="52">
        <v>12</v>
      </c>
      <c r="F583" s="52">
        <v>7</v>
      </c>
      <c r="G583" s="52">
        <v>13</v>
      </c>
      <c r="H583" s="52">
        <v>8</v>
      </c>
      <c r="I583" s="52">
        <v>59</v>
      </c>
      <c r="J583" s="105">
        <v>9.8333333333333339</v>
      </c>
      <c r="K583" s="52"/>
    </row>
    <row r="584" spans="1:11" ht="15.75" customHeight="1" x14ac:dyDescent="0.25">
      <c r="A584" s="2">
        <v>489</v>
      </c>
      <c r="B584" s="2" t="s">
        <v>4424</v>
      </c>
      <c r="C584" s="52">
        <v>8</v>
      </c>
      <c r="D584" s="52">
        <v>8</v>
      </c>
      <c r="E584" s="52">
        <v>8</v>
      </c>
      <c r="F584" s="52">
        <v>8</v>
      </c>
      <c r="G584" s="52">
        <v>8</v>
      </c>
      <c r="H584" s="52">
        <v>8</v>
      </c>
      <c r="I584" s="52">
        <v>48</v>
      </c>
      <c r="J584" s="105">
        <v>8</v>
      </c>
      <c r="K584" s="52"/>
    </row>
    <row r="585" spans="1:11" ht="15.75" customHeight="1" x14ac:dyDescent="0.25">
      <c r="A585" s="2">
        <v>490</v>
      </c>
      <c r="B585" s="2" t="s">
        <v>4425</v>
      </c>
      <c r="C585" s="52">
        <v>10</v>
      </c>
      <c r="D585" s="52">
        <v>10</v>
      </c>
      <c r="E585" s="52">
        <v>10</v>
      </c>
      <c r="F585" s="52">
        <v>10</v>
      </c>
      <c r="G585" s="52">
        <v>10</v>
      </c>
      <c r="H585" s="52">
        <v>10</v>
      </c>
      <c r="I585" s="52">
        <v>60</v>
      </c>
      <c r="J585" s="105">
        <v>10</v>
      </c>
      <c r="K585" s="52"/>
    </row>
    <row r="586" spans="1:11" ht="15.75" customHeight="1" x14ac:dyDescent="0.25">
      <c r="A586" s="2">
        <v>491</v>
      </c>
      <c r="B586" s="2" t="s">
        <v>4426</v>
      </c>
      <c r="C586" s="52">
        <v>7</v>
      </c>
      <c r="D586" s="52">
        <v>9</v>
      </c>
      <c r="E586" s="52">
        <v>9</v>
      </c>
      <c r="F586" s="52">
        <v>13</v>
      </c>
      <c r="G586" s="52">
        <v>9</v>
      </c>
      <c r="H586" s="52">
        <v>12</v>
      </c>
      <c r="I586" s="52">
        <v>59</v>
      </c>
      <c r="J586" s="105">
        <v>9.8333333333333339</v>
      </c>
      <c r="K586" s="52"/>
    </row>
    <row r="587" spans="1:11" ht="15.75" customHeight="1" x14ac:dyDescent="0.25">
      <c r="A587" s="2">
        <v>492</v>
      </c>
      <c r="B587" s="2" t="s">
        <v>4427</v>
      </c>
      <c r="C587" s="52">
        <v>10</v>
      </c>
      <c r="D587" s="52">
        <v>10</v>
      </c>
      <c r="E587" s="52">
        <v>10</v>
      </c>
      <c r="F587" s="52">
        <v>10</v>
      </c>
      <c r="G587" s="52">
        <v>10</v>
      </c>
      <c r="H587" s="52">
        <v>10</v>
      </c>
      <c r="I587" s="52">
        <v>60</v>
      </c>
      <c r="J587" s="105">
        <v>10</v>
      </c>
      <c r="K587" s="52"/>
    </row>
    <row r="588" spans="1:11" ht="15.75" customHeight="1" x14ac:dyDescent="0.25">
      <c r="A588" s="2">
        <v>492</v>
      </c>
      <c r="B588" s="2" t="s">
        <v>4428</v>
      </c>
      <c r="C588" s="52">
        <v>10</v>
      </c>
      <c r="D588" s="52">
        <v>10</v>
      </c>
      <c r="E588" s="52">
        <v>7</v>
      </c>
      <c r="F588" s="52">
        <v>12</v>
      </c>
      <c r="G588" s="52">
        <v>7</v>
      </c>
      <c r="H588" s="52">
        <v>12</v>
      </c>
      <c r="I588" s="52">
        <v>58</v>
      </c>
      <c r="J588" s="105">
        <v>9.6666666666666661</v>
      </c>
      <c r="K588" s="52"/>
    </row>
    <row r="589" spans="1:11" ht="15.75" customHeight="1" x14ac:dyDescent="0.25">
      <c r="A589" s="2">
        <v>493</v>
      </c>
      <c r="B589" s="2" t="s">
        <v>4429</v>
      </c>
      <c r="C589" s="52">
        <v>12</v>
      </c>
      <c r="D589" s="52">
        <v>12</v>
      </c>
      <c r="E589" s="52">
        <v>12</v>
      </c>
      <c r="F589" s="52">
        <v>12</v>
      </c>
      <c r="G589" s="52">
        <v>12</v>
      </c>
      <c r="H589" s="52">
        <v>12</v>
      </c>
      <c r="I589" s="52">
        <v>72</v>
      </c>
      <c r="J589" s="105">
        <v>12</v>
      </c>
      <c r="K589" s="52"/>
    </row>
    <row r="590" spans="1:11" ht="15.75" customHeight="1" x14ac:dyDescent="0.25">
      <c r="A590" s="2">
        <v>494</v>
      </c>
      <c r="B590" s="2" t="s">
        <v>4430</v>
      </c>
      <c r="C590" s="52">
        <v>10</v>
      </c>
      <c r="D590" s="52">
        <v>10</v>
      </c>
      <c r="E590" s="52">
        <v>10</v>
      </c>
      <c r="F590" s="52">
        <v>10</v>
      </c>
      <c r="G590" s="52">
        <v>10</v>
      </c>
      <c r="H590" s="52">
        <v>10</v>
      </c>
      <c r="I590" s="52">
        <v>60</v>
      </c>
      <c r="J590" s="105">
        <v>10</v>
      </c>
      <c r="K590" s="52"/>
    </row>
    <row r="591" spans="1:11" ht="15.75" customHeight="1" x14ac:dyDescent="0.25">
      <c r="A591" s="2">
        <v>495</v>
      </c>
      <c r="B591" s="2" t="s">
        <v>4431</v>
      </c>
      <c r="C591" s="52">
        <v>4</v>
      </c>
      <c r="D591" s="52">
        <v>4</v>
      </c>
      <c r="E591" s="52">
        <v>5</v>
      </c>
      <c r="F591" s="52">
        <v>4</v>
      </c>
      <c r="G591" s="52">
        <v>5</v>
      </c>
      <c r="H591" s="52">
        <v>6</v>
      </c>
      <c r="I591" s="52">
        <v>28</v>
      </c>
      <c r="J591" s="105">
        <v>4.666666666666667</v>
      </c>
      <c r="K591" s="52"/>
    </row>
    <row r="592" spans="1:11" ht="15.75" customHeight="1" x14ac:dyDescent="0.25">
      <c r="A592" s="2">
        <v>496</v>
      </c>
      <c r="B592" s="2" t="s">
        <v>4432</v>
      </c>
      <c r="C592" s="52">
        <v>6</v>
      </c>
      <c r="D592" s="52">
        <v>6</v>
      </c>
      <c r="E592" s="52">
        <v>7</v>
      </c>
      <c r="F592" s="52">
        <v>6</v>
      </c>
      <c r="G592" s="52">
        <v>7</v>
      </c>
      <c r="H592" s="52">
        <v>8</v>
      </c>
      <c r="I592" s="52">
        <v>40</v>
      </c>
      <c r="J592" s="105">
        <v>6.666666666666667</v>
      </c>
      <c r="K592" s="52"/>
    </row>
    <row r="593" spans="1:11" ht="15.75" customHeight="1" x14ac:dyDescent="0.25">
      <c r="A593" s="2">
        <v>497</v>
      </c>
      <c r="B593" s="2" t="s">
        <v>4433</v>
      </c>
      <c r="C593" s="52">
        <v>7</v>
      </c>
      <c r="D593" s="52">
        <v>7</v>
      </c>
      <c r="E593" s="52">
        <v>9</v>
      </c>
      <c r="F593" s="52">
        <v>7</v>
      </c>
      <c r="G593" s="52">
        <v>9</v>
      </c>
      <c r="H593" s="52">
        <v>11</v>
      </c>
      <c r="I593" s="52">
        <v>50</v>
      </c>
      <c r="J593" s="105">
        <v>8.3333333333333339</v>
      </c>
      <c r="K593" s="52"/>
    </row>
    <row r="594" spans="1:11" ht="15.75" customHeight="1" x14ac:dyDescent="0.25">
      <c r="A594" s="2">
        <v>498</v>
      </c>
      <c r="B594" s="2" t="s">
        <v>4434</v>
      </c>
      <c r="C594" s="52">
        <v>6</v>
      </c>
      <c r="D594" s="52">
        <v>6</v>
      </c>
      <c r="E594" s="52">
        <v>4</v>
      </c>
      <c r="F594" s="52">
        <v>4</v>
      </c>
      <c r="G594" s="52">
        <v>4</v>
      </c>
      <c r="H594" s="52">
        <v>4</v>
      </c>
      <c r="I594" s="52">
        <v>28</v>
      </c>
      <c r="J594" s="105">
        <v>4.666666666666667</v>
      </c>
      <c r="K594" s="52"/>
    </row>
    <row r="595" spans="1:11" ht="15.75" customHeight="1" x14ac:dyDescent="0.25">
      <c r="A595" s="2">
        <v>499</v>
      </c>
      <c r="B595" s="2" t="s">
        <v>4435</v>
      </c>
      <c r="C595" s="52">
        <v>9</v>
      </c>
      <c r="D595" s="52">
        <v>9</v>
      </c>
      <c r="E595" s="52">
        <v>5</v>
      </c>
      <c r="F595" s="52">
        <v>7</v>
      </c>
      <c r="G595" s="52">
        <v>5</v>
      </c>
      <c r="H595" s="52">
        <v>5</v>
      </c>
      <c r="I595" s="52">
        <v>40</v>
      </c>
      <c r="J595" s="105">
        <v>6.666666666666667</v>
      </c>
      <c r="K595" s="52"/>
    </row>
    <row r="596" spans="1:11" ht="15.75" customHeight="1" x14ac:dyDescent="0.25">
      <c r="A596" s="2">
        <v>500</v>
      </c>
      <c r="B596" s="2" t="s">
        <v>4436</v>
      </c>
      <c r="C596" s="52">
        <v>11</v>
      </c>
      <c r="D596" s="52">
        <v>12</v>
      </c>
      <c r="E596" s="52">
        <v>6</v>
      </c>
      <c r="F596" s="52">
        <v>10</v>
      </c>
      <c r="G596" s="52">
        <v>6</v>
      </c>
      <c r="H596" s="52">
        <v>6</v>
      </c>
      <c r="I596" s="52">
        <v>51</v>
      </c>
      <c r="J596" s="105">
        <v>8.5</v>
      </c>
      <c r="K596" s="52"/>
    </row>
    <row r="597" spans="1:11" ht="15.75" customHeight="1" x14ac:dyDescent="0.25">
      <c r="A597" s="2">
        <v>501</v>
      </c>
      <c r="B597" s="2" t="s">
        <v>4437</v>
      </c>
      <c r="C597" s="52">
        <v>5</v>
      </c>
      <c r="D597" s="52">
        <v>5</v>
      </c>
      <c r="E597" s="52">
        <v>4</v>
      </c>
      <c r="F597" s="52">
        <v>6</v>
      </c>
      <c r="G597" s="52">
        <v>4</v>
      </c>
      <c r="H597" s="52">
        <v>4</v>
      </c>
      <c r="I597" s="52">
        <v>28</v>
      </c>
      <c r="J597" s="105">
        <v>4.666666666666667</v>
      </c>
      <c r="K597" s="52"/>
    </row>
    <row r="598" spans="1:11" ht="15.75" customHeight="1" x14ac:dyDescent="0.25">
      <c r="A598" s="2">
        <v>502</v>
      </c>
      <c r="B598" s="2" t="s">
        <v>4438</v>
      </c>
      <c r="C598" s="52">
        <v>7</v>
      </c>
      <c r="D598" s="52">
        <v>7</v>
      </c>
      <c r="E598" s="52">
        <v>6</v>
      </c>
      <c r="F598" s="52">
        <v>8</v>
      </c>
      <c r="G598" s="52">
        <v>6</v>
      </c>
      <c r="H598" s="52">
        <v>6</v>
      </c>
      <c r="I598" s="52">
        <v>40</v>
      </c>
      <c r="J598" s="105">
        <v>6.666666666666667</v>
      </c>
      <c r="K598" s="52"/>
    </row>
    <row r="599" spans="1:11" ht="15.75" customHeight="1" x14ac:dyDescent="0.25">
      <c r="A599" s="2">
        <v>503</v>
      </c>
      <c r="B599" s="2" t="s">
        <v>4439</v>
      </c>
      <c r="C599" s="52">
        <v>9</v>
      </c>
      <c r="D599" s="52">
        <v>10</v>
      </c>
      <c r="E599" s="52">
        <v>8</v>
      </c>
      <c r="F599" s="52">
        <v>10</v>
      </c>
      <c r="G599" s="52">
        <v>7</v>
      </c>
      <c r="H599" s="52">
        <v>7</v>
      </c>
      <c r="I599" s="52">
        <v>51</v>
      </c>
      <c r="J599" s="105">
        <v>8.5</v>
      </c>
      <c r="K599" s="52"/>
    </row>
    <row r="600" spans="1:11" ht="15.75" customHeight="1" x14ac:dyDescent="0.25">
      <c r="A600" s="2">
        <v>504</v>
      </c>
      <c r="B600" s="2" t="s">
        <v>4440</v>
      </c>
      <c r="C600" s="52">
        <v>4</v>
      </c>
      <c r="D600" s="52">
        <v>5</v>
      </c>
      <c r="E600" s="52">
        <v>3</v>
      </c>
      <c r="F600" s="52">
        <v>3</v>
      </c>
      <c r="G600" s="52">
        <v>3</v>
      </c>
      <c r="H600" s="52">
        <v>4</v>
      </c>
      <c r="I600" s="52">
        <v>22</v>
      </c>
      <c r="J600" s="105">
        <v>3.6666666666666665</v>
      </c>
      <c r="K600" s="52"/>
    </row>
    <row r="601" spans="1:11" ht="15.75" customHeight="1" x14ac:dyDescent="0.25">
      <c r="A601" s="2">
        <v>505</v>
      </c>
      <c r="B601" s="2" t="s">
        <v>4441</v>
      </c>
      <c r="C601" s="52">
        <v>6</v>
      </c>
      <c r="D601" s="52">
        <v>8</v>
      </c>
      <c r="E601" s="52">
        <v>6</v>
      </c>
      <c r="F601" s="52">
        <v>6</v>
      </c>
      <c r="G601" s="52">
        <v>6</v>
      </c>
      <c r="H601" s="52">
        <v>7</v>
      </c>
      <c r="I601" s="52">
        <v>39</v>
      </c>
      <c r="J601" s="105">
        <v>6.5</v>
      </c>
      <c r="K601" s="52"/>
    </row>
    <row r="602" spans="1:11" ht="15.75" customHeight="1" x14ac:dyDescent="0.25">
      <c r="A602" s="2">
        <v>506</v>
      </c>
      <c r="B602" s="2" t="s">
        <v>4442</v>
      </c>
      <c r="C602" s="52">
        <v>4</v>
      </c>
      <c r="D602" s="52">
        <v>6</v>
      </c>
      <c r="E602" s="52">
        <v>4</v>
      </c>
      <c r="F602" s="52">
        <v>2</v>
      </c>
      <c r="G602" s="52">
        <v>4</v>
      </c>
      <c r="H602" s="52">
        <v>5</v>
      </c>
      <c r="I602" s="52">
        <v>25</v>
      </c>
      <c r="J602" s="105">
        <v>4.166666666666667</v>
      </c>
      <c r="K602" s="52"/>
    </row>
    <row r="603" spans="1:11" ht="15.75" customHeight="1" x14ac:dyDescent="0.25">
      <c r="A603" s="2">
        <v>507</v>
      </c>
      <c r="B603" s="2" t="s">
        <v>4443</v>
      </c>
      <c r="C603" s="52">
        <v>6</v>
      </c>
      <c r="D603" s="52">
        <v>8</v>
      </c>
      <c r="E603" s="52">
        <v>6</v>
      </c>
      <c r="F603" s="52">
        <v>3</v>
      </c>
      <c r="G603" s="52">
        <v>6</v>
      </c>
      <c r="H603" s="52">
        <v>6</v>
      </c>
      <c r="I603" s="52">
        <v>35</v>
      </c>
      <c r="J603" s="105">
        <v>5.833333333333333</v>
      </c>
      <c r="K603" s="52"/>
    </row>
    <row r="604" spans="1:11" ht="15.75" customHeight="1" x14ac:dyDescent="0.25">
      <c r="A604" s="2">
        <v>508</v>
      </c>
      <c r="B604" s="2" t="s">
        <v>4444</v>
      </c>
      <c r="C604" s="52">
        <v>8</v>
      </c>
      <c r="D604" s="52">
        <v>11</v>
      </c>
      <c r="E604" s="52">
        <v>9</v>
      </c>
      <c r="F604" s="52">
        <v>4</v>
      </c>
      <c r="G604" s="52">
        <v>9</v>
      </c>
      <c r="H604" s="52">
        <v>8</v>
      </c>
      <c r="I604" s="52">
        <v>49</v>
      </c>
      <c r="J604" s="105">
        <v>8.1666666666666661</v>
      </c>
      <c r="K604" s="52"/>
    </row>
    <row r="605" spans="1:11" ht="15.75" customHeight="1" x14ac:dyDescent="0.25">
      <c r="A605" s="2">
        <v>509</v>
      </c>
      <c r="B605" s="2" t="s">
        <v>4445</v>
      </c>
      <c r="C605" s="52">
        <v>4</v>
      </c>
      <c r="D605" s="52">
        <v>5</v>
      </c>
      <c r="E605" s="52">
        <v>3</v>
      </c>
      <c r="F605" s="52">
        <v>5</v>
      </c>
      <c r="G605" s="52">
        <v>3</v>
      </c>
      <c r="H605" s="52">
        <v>6</v>
      </c>
      <c r="I605" s="52">
        <v>26</v>
      </c>
      <c r="J605" s="105">
        <v>4.333333333333333</v>
      </c>
      <c r="K605" s="52"/>
    </row>
    <row r="606" spans="1:11" ht="15.75" customHeight="1" x14ac:dyDescent="0.25">
      <c r="A606" s="2">
        <v>510</v>
      </c>
      <c r="B606" s="2" t="s">
        <v>4446</v>
      </c>
      <c r="C606" s="52">
        <v>6</v>
      </c>
      <c r="D606" s="52">
        <v>8</v>
      </c>
      <c r="E606" s="52">
        <v>5</v>
      </c>
      <c r="F606" s="52">
        <v>8</v>
      </c>
      <c r="G606" s="52">
        <v>5</v>
      </c>
      <c r="H606" s="52">
        <v>10</v>
      </c>
      <c r="I606" s="52">
        <v>42</v>
      </c>
      <c r="J606" s="105">
        <v>7</v>
      </c>
      <c r="K606" s="52"/>
    </row>
    <row r="607" spans="1:11" ht="15.75" customHeight="1" x14ac:dyDescent="0.25">
      <c r="A607" s="2">
        <v>511</v>
      </c>
      <c r="B607" s="2" t="s">
        <v>4447</v>
      </c>
      <c r="C607" s="52">
        <v>5</v>
      </c>
      <c r="D607" s="52">
        <v>5</v>
      </c>
      <c r="E607" s="52">
        <v>4</v>
      </c>
      <c r="F607" s="52">
        <v>5</v>
      </c>
      <c r="G607" s="52">
        <v>4</v>
      </c>
      <c r="H607" s="52">
        <v>6</v>
      </c>
      <c r="I607" s="52">
        <v>29</v>
      </c>
      <c r="J607" s="105">
        <v>4.833333333333333</v>
      </c>
      <c r="K607" s="52"/>
    </row>
    <row r="608" spans="1:11" ht="15.75" customHeight="1" x14ac:dyDescent="0.25">
      <c r="A608" s="2">
        <v>512</v>
      </c>
      <c r="B608" s="2" t="s">
        <v>4448</v>
      </c>
      <c r="C608" s="52">
        <v>7</v>
      </c>
      <c r="D608" s="52">
        <v>9</v>
      </c>
      <c r="E608" s="52">
        <v>6</v>
      </c>
      <c r="F608" s="52">
        <v>9</v>
      </c>
      <c r="G608" s="52">
        <v>6</v>
      </c>
      <c r="H608" s="52">
        <v>10</v>
      </c>
      <c r="I608" s="52">
        <v>47</v>
      </c>
      <c r="J608" s="105">
        <v>7.833333333333333</v>
      </c>
      <c r="K608" s="52"/>
    </row>
    <row r="609" spans="1:11" ht="15.75" customHeight="1" x14ac:dyDescent="0.25">
      <c r="A609" s="2">
        <v>513</v>
      </c>
      <c r="B609" s="2" t="s">
        <v>4449</v>
      </c>
      <c r="C609" s="52">
        <v>5</v>
      </c>
      <c r="D609" s="52">
        <v>5</v>
      </c>
      <c r="E609" s="52">
        <v>4</v>
      </c>
      <c r="F609" s="52">
        <v>5</v>
      </c>
      <c r="G609" s="52">
        <v>4</v>
      </c>
      <c r="H609" s="52">
        <v>6</v>
      </c>
      <c r="I609" s="52">
        <v>29</v>
      </c>
      <c r="J609" s="105">
        <v>4.833333333333333</v>
      </c>
      <c r="K609" s="52"/>
    </row>
    <row r="610" spans="1:11" ht="15.75" customHeight="1" x14ac:dyDescent="0.25">
      <c r="A610" s="2">
        <v>514</v>
      </c>
      <c r="B610" s="2" t="s">
        <v>4450</v>
      </c>
      <c r="C610" s="52">
        <v>7</v>
      </c>
      <c r="D610" s="52">
        <v>9</v>
      </c>
      <c r="E610" s="52">
        <v>6</v>
      </c>
      <c r="F610" s="52">
        <v>9</v>
      </c>
      <c r="G610" s="52">
        <v>6</v>
      </c>
      <c r="H610" s="52">
        <v>10</v>
      </c>
      <c r="I610" s="52">
        <v>47</v>
      </c>
      <c r="J610" s="105">
        <v>7.833333333333333</v>
      </c>
      <c r="K610" s="52"/>
    </row>
    <row r="611" spans="1:11" ht="15.75" customHeight="1" x14ac:dyDescent="0.25">
      <c r="A611" s="2">
        <v>515</v>
      </c>
      <c r="B611" s="2" t="s">
        <v>4451</v>
      </c>
      <c r="C611" s="52">
        <v>5</v>
      </c>
      <c r="D611" s="52">
        <v>5</v>
      </c>
      <c r="E611" s="52">
        <v>4</v>
      </c>
      <c r="F611" s="52">
        <v>5</v>
      </c>
      <c r="G611" s="52">
        <v>4</v>
      </c>
      <c r="H611" s="52">
        <v>6</v>
      </c>
      <c r="I611" s="52">
        <v>29</v>
      </c>
      <c r="J611" s="105">
        <v>4.833333333333333</v>
      </c>
      <c r="K611" s="52"/>
    </row>
    <row r="612" spans="1:11" ht="15.75" customHeight="1" x14ac:dyDescent="0.25">
      <c r="A612" s="2">
        <v>516</v>
      </c>
      <c r="B612" s="2" t="s">
        <v>4452</v>
      </c>
      <c r="C612" s="52">
        <v>7</v>
      </c>
      <c r="D612" s="52">
        <v>9</v>
      </c>
      <c r="E612" s="52">
        <v>6</v>
      </c>
      <c r="F612" s="52">
        <v>9</v>
      </c>
      <c r="G612" s="52">
        <v>6</v>
      </c>
      <c r="H612" s="52">
        <v>10</v>
      </c>
      <c r="I612" s="52">
        <v>47</v>
      </c>
      <c r="J612" s="105">
        <v>7.833333333333333</v>
      </c>
      <c r="K612" s="52"/>
    </row>
    <row r="613" spans="1:11" ht="15.75" customHeight="1" x14ac:dyDescent="0.25">
      <c r="A613" s="2">
        <v>517</v>
      </c>
      <c r="B613" s="2" t="s">
        <v>4453</v>
      </c>
      <c r="C613" s="52">
        <v>7</v>
      </c>
      <c r="D613" s="52">
        <v>2</v>
      </c>
      <c r="E613" s="52">
        <v>4</v>
      </c>
      <c r="F613" s="52">
        <v>6</v>
      </c>
      <c r="G613" s="52">
        <v>5</v>
      </c>
      <c r="H613" s="52">
        <v>2</v>
      </c>
      <c r="I613" s="52">
        <v>26</v>
      </c>
      <c r="J613" s="105">
        <v>4.333333333333333</v>
      </c>
      <c r="K613" s="52"/>
    </row>
    <row r="614" spans="1:11" ht="15.75" customHeight="1" x14ac:dyDescent="0.25">
      <c r="A614" s="2">
        <v>518</v>
      </c>
      <c r="B614" s="2" t="s">
        <v>4454</v>
      </c>
      <c r="C614" s="52">
        <v>11</v>
      </c>
      <c r="D614" s="52">
        <v>5</v>
      </c>
      <c r="E614" s="52">
        <v>8</v>
      </c>
      <c r="F614" s="52">
        <v>10</v>
      </c>
      <c r="G614" s="52">
        <v>9</v>
      </c>
      <c r="H614" s="52">
        <v>2</v>
      </c>
      <c r="I614" s="52">
        <v>45</v>
      </c>
      <c r="J614" s="105">
        <v>7.5</v>
      </c>
      <c r="K614" s="52"/>
    </row>
    <row r="615" spans="1:11" ht="15.75" customHeight="1" x14ac:dyDescent="0.25">
      <c r="A615" s="2">
        <v>519</v>
      </c>
      <c r="B615" s="2" t="s">
        <v>4455</v>
      </c>
      <c r="C615" s="52">
        <v>5</v>
      </c>
      <c r="D615" s="52">
        <v>5</v>
      </c>
      <c r="E615" s="52">
        <v>5</v>
      </c>
      <c r="F615" s="52">
        <v>3</v>
      </c>
      <c r="G615" s="52">
        <v>3</v>
      </c>
      <c r="H615" s="52">
        <v>4</v>
      </c>
      <c r="I615" s="52">
        <v>25</v>
      </c>
      <c r="J615" s="105">
        <v>4.166666666666667</v>
      </c>
      <c r="K615" s="52"/>
    </row>
    <row r="616" spans="1:11" ht="15.75" customHeight="1" x14ac:dyDescent="0.25">
      <c r="A616" s="2">
        <v>520</v>
      </c>
      <c r="B616" s="2" t="s">
        <v>4456</v>
      </c>
      <c r="C616" s="52">
        <v>6</v>
      </c>
      <c r="D616" s="52">
        <v>7</v>
      </c>
      <c r="E616" s="52">
        <v>6</v>
      </c>
      <c r="F616" s="52">
        <v>5</v>
      </c>
      <c r="G616" s="52">
        <v>4</v>
      </c>
      <c r="H616" s="52">
        <v>6</v>
      </c>
      <c r="I616" s="52">
        <v>34</v>
      </c>
      <c r="J616" s="105">
        <v>5.666666666666667</v>
      </c>
      <c r="K616" s="52"/>
    </row>
    <row r="617" spans="1:11" ht="15.75" customHeight="1" x14ac:dyDescent="0.25">
      <c r="A617" s="2">
        <v>521</v>
      </c>
      <c r="B617" s="2" t="s">
        <v>4457</v>
      </c>
      <c r="C617" s="52">
        <v>8</v>
      </c>
      <c r="D617" s="52">
        <v>11</v>
      </c>
      <c r="E617" s="52">
        <v>8</v>
      </c>
      <c r="F617" s="52">
        <v>6</v>
      </c>
      <c r="G617" s="52">
        <v>5</v>
      </c>
      <c r="H617" s="52">
        <v>9</v>
      </c>
      <c r="I617" s="52">
        <v>47</v>
      </c>
      <c r="J617" s="105">
        <v>7.833333333333333</v>
      </c>
      <c r="K617" s="52"/>
    </row>
    <row r="618" spans="1:11" ht="15.75" customHeight="1" x14ac:dyDescent="0.25">
      <c r="A618" s="2">
        <v>522</v>
      </c>
      <c r="B618" s="2" t="s">
        <v>4458</v>
      </c>
      <c r="C618" s="52">
        <v>4</v>
      </c>
      <c r="D618" s="52">
        <v>6</v>
      </c>
      <c r="E618" s="52">
        <v>3</v>
      </c>
      <c r="F618" s="52">
        <v>5</v>
      </c>
      <c r="G618" s="52">
        <v>3</v>
      </c>
      <c r="H618" s="52">
        <v>7</v>
      </c>
      <c r="I618" s="52">
        <v>28</v>
      </c>
      <c r="J618" s="105">
        <v>4.666666666666667</v>
      </c>
      <c r="K618" s="52"/>
    </row>
    <row r="619" spans="1:11" ht="15.75" customHeight="1" x14ac:dyDescent="0.25">
      <c r="A619" s="2">
        <v>523</v>
      </c>
      <c r="B619" s="2" t="s">
        <v>4459</v>
      </c>
      <c r="C619" s="52">
        <v>7</v>
      </c>
      <c r="D619" s="52">
        <v>10</v>
      </c>
      <c r="E619" s="52">
        <v>6</v>
      </c>
      <c r="F619" s="52">
        <v>8</v>
      </c>
      <c r="G619" s="52">
        <v>6</v>
      </c>
      <c r="H619" s="52">
        <v>11</v>
      </c>
      <c r="I619" s="52">
        <v>48</v>
      </c>
      <c r="J619" s="105">
        <v>8</v>
      </c>
      <c r="K619" s="52"/>
    </row>
    <row r="620" spans="1:11" ht="15.75" customHeight="1" x14ac:dyDescent="0.25">
      <c r="A620" s="2">
        <v>524</v>
      </c>
      <c r="B620" s="2" t="s">
        <v>4460</v>
      </c>
      <c r="C620" s="52">
        <v>5</v>
      </c>
      <c r="D620" s="52">
        <v>7</v>
      </c>
      <c r="E620" s="52">
        <v>8</v>
      </c>
      <c r="F620" s="52">
        <v>2</v>
      </c>
      <c r="G620" s="52">
        <v>2</v>
      </c>
      <c r="H620" s="52">
        <v>1</v>
      </c>
      <c r="I620" s="52">
        <v>25</v>
      </c>
      <c r="J620" s="105">
        <v>4.166666666666667</v>
      </c>
      <c r="K620" s="52"/>
    </row>
    <row r="621" spans="1:11" ht="15.75" customHeight="1" x14ac:dyDescent="0.25">
      <c r="A621" s="2">
        <v>525</v>
      </c>
      <c r="B621" s="2" t="s">
        <v>4461</v>
      </c>
      <c r="C621" s="52">
        <v>7</v>
      </c>
      <c r="D621" s="52">
        <v>10</v>
      </c>
      <c r="E621" s="52">
        <v>10</v>
      </c>
      <c r="F621" s="52">
        <v>5</v>
      </c>
      <c r="G621" s="52">
        <v>4</v>
      </c>
      <c r="H621" s="52">
        <v>2</v>
      </c>
      <c r="I621" s="52">
        <v>38</v>
      </c>
      <c r="J621" s="105">
        <v>6.333333333333333</v>
      </c>
      <c r="K621" s="52"/>
    </row>
    <row r="622" spans="1:11" ht="15.75" customHeight="1" x14ac:dyDescent="0.25">
      <c r="A622" s="2">
        <v>526</v>
      </c>
      <c r="B622" s="2" t="s">
        <v>4462</v>
      </c>
      <c r="C622" s="52">
        <v>8</v>
      </c>
      <c r="D622" s="52">
        <v>13</v>
      </c>
      <c r="E622" s="52">
        <v>13</v>
      </c>
      <c r="F622" s="52">
        <v>6</v>
      </c>
      <c r="G622" s="52">
        <v>8</v>
      </c>
      <c r="H622" s="52">
        <v>2</v>
      </c>
      <c r="I622" s="52">
        <v>50</v>
      </c>
      <c r="J622" s="105">
        <v>8.3333333333333339</v>
      </c>
      <c r="K622" s="52"/>
    </row>
    <row r="623" spans="1:11" ht="15.75" customHeight="1" x14ac:dyDescent="0.25">
      <c r="A623" s="2">
        <v>527</v>
      </c>
      <c r="B623" s="2" t="s">
        <v>4463</v>
      </c>
      <c r="C623" s="52">
        <v>6</v>
      </c>
      <c r="D623" s="52">
        <v>4</v>
      </c>
      <c r="E623" s="52">
        <v>4</v>
      </c>
      <c r="F623" s="52">
        <v>5</v>
      </c>
      <c r="G623" s="52">
        <v>4</v>
      </c>
      <c r="H623" s="52">
        <v>7</v>
      </c>
      <c r="I623" s="52">
        <v>30</v>
      </c>
      <c r="J623" s="105">
        <v>5</v>
      </c>
      <c r="K623" s="52"/>
    </row>
    <row r="624" spans="1:11" ht="15.75" customHeight="1" x14ac:dyDescent="0.25">
      <c r="A624" s="2">
        <v>528</v>
      </c>
      <c r="B624" s="2" t="s">
        <v>4464</v>
      </c>
      <c r="C624" s="52">
        <v>6</v>
      </c>
      <c r="D624" s="52">
        <v>5</v>
      </c>
      <c r="E624" s="52">
        <v>5</v>
      </c>
      <c r="F624" s="52">
        <v>7</v>
      </c>
      <c r="G624" s="52">
        <v>5</v>
      </c>
      <c r="H624" s="52">
        <v>11</v>
      </c>
      <c r="I624" s="52">
        <v>39</v>
      </c>
      <c r="J624" s="105">
        <v>6.5</v>
      </c>
      <c r="K624" s="52"/>
    </row>
    <row r="625" spans="1:11" ht="15.75" customHeight="1" x14ac:dyDescent="0.25">
      <c r="A625" s="2">
        <v>529</v>
      </c>
      <c r="B625" s="2" t="s">
        <v>4465</v>
      </c>
      <c r="C625" s="52">
        <v>6</v>
      </c>
      <c r="D625" s="52">
        <v>8</v>
      </c>
      <c r="E625" s="52">
        <v>4</v>
      </c>
      <c r="F625" s="52">
        <v>3</v>
      </c>
      <c r="G625" s="52">
        <v>4</v>
      </c>
      <c r="H625" s="52">
        <v>6</v>
      </c>
      <c r="I625" s="52">
        <v>31</v>
      </c>
      <c r="J625" s="105">
        <v>5.166666666666667</v>
      </c>
      <c r="K625" s="52"/>
    </row>
    <row r="626" spans="1:11" ht="15.75" customHeight="1" x14ac:dyDescent="0.25">
      <c r="A626" s="2">
        <v>530</v>
      </c>
      <c r="B626" s="2" t="s">
        <v>4466</v>
      </c>
      <c r="C626" s="52">
        <v>11</v>
      </c>
      <c r="D626" s="52">
        <v>13</v>
      </c>
      <c r="E626" s="52">
        <v>6</v>
      </c>
      <c r="F626" s="52">
        <v>5</v>
      </c>
      <c r="G626" s="52">
        <v>6</v>
      </c>
      <c r="H626" s="52">
        <v>8</v>
      </c>
      <c r="I626" s="52">
        <v>49</v>
      </c>
      <c r="J626" s="105">
        <v>8.1666666666666661</v>
      </c>
      <c r="K626" s="52"/>
    </row>
    <row r="627" spans="1:11" ht="15.75" customHeight="1" x14ac:dyDescent="0.25">
      <c r="A627" s="2">
        <v>531</v>
      </c>
      <c r="B627" s="2" t="s">
        <v>4467</v>
      </c>
      <c r="C627" s="52">
        <v>10</v>
      </c>
      <c r="D627" s="52">
        <v>6</v>
      </c>
      <c r="E627" s="52">
        <v>8</v>
      </c>
      <c r="F627" s="52">
        <v>6</v>
      </c>
      <c r="G627" s="52">
        <v>8</v>
      </c>
      <c r="H627" s="52">
        <v>5</v>
      </c>
      <c r="I627" s="52">
        <v>43</v>
      </c>
      <c r="J627" s="105">
        <v>7.166666666666667</v>
      </c>
      <c r="K627" s="52"/>
    </row>
    <row r="628" spans="1:11" ht="15.75" customHeight="1" x14ac:dyDescent="0.25">
      <c r="A628" s="2">
        <v>531</v>
      </c>
      <c r="B628" s="2" t="s">
        <v>4468</v>
      </c>
      <c r="C628" s="52">
        <v>10</v>
      </c>
      <c r="D628" s="52">
        <v>6</v>
      </c>
      <c r="E628" s="52">
        <v>12</v>
      </c>
      <c r="F628" s="52">
        <v>8</v>
      </c>
      <c r="G628" s="52">
        <v>12</v>
      </c>
      <c r="H628" s="52">
        <v>5</v>
      </c>
      <c r="I628" s="52">
        <v>53</v>
      </c>
      <c r="J628" s="105">
        <v>8.8333333333333339</v>
      </c>
      <c r="K628" s="52"/>
    </row>
    <row r="629" spans="1:11" ht="15.75" customHeight="1" x14ac:dyDescent="0.25">
      <c r="A629" s="2">
        <v>532</v>
      </c>
      <c r="B629" s="2" t="s">
        <v>4469</v>
      </c>
      <c r="C629" s="52">
        <v>7</v>
      </c>
      <c r="D629" s="52">
        <v>8</v>
      </c>
      <c r="E629" s="52">
        <v>5</v>
      </c>
      <c r="F629" s="52">
        <v>2</v>
      </c>
      <c r="G629" s="52">
        <v>3</v>
      </c>
      <c r="H629" s="52">
        <v>3</v>
      </c>
      <c r="I629" s="52">
        <v>28</v>
      </c>
      <c r="J629" s="105">
        <v>4.666666666666667</v>
      </c>
      <c r="K629" s="52"/>
    </row>
    <row r="630" spans="1:11" ht="15.75" customHeight="1" x14ac:dyDescent="0.25">
      <c r="A630" s="2">
        <v>533</v>
      </c>
      <c r="B630" s="2" t="s">
        <v>4470</v>
      </c>
      <c r="C630" s="52">
        <v>8</v>
      </c>
      <c r="D630" s="52">
        <v>10</v>
      </c>
      <c r="E630" s="52">
        <v>8</v>
      </c>
      <c r="F630" s="52">
        <v>4</v>
      </c>
      <c r="G630" s="52">
        <v>5</v>
      </c>
      <c r="H630" s="52">
        <v>4</v>
      </c>
      <c r="I630" s="52">
        <v>39</v>
      </c>
      <c r="J630" s="105">
        <v>6.5</v>
      </c>
      <c r="K630" s="52"/>
    </row>
    <row r="631" spans="1:11" ht="15.75" customHeight="1" x14ac:dyDescent="0.25">
      <c r="A631" s="2">
        <v>534</v>
      </c>
      <c r="B631" s="2" t="s">
        <v>4471</v>
      </c>
      <c r="C631" s="52">
        <v>10</v>
      </c>
      <c r="D631" s="52">
        <v>14</v>
      </c>
      <c r="E631" s="52">
        <v>9</v>
      </c>
      <c r="F631" s="52">
        <v>5</v>
      </c>
      <c r="G631" s="52">
        <v>6</v>
      </c>
      <c r="H631" s="52">
        <v>4</v>
      </c>
      <c r="I631" s="52">
        <v>48</v>
      </c>
      <c r="J631" s="105">
        <v>8</v>
      </c>
      <c r="K631" s="52"/>
    </row>
    <row r="632" spans="1:11" ht="15.75" customHeight="1" x14ac:dyDescent="0.25">
      <c r="A632" s="2">
        <v>535</v>
      </c>
      <c r="B632" s="2" t="s">
        <v>4472</v>
      </c>
      <c r="C632" s="52">
        <v>5</v>
      </c>
      <c r="D632" s="52">
        <v>5</v>
      </c>
      <c r="E632" s="52">
        <v>4</v>
      </c>
      <c r="F632" s="52">
        <v>5</v>
      </c>
      <c r="G632" s="52">
        <v>4</v>
      </c>
      <c r="H632" s="52">
        <v>6</v>
      </c>
      <c r="I632" s="52">
        <v>29</v>
      </c>
      <c r="J632" s="105">
        <v>4.833333333333333</v>
      </c>
      <c r="K632" s="52"/>
    </row>
    <row r="633" spans="1:11" ht="15.75" customHeight="1" x14ac:dyDescent="0.25">
      <c r="A633" s="2">
        <v>536</v>
      </c>
      <c r="B633" s="2" t="s">
        <v>4473</v>
      </c>
      <c r="C633" s="52">
        <v>7</v>
      </c>
      <c r="D633" s="52">
        <v>6</v>
      </c>
      <c r="E633" s="52">
        <v>5</v>
      </c>
      <c r="F633" s="52">
        <v>6</v>
      </c>
      <c r="G633" s="52">
        <v>5</v>
      </c>
      <c r="H633" s="52">
        <v>6</v>
      </c>
      <c r="I633" s="52">
        <v>35</v>
      </c>
      <c r="J633" s="105">
        <v>5.833333333333333</v>
      </c>
      <c r="K633" s="52"/>
    </row>
    <row r="634" spans="1:11" ht="15.75" customHeight="1" x14ac:dyDescent="0.25">
      <c r="A634" s="2">
        <v>537</v>
      </c>
      <c r="B634" s="2" t="s">
        <v>4474</v>
      </c>
      <c r="C634" s="52">
        <v>10</v>
      </c>
      <c r="D634" s="52">
        <v>9</v>
      </c>
      <c r="E634" s="52">
        <v>7</v>
      </c>
      <c r="F634" s="52">
        <v>8</v>
      </c>
      <c r="G634" s="52">
        <v>7</v>
      </c>
      <c r="H634" s="52">
        <v>7</v>
      </c>
      <c r="I634" s="52">
        <v>48</v>
      </c>
      <c r="J634" s="105">
        <v>8</v>
      </c>
      <c r="K634" s="52"/>
    </row>
    <row r="635" spans="1:11" ht="15.75" customHeight="1" x14ac:dyDescent="0.25">
      <c r="A635" s="2">
        <v>538</v>
      </c>
      <c r="B635" s="2" t="s">
        <v>4475</v>
      </c>
      <c r="C635" s="52">
        <v>12</v>
      </c>
      <c r="D635" s="52">
        <v>10</v>
      </c>
      <c r="E635" s="52">
        <v>8</v>
      </c>
      <c r="F635" s="52">
        <v>3</v>
      </c>
      <c r="G635" s="52">
        <v>8</v>
      </c>
      <c r="H635" s="52">
        <v>4</v>
      </c>
      <c r="I635" s="52">
        <v>45</v>
      </c>
      <c r="J635" s="105">
        <v>7.5</v>
      </c>
      <c r="K635" s="52"/>
    </row>
    <row r="636" spans="1:11" ht="15.75" customHeight="1" x14ac:dyDescent="0.25">
      <c r="A636" s="2">
        <v>539</v>
      </c>
      <c r="B636" s="2" t="s">
        <v>4476</v>
      </c>
      <c r="C636" s="52">
        <v>7</v>
      </c>
      <c r="D636" s="52">
        <v>12</v>
      </c>
      <c r="E636" s="52">
        <v>7</v>
      </c>
      <c r="F636" s="52">
        <v>3</v>
      </c>
      <c r="G636" s="52">
        <v>7</v>
      </c>
      <c r="H636" s="52">
        <v>8</v>
      </c>
      <c r="I636" s="52">
        <v>44</v>
      </c>
      <c r="J636" s="105">
        <v>7.333333333333333</v>
      </c>
      <c r="K636" s="52"/>
    </row>
    <row r="637" spans="1:11" ht="15.75" customHeight="1" x14ac:dyDescent="0.25">
      <c r="A637" s="2">
        <v>540</v>
      </c>
      <c r="B637" s="2" t="s">
        <v>4477</v>
      </c>
      <c r="C637" s="52">
        <v>4</v>
      </c>
      <c r="D637" s="52">
        <v>5</v>
      </c>
      <c r="E637" s="52">
        <v>7</v>
      </c>
      <c r="F637" s="52">
        <v>4</v>
      </c>
      <c r="G637" s="52">
        <v>6</v>
      </c>
      <c r="H637" s="52">
        <v>4</v>
      </c>
      <c r="I637" s="52">
        <v>30</v>
      </c>
      <c r="J637" s="105">
        <v>5</v>
      </c>
      <c r="K637" s="52"/>
    </row>
    <row r="638" spans="1:11" ht="15.75" customHeight="1" x14ac:dyDescent="0.25">
      <c r="A638" s="2">
        <v>541</v>
      </c>
      <c r="B638" s="2" t="s">
        <v>4478</v>
      </c>
      <c r="C638" s="52">
        <v>5</v>
      </c>
      <c r="D638" s="52">
        <v>6</v>
      </c>
      <c r="E638" s="52">
        <v>9</v>
      </c>
      <c r="F638" s="52">
        <v>5</v>
      </c>
      <c r="G638" s="52">
        <v>8</v>
      </c>
      <c r="H638" s="52">
        <v>4</v>
      </c>
      <c r="I638" s="52">
        <v>37</v>
      </c>
      <c r="J638" s="105">
        <v>6.166666666666667</v>
      </c>
      <c r="K638" s="52"/>
    </row>
    <row r="639" spans="1:11" ht="15.75" customHeight="1" x14ac:dyDescent="0.25">
      <c r="A639" s="2">
        <v>542</v>
      </c>
      <c r="B639" s="2" t="s">
        <v>4479</v>
      </c>
      <c r="C639" s="52">
        <v>7</v>
      </c>
      <c r="D639" s="52">
        <v>10</v>
      </c>
      <c r="E639" s="52">
        <v>8</v>
      </c>
      <c r="F639" s="52">
        <v>7</v>
      </c>
      <c r="G639" s="52">
        <v>8</v>
      </c>
      <c r="H639" s="52">
        <v>9</v>
      </c>
      <c r="I639" s="52">
        <v>49</v>
      </c>
      <c r="J639" s="105">
        <v>8.1666666666666661</v>
      </c>
      <c r="K639" s="52"/>
    </row>
    <row r="640" spans="1:11" ht="15.75" customHeight="1" x14ac:dyDescent="0.25">
      <c r="A640" s="2">
        <v>543</v>
      </c>
      <c r="B640" s="2" t="s">
        <v>4480</v>
      </c>
      <c r="C640" s="52">
        <v>3</v>
      </c>
      <c r="D640" s="52">
        <v>4</v>
      </c>
      <c r="E640" s="52">
        <v>5</v>
      </c>
      <c r="F640" s="52">
        <v>3</v>
      </c>
      <c r="G640" s="52">
        <v>3</v>
      </c>
      <c r="H640" s="52">
        <v>5</v>
      </c>
      <c r="I640" s="52">
        <v>23</v>
      </c>
      <c r="J640" s="105">
        <v>3.8333333333333335</v>
      </c>
      <c r="K640" s="52"/>
    </row>
    <row r="641" spans="1:11" ht="15.75" customHeight="1" x14ac:dyDescent="0.25">
      <c r="A641" s="2">
        <v>544</v>
      </c>
      <c r="B641" s="2" t="s">
        <v>4481</v>
      </c>
      <c r="C641" s="52">
        <v>4</v>
      </c>
      <c r="D641" s="52">
        <v>5</v>
      </c>
      <c r="E641" s="52">
        <v>9</v>
      </c>
      <c r="F641" s="52">
        <v>4</v>
      </c>
      <c r="G641" s="52">
        <v>7</v>
      </c>
      <c r="H641" s="52">
        <v>4</v>
      </c>
      <c r="I641" s="52">
        <v>33</v>
      </c>
      <c r="J641" s="105">
        <v>5.5</v>
      </c>
      <c r="K641" s="52"/>
    </row>
    <row r="642" spans="1:11" ht="15.75" customHeight="1" x14ac:dyDescent="0.25">
      <c r="A642" s="2">
        <v>545</v>
      </c>
      <c r="B642" s="2" t="s">
        <v>4482</v>
      </c>
      <c r="C642" s="52">
        <v>6</v>
      </c>
      <c r="D642" s="52">
        <v>10</v>
      </c>
      <c r="E642" s="52">
        <v>8</v>
      </c>
      <c r="F642" s="52">
        <v>5</v>
      </c>
      <c r="G642" s="52">
        <v>6</v>
      </c>
      <c r="H642" s="52">
        <v>11</v>
      </c>
      <c r="I642" s="52">
        <v>46</v>
      </c>
      <c r="J642" s="105">
        <v>7.666666666666667</v>
      </c>
      <c r="K642" s="52"/>
    </row>
    <row r="643" spans="1:11" ht="15.75" customHeight="1" x14ac:dyDescent="0.25">
      <c r="A643" s="2">
        <v>546</v>
      </c>
      <c r="B643" s="2" t="s">
        <v>4483</v>
      </c>
      <c r="C643" s="52">
        <v>4</v>
      </c>
      <c r="D643" s="52">
        <v>2</v>
      </c>
      <c r="E643" s="52">
        <v>6</v>
      </c>
      <c r="F643" s="52">
        <v>3</v>
      </c>
      <c r="G643" s="52">
        <v>5</v>
      </c>
      <c r="H643" s="52">
        <v>6</v>
      </c>
      <c r="I643" s="52">
        <v>26</v>
      </c>
      <c r="J643" s="105">
        <v>4.333333333333333</v>
      </c>
      <c r="K643" s="52"/>
    </row>
    <row r="644" spans="1:11" ht="15.75" customHeight="1" x14ac:dyDescent="0.25">
      <c r="A644" s="2">
        <v>547</v>
      </c>
      <c r="B644" s="2" t="s">
        <v>4484</v>
      </c>
      <c r="C644" s="52">
        <v>6</v>
      </c>
      <c r="D644" s="52">
        <v>6</v>
      </c>
      <c r="E644" s="52">
        <v>8</v>
      </c>
      <c r="F644" s="52">
        <v>7</v>
      </c>
      <c r="G644" s="52">
        <v>7</v>
      </c>
      <c r="H644" s="52">
        <v>11</v>
      </c>
      <c r="I644" s="52">
        <v>45</v>
      </c>
      <c r="J644" s="105">
        <v>7.5</v>
      </c>
      <c r="K644" s="52"/>
    </row>
    <row r="645" spans="1:11" ht="15.75" customHeight="1" x14ac:dyDescent="0.25">
      <c r="A645" s="2">
        <v>548</v>
      </c>
      <c r="B645" s="2" t="s">
        <v>4485</v>
      </c>
      <c r="C645" s="52">
        <v>4</v>
      </c>
      <c r="D645" s="52">
        <v>3</v>
      </c>
      <c r="E645" s="52">
        <v>5</v>
      </c>
      <c r="F645" s="52">
        <v>7</v>
      </c>
      <c r="G645" s="52">
        <v>5</v>
      </c>
      <c r="H645" s="52">
        <v>3</v>
      </c>
      <c r="I645" s="52">
        <v>27</v>
      </c>
      <c r="J645" s="105">
        <v>4.5</v>
      </c>
      <c r="K645" s="52"/>
    </row>
    <row r="646" spans="1:11" ht="15.75" customHeight="1" x14ac:dyDescent="0.25">
      <c r="A646" s="2">
        <v>549</v>
      </c>
      <c r="B646" s="2" t="s">
        <v>4486</v>
      </c>
      <c r="C646" s="52">
        <v>7</v>
      </c>
      <c r="D646" s="52">
        <v>6</v>
      </c>
      <c r="E646" s="52">
        <v>7</v>
      </c>
      <c r="F646" s="52">
        <v>11</v>
      </c>
      <c r="G646" s="52">
        <v>7</v>
      </c>
      <c r="H646" s="52">
        <v>9</v>
      </c>
      <c r="I646" s="52">
        <v>47</v>
      </c>
      <c r="J646" s="105">
        <v>7.833333333333333</v>
      </c>
      <c r="K646" s="52"/>
    </row>
    <row r="647" spans="1:11" ht="15.75" customHeight="1" x14ac:dyDescent="0.25">
      <c r="A647" s="2">
        <v>550</v>
      </c>
      <c r="B647" s="2" t="s">
        <v>4487</v>
      </c>
      <c r="C647" s="52">
        <v>7</v>
      </c>
      <c r="D647" s="52">
        <v>9</v>
      </c>
      <c r="E647" s="52">
        <v>6</v>
      </c>
      <c r="F647" s="52">
        <v>8</v>
      </c>
      <c r="G647" s="52">
        <v>5</v>
      </c>
      <c r="H647" s="52">
        <v>9</v>
      </c>
      <c r="I647" s="52">
        <v>44</v>
      </c>
      <c r="J647" s="105">
        <v>7.333333333333333</v>
      </c>
      <c r="K647" s="52"/>
    </row>
    <row r="648" spans="1:11" ht="15.75" customHeight="1" x14ac:dyDescent="0.25">
      <c r="A648" s="2">
        <v>551</v>
      </c>
      <c r="B648" s="2" t="s">
        <v>4488</v>
      </c>
      <c r="C648" s="52">
        <v>5</v>
      </c>
      <c r="D648" s="52">
        <v>7</v>
      </c>
      <c r="E648" s="52">
        <v>3</v>
      </c>
      <c r="F648" s="52">
        <v>3</v>
      </c>
      <c r="G648" s="52">
        <v>3</v>
      </c>
      <c r="H648" s="52">
        <v>6</v>
      </c>
      <c r="I648" s="52">
        <v>27</v>
      </c>
      <c r="J648" s="105">
        <v>4.5</v>
      </c>
      <c r="K648" s="52"/>
    </row>
    <row r="649" spans="1:11" ht="15.75" customHeight="1" x14ac:dyDescent="0.25">
      <c r="A649" s="2">
        <v>552</v>
      </c>
      <c r="B649" s="2" t="s">
        <v>4489</v>
      </c>
      <c r="C649" s="52">
        <v>6</v>
      </c>
      <c r="D649" s="52">
        <v>8</v>
      </c>
      <c r="E649" s="52">
        <v>4</v>
      </c>
      <c r="F649" s="52">
        <v>4</v>
      </c>
      <c r="G649" s="52">
        <v>4</v>
      </c>
      <c r="H649" s="52">
        <v>7</v>
      </c>
      <c r="I649" s="52">
        <v>33</v>
      </c>
      <c r="J649" s="105">
        <v>5.5</v>
      </c>
      <c r="K649" s="52"/>
    </row>
    <row r="650" spans="1:11" ht="15.75" customHeight="1" x14ac:dyDescent="0.25">
      <c r="A650" s="2">
        <v>553</v>
      </c>
      <c r="B650" s="2" t="s">
        <v>4490</v>
      </c>
      <c r="C650" s="52">
        <v>9</v>
      </c>
      <c r="D650" s="52">
        <v>11</v>
      </c>
      <c r="E650" s="52">
        <v>8</v>
      </c>
      <c r="F650" s="52">
        <v>6</v>
      </c>
      <c r="G650" s="52">
        <v>7</v>
      </c>
      <c r="H650" s="52">
        <v>9</v>
      </c>
      <c r="I650" s="52">
        <v>50</v>
      </c>
      <c r="J650" s="105">
        <v>8.3333333333333339</v>
      </c>
      <c r="K650" s="52"/>
    </row>
    <row r="651" spans="1:11" ht="15.75" customHeight="1" x14ac:dyDescent="0.25">
      <c r="A651" s="2">
        <v>554</v>
      </c>
      <c r="B651" s="2" t="s">
        <v>4491</v>
      </c>
      <c r="C651" s="52">
        <v>7</v>
      </c>
      <c r="D651" s="52">
        <v>9</v>
      </c>
      <c r="E651" s="52">
        <v>4</v>
      </c>
      <c r="F651" s="52">
        <v>1</v>
      </c>
      <c r="G651" s="52">
        <v>4</v>
      </c>
      <c r="H651" s="52">
        <v>5</v>
      </c>
      <c r="I651" s="52">
        <v>30</v>
      </c>
      <c r="J651" s="105">
        <v>5</v>
      </c>
      <c r="K651" s="52"/>
    </row>
    <row r="652" spans="1:11" ht="15.75" customHeight="1" x14ac:dyDescent="0.25">
      <c r="A652" s="2">
        <v>554</v>
      </c>
      <c r="B652" s="2" t="s">
        <v>4492</v>
      </c>
      <c r="C652" s="52">
        <v>7</v>
      </c>
      <c r="D652" s="52">
        <v>9</v>
      </c>
      <c r="E652" s="52">
        <v>4</v>
      </c>
      <c r="F652" s="52">
        <v>1</v>
      </c>
      <c r="G652" s="52">
        <v>4</v>
      </c>
      <c r="H652" s="52">
        <v>5</v>
      </c>
      <c r="I652" s="52">
        <v>30</v>
      </c>
      <c r="J652" s="105">
        <v>5</v>
      </c>
      <c r="K652" s="52"/>
    </row>
    <row r="653" spans="1:11" ht="15.75" customHeight="1" x14ac:dyDescent="0.25">
      <c r="A653" s="2">
        <v>555</v>
      </c>
      <c r="B653" s="2" t="s">
        <v>4493</v>
      </c>
      <c r="C653" s="52">
        <v>10</v>
      </c>
      <c r="D653" s="52">
        <v>14</v>
      </c>
      <c r="E653" s="52">
        <v>5</v>
      </c>
      <c r="F653" s="52">
        <v>3</v>
      </c>
      <c r="G653" s="52">
        <v>5</v>
      </c>
      <c r="H653" s="52">
        <v>9</v>
      </c>
      <c r="I653" s="52">
        <v>46</v>
      </c>
      <c r="J653" s="105">
        <v>7.666666666666667</v>
      </c>
      <c r="K653" s="52"/>
    </row>
    <row r="654" spans="1:11" ht="15.75" customHeight="1" x14ac:dyDescent="0.25">
      <c r="A654" s="2">
        <v>555</v>
      </c>
      <c r="B654" s="2" t="s">
        <v>4494</v>
      </c>
      <c r="C654" s="52">
        <v>10</v>
      </c>
      <c r="D654" s="52">
        <v>3</v>
      </c>
      <c r="E654" s="52">
        <v>10</v>
      </c>
      <c r="F654" s="52">
        <v>14</v>
      </c>
      <c r="G654" s="52">
        <v>10</v>
      </c>
      <c r="H654" s="52">
        <v>5</v>
      </c>
      <c r="I654" s="52">
        <v>52</v>
      </c>
      <c r="J654" s="105">
        <v>8.6666666666666661</v>
      </c>
      <c r="K654" s="52"/>
    </row>
    <row r="655" spans="1:11" ht="15.75" customHeight="1" x14ac:dyDescent="0.25">
      <c r="A655" s="2">
        <v>555</v>
      </c>
      <c r="B655" s="2" t="s">
        <v>4495</v>
      </c>
      <c r="C655" s="52">
        <v>10</v>
      </c>
      <c r="D655" s="52">
        <v>14</v>
      </c>
      <c r="E655" s="52">
        <v>5</v>
      </c>
      <c r="F655" s="52">
        <v>3</v>
      </c>
      <c r="G655" s="52">
        <v>5</v>
      </c>
      <c r="H655" s="52">
        <v>9</v>
      </c>
      <c r="I655" s="52">
        <v>46</v>
      </c>
      <c r="J655" s="105">
        <v>7.666666666666667</v>
      </c>
      <c r="K655" s="52"/>
    </row>
    <row r="656" spans="1:11" ht="15.75" customHeight="1" x14ac:dyDescent="0.25">
      <c r="A656" s="2">
        <v>555</v>
      </c>
      <c r="B656" s="2" t="s">
        <v>4496</v>
      </c>
      <c r="C656" s="52">
        <v>10</v>
      </c>
      <c r="D656" s="52">
        <v>16</v>
      </c>
      <c r="E656" s="52">
        <v>5</v>
      </c>
      <c r="F656" s="52">
        <v>3</v>
      </c>
      <c r="G656" s="52">
        <v>5</v>
      </c>
      <c r="H656" s="52">
        <v>13</v>
      </c>
      <c r="I656" s="52">
        <v>52</v>
      </c>
      <c r="J656" s="105">
        <v>8.6666666666666661</v>
      </c>
      <c r="K656" s="52"/>
    </row>
    <row r="657" spans="1:11" ht="15.75" customHeight="1" x14ac:dyDescent="0.25">
      <c r="A657" s="2">
        <v>556</v>
      </c>
      <c r="B657" s="2" t="s">
        <v>4497</v>
      </c>
      <c r="C657" s="52">
        <v>7</v>
      </c>
      <c r="D657" s="52">
        <v>8</v>
      </c>
      <c r="E657" s="52">
        <v>6</v>
      </c>
      <c r="F657" s="52">
        <v>10</v>
      </c>
      <c r="G657" s="52">
        <v>6</v>
      </c>
      <c r="H657" s="52">
        <v>6</v>
      </c>
      <c r="I657" s="52">
        <v>43</v>
      </c>
      <c r="J657" s="105">
        <v>7.166666666666667</v>
      </c>
      <c r="K657" s="52"/>
    </row>
    <row r="658" spans="1:11" ht="15.75" customHeight="1" x14ac:dyDescent="0.25">
      <c r="A658" s="2">
        <v>557</v>
      </c>
      <c r="B658" s="2" t="s">
        <v>4498</v>
      </c>
      <c r="C658" s="52">
        <v>5</v>
      </c>
      <c r="D658" s="52">
        <v>6</v>
      </c>
      <c r="E658" s="52">
        <v>8</v>
      </c>
      <c r="F658" s="52">
        <v>3</v>
      </c>
      <c r="G658" s="52">
        <v>3</v>
      </c>
      <c r="H658" s="52">
        <v>5</v>
      </c>
      <c r="I658" s="52">
        <v>30</v>
      </c>
      <c r="J658" s="105">
        <v>5</v>
      </c>
      <c r="K658" s="52"/>
    </row>
    <row r="659" spans="1:11" ht="15.75" customHeight="1" x14ac:dyDescent="0.25">
      <c r="A659" s="2">
        <v>558</v>
      </c>
      <c r="B659" s="2" t="s">
        <v>4499</v>
      </c>
      <c r="C659" s="52">
        <v>7</v>
      </c>
      <c r="D659" s="52">
        <v>10</v>
      </c>
      <c r="E659" s="52">
        <v>12</v>
      </c>
      <c r="F659" s="52">
        <v>6</v>
      </c>
      <c r="G659" s="52">
        <v>7</v>
      </c>
      <c r="H659" s="52">
        <v>4</v>
      </c>
      <c r="I659" s="52">
        <v>46</v>
      </c>
      <c r="J659" s="105">
        <v>7.666666666666667</v>
      </c>
      <c r="K659" s="52"/>
    </row>
    <row r="660" spans="1:11" ht="15.75" customHeight="1" x14ac:dyDescent="0.25">
      <c r="A660" s="2">
        <v>559</v>
      </c>
      <c r="B660" s="2" t="s">
        <v>4500</v>
      </c>
      <c r="C660" s="52">
        <v>5</v>
      </c>
      <c r="D660" s="52">
        <v>7</v>
      </c>
      <c r="E660" s="52">
        <v>7</v>
      </c>
      <c r="F660" s="52">
        <v>3</v>
      </c>
      <c r="G660" s="52">
        <v>7</v>
      </c>
      <c r="H660" s="52">
        <v>4</v>
      </c>
      <c r="I660" s="52">
        <v>33</v>
      </c>
      <c r="J660" s="105">
        <v>5.5</v>
      </c>
      <c r="K660" s="52"/>
    </row>
    <row r="661" spans="1:11" ht="15.75" customHeight="1" x14ac:dyDescent="0.25">
      <c r="A661" s="2">
        <v>560</v>
      </c>
      <c r="B661" s="2" t="s">
        <v>4501</v>
      </c>
      <c r="C661" s="52">
        <v>6</v>
      </c>
      <c r="D661" s="52">
        <v>9</v>
      </c>
      <c r="E661" s="52">
        <v>11</v>
      </c>
      <c r="F661" s="52">
        <v>4</v>
      </c>
      <c r="G661" s="52">
        <v>11</v>
      </c>
      <c r="H661" s="52">
        <v>5</v>
      </c>
      <c r="I661" s="52">
        <v>46</v>
      </c>
      <c r="J661" s="105">
        <v>7.666666666666667</v>
      </c>
      <c r="K661" s="52"/>
    </row>
    <row r="662" spans="1:11" ht="15.75" customHeight="1" x14ac:dyDescent="0.25">
      <c r="A662" s="2">
        <v>561</v>
      </c>
      <c r="B662" s="2" t="s">
        <v>4502</v>
      </c>
      <c r="C662" s="52">
        <v>7</v>
      </c>
      <c r="D662" s="52">
        <v>5</v>
      </c>
      <c r="E662" s="52">
        <v>8</v>
      </c>
      <c r="F662" s="52">
        <v>10</v>
      </c>
      <c r="G662" s="52">
        <v>8</v>
      </c>
      <c r="H662" s="52">
        <v>9</v>
      </c>
      <c r="I662" s="52">
        <v>47</v>
      </c>
      <c r="J662" s="105">
        <v>7.833333333333333</v>
      </c>
      <c r="K662" s="52"/>
    </row>
    <row r="663" spans="1:11" ht="15.75" customHeight="1" x14ac:dyDescent="0.25">
      <c r="A663" s="2">
        <v>562</v>
      </c>
      <c r="B663" s="2" t="s">
        <v>4503</v>
      </c>
      <c r="C663" s="52">
        <v>3</v>
      </c>
      <c r="D663" s="52">
        <v>3</v>
      </c>
      <c r="E663" s="52">
        <v>8</v>
      </c>
      <c r="F663" s="52">
        <v>5</v>
      </c>
      <c r="G663" s="52">
        <v>6</v>
      </c>
      <c r="H663" s="52">
        <v>3</v>
      </c>
      <c r="I663" s="52">
        <v>28</v>
      </c>
      <c r="J663" s="105">
        <v>4.666666666666667</v>
      </c>
      <c r="K663" s="52"/>
    </row>
    <row r="664" spans="1:11" ht="15.75" customHeight="1" x14ac:dyDescent="0.25">
      <c r="A664" s="2">
        <v>562</v>
      </c>
      <c r="B664" s="2" t="s">
        <v>4504</v>
      </c>
      <c r="C664" s="52">
        <v>3</v>
      </c>
      <c r="D664" s="52">
        <v>5</v>
      </c>
      <c r="E664" s="52">
        <v>8</v>
      </c>
      <c r="F664" s="52">
        <v>3</v>
      </c>
      <c r="G664" s="52">
        <v>6</v>
      </c>
      <c r="H664" s="52">
        <v>3</v>
      </c>
      <c r="I664" s="52">
        <v>28</v>
      </c>
      <c r="J664" s="105">
        <v>4.666666666666667</v>
      </c>
      <c r="K664" s="52"/>
    </row>
    <row r="665" spans="1:11" ht="15.75" customHeight="1" x14ac:dyDescent="0.25">
      <c r="A665" s="2">
        <v>563</v>
      </c>
      <c r="B665" s="2" t="s">
        <v>4505</v>
      </c>
      <c r="C665" s="52">
        <v>5</v>
      </c>
      <c r="D665" s="52">
        <v>5</v>
      </c>
      <c r="E665" s="52">
        <v>14</v>
      </c>
      <c r="F665" s="52">
        <v>9</v>
      </c>
      <c r="G665" s="52">
        <v>10</v>
      </c>
      <c r="H665" s="52">
        <v>3</v>
      </c>
      <c r="I665" s="52">
        <v>46</v>
      </c>
      <c r="J665" s="105">
        <v>7.666666666666667</v>
      </c>
      <c r="K665" s="52"/>
    </row>
    <row r="666" spans="1:11" ht="15.75" customHeight="1" x14ac:dyDescent="0.25">
      <c r="A666" s="2">
        <v>564</v>
      </c>
      <c r="B666" s="2" t="s">
        <v>4506</v>
      </c>
      <c r="C666" s="52">
        <v>5</v>
      </c>
      <c r="D666" s="52">
        <v>7</v>
      </c>
      <c r="E666" s="52">
        <v>10</v>
      </c>
      <c r="F666" s="52">
        <v>5</v>
      </c>
      <c r="G666" s="52">
        <v>4</v>
      </c>
      <c r="H666" s="52">
        <v>2</v>
      </c>
      <c r="I666" s="52">
        <v>33</v>
      </c>
      <c r="J666" s="105">
        <v>5.5</v>
      </c>
      <c r="K666" s="52"/>
    </row>
    <row r="667" spans="1:11" ht="15.75" customHeight="1" x14ac:dyDescent="0.25">
      <c r="A667" s="2">
        <v>565</v>
      </c>
      <c r="B667" s="2" t="s">
        <v>4507</v>
      </c>
      <c r="C667" s="52">
        <v>7</v>
      </c>
      <c r="D667" s="52">
        <v>10</v>
      </c>
      <c r="E667" s="52">
        <v>13</v>
      </c>
      <c r="F667" s="52">
        <v>8</v>
      </c>
      <c r="G667" s="52">
        <v>6</v>
      </c>
      <c r="H667" s="52">
        <v>3</v>
      </c>
      <c r="I667" s="52">
        <v>47</v>
      </c>
      <c r="J667" s="105">
        <v>7.833333333333333</v>
      </c>
      <c r="K667" s="52"/>
    </row>
    <row r="668" spans="1:11" ht="15.75" customHeight="1" x14ac:dyDescent="0.25">
      <c r="A668" s="2">
        <v>566</v>
      </c>
      <c r="B668" s="2" t="s">
        <v>4508</v>
      </c>
      <c r="C668" s="52">
        <v>5</v>
      </c>
      <c r="D668" s="52">
        <v>11</v>
      </c>
      <c r="E668" s="52">
        <v>4</v>
      </c>
      <c r="F668" s="52">
        <v>7</v>
      </c>
      <c r="G668" s="52">
        <v>4</v>
      </c>
      <c r="H668" s="52">
        <v>7</v>
      </c>
      <c r="I668" s="52">
        <v>38</v>
      </c>
      <c r="J668" s="105">
        <v>6.333333333333333</v>
      </c>
      <c r="K668" s="52"/>
    </row>
    <row r="669" spans="1:11" ht="15.75" customHeight="1" x14ac:dyDescent="0.25">
      <c r="A669" s="2">
        <v>567</v>
      </c>
      <c r="B669" s="2" t="s">
        <v>4509</v>
      </c>
      <c r="C669" s="52">
        <v>7</v>
      </c>
      <c r="D669" s="52">
        <v>14</v>
      </c>
      <c r="E669" s="52">
        <v>6</v>
      </c>
      <c r="F669" s="52">
        <v>11</v>
      </c>
      <c r="G669" s="52">
        <v>6</v>
      </c>
      <c r="H669" s="52">
        <v>11</v>
      </c>
      <c r="I669" s="52">
        <v>55</v>
      </c>
      <c r="J669" s="105">
        <v>9.1666666666666661</v>
      </c>
      <c r="K669" s="52"/>
    </row>
    <row r="670" spans="1:11" ht="15.75" customHeight="1" x14ac:dyDescent="0.25">
      <c r="A670" s="2">
        <v>568</v>
      </c>
      <c r="B670" s="2" t="s">
        <v>4510</v>
      </c>
      <c r="C670" s="52">
        <v>5</v>
      </c>
      <c r="D670" s="52">
        <v>5</v>
      </c>
      <c r="E670" s="52">
        <v>6</v>
      </c>
      <c r="F670" s="52">
        <v>4</v>
      </c>
      <c r="G670" s="52">
        <v>6</v>
      </c>
      <c r="H670" s="52">
        <v>6</v>
      </c>
      <c r="I670" s="52">
        <v>32</v>
      </c>
      <c r="J670" s="105">
        <v>5.333333333333333</v>
      </c>
      <c r="K670" s="52"/>
    </row>
    <row r="671" spans="1:11" ht="15.75" customHeight="1" x14ac:dyDescent="0.25">
      <c r="A671" s="2">
        <v>569</v>
      </c>
      <c r="B671" s="2" t="s">
        <v>4511</v>
      </c>
      <c r="C671" s="52">
        <v>8</v>
      </c>
      <c r="D671" s="52">
        <v>9</v>
      </c>
      <c r="E671" s="52">
        <v>8</v>
      </c>
      <c r="F671" s="52">
        <v>6</v>
      </c>
      <c r="G671" s="52">
        <v>8</v>
      </c>
      <c r="H671" s="52">
        <v>7</v>
      </c>
      <c r="I671" s="52">
        <v>46</v>
      </c>
      <c r="J671" s="105">
        <v>7.666666666666667</v>
      </c>
      <c r="K671" s="52"/>
    </row>
    <row r="672" spans="1:11" ht="15.75" customHeight="1" x14ac:dyDescent="0.25">
      <c r="A672" s="2">
        <v>570</v>
      </c>
      <c r="B672" s="2" t="s">
        <v>4512</v>
      </c>
      <c r="C672" s="52">
        <v>4</v>
      </c>
      <c r="D672" s="52">
        <v>6</v>
      </c>
      <c r="E672" s="52">
        <v>4</v>
      </c>
      <c r="F672" s="52">
        <v>8</v>
      </c>
      <c r="G672" s="52">
        <v>4</v>
      </c>
      <c r="H672" s="52">
        <v>6</v>
      </c>
      <c r="I672" s="52">
        <v>32</v>
      </c>
      <c r="J672" s="105">
        <v>5.333333333333333</v>
      </c>
      <c r="K672" s="52"/>
    </row>
    <row r="673" spans="1:11" ht="15.75" customHeight="1" x14ac:dyDescent="0.25">
      <c r="A673" s="2">
        <v>571</v>
      </c>
      <c r="B673" s="2" t="s">
        <v>4513</v>
      </c>
      <c r="C673" s="52">
        <v>6</v>
      </c>
      <c r="D673" s="52">
        <v>10</v>
      </c>
      <c r="E673" s="52">
        <v>6</v>
      </c>
      <c r="F673" s="52">
        <v>12</v>
      </c>
      <c r="G673" s="52">
        <v>6</v>
      </c>
      <c r="H673" s="52">
        <v>10</v>
      </c>
      <c r="I673" s="52">
        <v>50</v>
      </c>
      <c r="J673" s="105">
        <v>8.3333333333333339</v>
      </c>
      <c r="K673" s="52"/>
    </row>
    <row r="674" spans="1:11" ht="15.75" customHeight="1" x14ac:dyDescent="0.25">
      <c r="A674" s="2">
        <v>572</v>
      </c>
      <c r="B674" s="2" t="s">
        <v>4514</v>
      </c>
      <c r="C674" s="52">
        <v>5</v>
      </c>
      <c r="D674" s="52">
        <v>5</v>
      </c>
      <c r="E674" s="52">
        <v>4</v>
      </c>
      <c r="F674" s="52">
        <v>4</v>
      </c>
      <c r="G674" s="52">
        <v>4</v>
      </c>
      <c r="H674" s="52">
        <v>7</v>
      </c>
      <c r="I674" s="52">
        <v>29</v>
      </c>
      <c r="J674" s="105">
        <v>4.833333333333333</v>
      </c>
      <c r="K674" s="52"/>
    </row>
    <row r="675" spans="1:11" ht="15.75" customHeight="1" x14ac:dyDescent="0.25">
      <c r="A675" s="2">
        <v>573</v>
      </c>
      <c r="B675" s="2" t="s">
        <v>4515</v>
      </c>
      <c r="C675" s="52">
        <v>7</v>
      </c>
      <c r="D675" s="52">
        <v>9</v>
      </c>
      <c r="E675" s="52">
        <v>6</v>
      </c>
      <c r="F675" s="52">
        <v>6</v>
      </c>
      <c r="G675" s="52">
        <v>6</v>
      </c>
      <c r="H675" s="52">
        <v>11</v>
      </c>
      <c r="I675" s="52">
        <v>45</v>
      </c>
      <c r="J675" s="105">
        <v>7.5</v>
      </c>
      <c r="K675" s="52"/>
    </row>
    <row r="676" spans="1:11" ht="15.75" customHeight="1" x14ac:dyDescent="0.25">
      <c r="A676" s="2">
        <v>574</v>
      </c>
      <c r="B676" s="2" t="s">
        <v>4516</v>
      </c>
      <c r="C676" s="52">
        <v>4</v>
      </c>
      <c r="D676" s="52">
        <v>3</v>
      </c>
      <c r="E676" s="52">
        <v>5</v>
      </c>
      <c r="F676" s="52">
        <v>5</v>
      </c>
      <c r="G676" s="52">
        <v>6</v>
      </c>
      <c r="H676" s="52">
        <v>4</v>
      </c>
      <c r="I676" s="52">
        <v>27</v>
      </c>
      <c r="J676" s="105">
        <v>4.5</v>
      </c>
      <c r="K676" s="52"/>
    </row>
    <row r="677" spans="1:11" ht="15.75" customHeight="1" x14ac:dyDescent="0.25">
      <c r="A677" s="2">
        <v>575</v>
      </c>
      <c r="B677" s="2" t="s">
        <v>4517</v>
      </c>
      <c r="C677" s="52">
        <v>6</v>
      </c>
      <c r="D677" s="52">
        <v>4</v>
      </c>
      <c r="E677" s="52">
        <v>7</v>
      </c>
      <c r="F677" s="52">
        <v>7</v>
      </c>
      <c r="G677" s="52">
        <v>8</v>
      </c>
      <c r="H677" s="52">
        <v>5</v>
      </c>
      <c r="I677" s="52">
        <v>37</v>
      </c>
      <c r="J677" s="105">
        <v>6.166666666666667</v>
      </c>
      <c r="K677" s="52"/>
    </row>
    <row r="678" spans="1:11" ht="15.75" customHeight="1" x14ac:dyDescent="0.25">
      <c r="A678" s="2">
        <v>576</v>
      </c>
      <c r="B678" s="2" t="s">
        <v>4518</v>
      </c>
      <c r="C678" s="52">
        <v>7</v>
      </c>
      <c r="D678" s="52">
        <v>5</v>
      </c>
      <c r="E678" s="52">
        <v>9</v>
      </c>
      <c r="F678" s="52">
        <v>9</v>
      </c>
      <c r="G678" s="52">
        <v>11</v>
      </c>
      <c r="H678" s="52">
        <v>6</v>
      </c>
      <c r="I678" s="52">
        <v>47</v>
      </c>
      <c r="J678" s="105">
        <v>7.833333333333333</v>
      </c>
      <c r="K678" s="52"/>
    </row>
    <row r="679" spans="1:11" ht="15.75" customHeight="1" x14ac:dyDescent="0.25">
      <c r="A679" s="2">
        <v>577</v>
      </c>
      <c r="B679" s="2" t="s">
        <v>4519</v>
      </c>
      <c r="C679" s="52">
        <v>4</v>
      </c>
      <c r="D679" s="52">
        <v>3</v>
      </c>
      <c r="E679" s="52">
        <v>4</v>
      </c>
      <c r="F679" s="52">
        <v>10</v>
      </c>
      <c r="G679" s="52">
        <v>5</v>
      </c>
      <c r="H679" s="52">
        <v>2</v>
      </c>
      <c r="I679" s="52">
        <v>28</v>
      </c>
      <c r="J679" s="105">
        <v>4.666666666666667</v>
      </c>
      <c r="K679" s="52"/>
    </row>
    <row r="680" spans="1:11" ht="15.75" customHeight="1" x14ac:dyDescent="0.25">
      <c r="A680" s="2">
        <v>578</v>
      </c>
      <c r="B680" s="2" t="s">
        <v>4520</v>
      </c>
      <c r="C680" s="52">
        <v>6</v>
      </c>
      <c r="D680" s="52">
        <v>4</v>
      </c>
      <c r="E680" s="52">
        <v>5</v>
      </c>
      <c r="F680" s="52">
        <v>12</v>
      </c>
      <c r="G680" s="52">
        <v>6</v>
      </c>
      <c r="H680" s="52">
        <v>3</v>
      </c>
      <c r="I680" s="52">
        <v>36</v>
      </c>
      <c r="J680" s="105">
        <v>6</v>
      </c>
      <c r="K680" s="52"/>
    </row>
    <row r="681" spans="1:11" ht="15.75" customHeight="1" x14ac:dyDescent="0.25">
      <c r="A681" s="2">
        <v>579</v>
      </c>
      <c r="B681" s="2" t="s">
        <v>4521</v>
      </c>
      <c r="C681" s="52">
        <v>11</v>
      </c>
      <c r="D681" s="52">
        <v>6</v>
      </c>
      <c r="E681" s="52">
        <v>7</v>
      </c>
      <c r="F681" s="52">
        <v>12</v>
      </c>
      <c r="G681" s="52">
        <v>8</v>
      </c>
      <c r="H681" s="52">
        <v>3</v>
      </c>
      <c r="I681" s="52">
        <v>47</v>
      </c>
      <c r="J681" s="105">
        <v>7.833333333333333</v>
      </c>
      <c r="K681" s="52"/>
    </row>
    <row r="682" spans="1:11" ht="15.75" customHeight="1" x14ac:dyDescent="0.25">
      <c r="A682" s="2">
        <v>580</v>
      </c>
      <c r="B682" s="2" t="s">
        <v>4522</v>
      </c>
      <c r="C682" s="52">
        <v>6</v>
      </c>
      <c r="D682" s="52">
        <v>4</v>
      </c>
      <c r="E682" s="52">
        <v>5</v>
      </c>
      <c r="F682" s="52">
        <v>4</v>
      </c>
      <c r="G682" s="52">
        <v>5</v>
      </c>
      <c r="H682" s="52">
        <v>5</v>
      </c>
      <c r="I682" s="52">
        <v>29</v>
      </c>
      <c r="J682" s="105">
        <v>4.833333333333333</v>
      </c>
      <c r="K682" s="52"/>
    </row>
    <row r="683" spans="1:11" ht="15.75" customHeight="1" x14ac:dyDescent="0.25">
      <c r="A683" s="2">
        <v>581</v>
      </c>
      <c r="B683" s="2" t="s">
        <v>4523</v>
      </c>
      <c r="C683" s="52">
        <v>7</v>
      </c>
      <c r="D683" s="52">
        <v>8</v>
      </c>
      <c r="E683" s="52">
        <v>6</v>
      </c>
      <c r="F683" s="52">
        <v>8</v>
      </c>
      <c r="G683" s="52">
        <v>6</v>
      </c>
      <c r="H683" s="52">
        <v>9</v>
      </c>
      <c r="I683" s="52">
        <v>44</v>
      </c>
      <c r="J683" s="105">
        <v>7.333333333333333</v>
      </c>
      <c r="K683" s="52"/>
    </row>
    <row r="684" spans="1:11" ht="15.75" customHeight="1" x14ac:dyDescent="0.25">
      <c r="A684" s="2">
        <v>582</v>
      </c>
      <c r="B684" s="2" t="s">
        <v>4524</v>
      </c>
      <c r="C684" s="52">
        <v>3</v>
      </c>
      <c r="D684" s="52">
        <v>5</v>
      </c>
      <c r="E684" s="52">
        <v>5</v>
      </c>
      <c r="F684" s="52">
        <v>6</v>
      </c>
      <c r="G684" s="52">
        <v>6</v>
      </c>
      <c r="H684" s="52">
        <v>4</v>
      </c>
      <c r="I684" s="52">
        <v>29</v>
      </c>
      <c r="J684" s="105">
        <v>4.833333333333333</v>
      </c>
      <c r="K684" s="52"/>
    </row>
    <row r="685" spans="1:11" ht="15.75" customHeight="1" x14ac:dyDescent="0.25">
      <c r="A685" s="2">
        <v>583</v>
      </c>
      <c r="B685" s="2" t="s">
        <v>4525</v>
      </c>
      <c r="C685" s="52">
        <v>5</v>
      </c>
      <c r="D685" s="52">
        <v>6</v>
      </c>
      <c r="E685" s="52">
        <v>6</v>
      </c>
      <c r="F685" s="52">
        <v>8</v>
      </c>
      <c r="G685" s="52">
        <v>7</v>
      </c>
      <c r="H685" s="52">
        <v>5</v>
      </c>
      <c r="I685" s="52">
        <v>37</v>
      </c>
      <c r="J685" s="105">
        <v>6.166666666666667</v>
      </c>
      <c r="K685" s="52"/>
    </row>
    <row r="686" spans="1:11" ht="15.75" customHeight="1" x14ac:dyDescent="0.25">
      <c r="A686" s="2">
        <v>584</v>
      </c>
      <c r="B686" s="2" t="s">
        <v>4526</v>
      </c>
      <c r="C686" s="52">
        <v>7</v>
      </c>
      <c r="D686" s="52">
        <v>9</v>
      </c>
      <c r="E686" s="52">
        <v>8</v>
      </c>
      <c r="F686" s="52">
        <v>11</v>
      </c>
      <c r="G686" s="52">
        <v>9</v>
      </c>
      <c r="H686" s="52">
        <v>7</v>
      </c>
      <c r="I686" s="52">
        <v>51</v>
      </c>
      <c r="J686" s="105">
        <v>8.5</v>
      </c>
      <c r="K686" s="52"/>
    </row>
    <row r="687" spans="1:11" ht="15.75" customHeight="1" x14ac:dyDescent="0.25">
      <c r="A687" s="2">
        <v>585</v>
      </c>
      <c r="B687" s="2" t="s">
        <v>4527</v>
      </c>
      <c r="C687" s="52">
        <v>6</v>
      </c>
      <c r="D687" s="52">
        <v>6</v>
      </c>
      <c r="E687" s="52">
        <v>5</v>
      </c>
      <c r="F687" s="52">
        <v>4</v>
      </c>
      <c r="G687" s="52">
        <v>5</v>
      </c>
      <c r="H687" s="52">
        <v>7</v>
      </c>
      <c r="I687" s="52">
        <v>33</v>
      </c>
      <c r="J687" s="105">
        <v>5.5</v>
      </c>
      <c r="K687" s="52"/>
    </row>
    <row r="688" spans="1:11" ht="15.75" customHeight="1" x14ac:dyDescent="0.25">
      <c r="A688" s="2">
        <v>586</v>
      </c>
      <c r="B688" s="2" t="s">
        <v>4528</v>
      </c>
      <c r="C688" s="52">
        <v>8</v>
      </c>
      <c r="D688" s="52">
        <v>10</v>
      </c>
      <c r="E688" s="52">
        <v>7</v>
      </c>
      <c r="F688" s="52">
        <v>6</v>
      </c>
      <c r="G688" s="52">
        <v>7</v>
      </c>
      <c r="H688" s="52">
        <v>9</v>
      </c>
      <c r="I688" s="52">
        <v>47</v>
      </c>
      <c r="J688" s="105">
        <v>7.833333333333333</v>
      </c>
      <c r="K688" s="52"/>
    </row>
    <row r="689" spans="1:11" ht="15.75" customHeight="1" x14ac:dyDescent="0.25">
      <c r="A689" s="2">
        <v>587</v>
      </c>
      <c r="B689" s="2" t="s">
        <v>4529</v>
      </c>
      <c r="C689" s="52">
        <v>5</v>
      </c>
      <c r="D689" s="52">
        <v>7</v>
      </c>
      <c r="E689" s="52">
        <v>6</v>
      </c>
      <c r="F689" s="52">
        <v>7</v>
      </c>
      <c r="G689" s="52">
        <v>6</v>
      </c>
      <c r="H689" s="52">
        <v>10</v>
      </c>
      <c r="I689" s="52">
        <v>41</v>
      </c>
      <c r="J689" s="105">
        <v>6.833333333333333</v>
      </c>
      <c r="K689" s="52"/>
    </row>
    <row r="690" spans="1:11" ht="15.75" customHeight="1" x14ac:dyDescent="0.25">
      <c r="A690" s="2">
        <v>588</v>
      </c>
      <c r="B690" s="2" t="s">
        <v>4530</v>
      </c>
      <c r="C690" s="52">
        <v>5</v>
      </c>
      <c r="D690" s="52">
        <v>7</v>
      </c>
      <c r="E690" s="52">
        <v>4</v>
      </c>
      <c r="F690" s="52">
        <v>4</v>
      </c>
      <c r="G690" s="52">
        <v>4</v>
      </c>
      <c r="H690" s="52">
        <v>6</v>
      </c>
      <c r="I690" s="52">
        <v>30</v>
      </c>
      <c r="J690" s="105">
        <v>5</v>
      </c>
      <c r="K690" s="52"/>
    </row>
    <row r="691" spans="1:11" ht="15.75" customHeight="1" x14ac:dyDescent="0.25">
      <c r="A691" s="2">
        <v>589</v>
      </c>
      <c r="B691" s="2" t="s">
        <v>4531</v>
      </c>
      <c r="C691" s="52">
        <v>7</v>
      </c>
      <c r="D691" s="52">
        <v>13</v>
      </c>
      <c r="E691" s="52">
        <v>10</v>
      </c>
      <c r="F691" s="52">
        <v>6</v>
      </c>
      <c r="G691" s="52">
        <v>10</v>
      </c>
      <c r="H691" s="52">
        <v>2</v>
      </c>
      <c r="I691" s="52">
        <v>48</v>
      </c>
      <c r="J691" s="105">
        <v>8</v>
      </c>
      <c r="K691" s="52"/>
    </row>
    <row r="692" spans="1:11" ht="15.75" customHeight="1" x14ac:dyDescent="0.25">
      <c r="A692" s="2">
        <v>590</v>
      </c>
      <c r="B692" s="2" t="s">
        <v>4532</v>
      </c>
      <c r="C692" s="52">
        <v>6</v>
      </c>
      <c r="D692" s="52">
        <v>5</v>
      </c>
      <c r="E692" s="52">
        <v>4</v>
      </c>
      <c r="F692" s="52">
        <v>5</v>
      </c>
      <c r="G692" s="52">
        <v>5</v>
      </c>
      <c r="H692" s="52">
        <v>1</v>
      </c>
      <c r="I692" s="52">
        <v>26</v>
      </c>
      <c r="J692" s="105">
        <v>4.333333333333333</v>
      </c>
      <c r="K692" s="52"/>
    </row>
    <row r="693" spans="1:11" ht="15.75" customHeight="1" x14ac:dyDescent="0.25">
      <c r="A693" s="2">
        <v>591</v>
      </c>
      <c r="B693" s="2" t="s">
        <v>4533</v>
      </c>
      <c r="C693" s="52">
        <v>11</v>
      </c>
      <c r="D693" s="52">
        <v>8</v>
      </c>
      <c r="E693" s="52">
        <v>7</v>
      </c>
      <c r="F693" s="52">
        <v>8</v>
      </c>
      <c r="G693" s="52">
        <v>8</v>
      </c>
      <c r="H693" s="52">
        <v>3</v>
      </c>
      <c r="I693" s="52">
        <v>45</v>
      </c>
      <c r="J693" s="105">
        <v>7.5</v>
      </c>
      <c r="K693" s="52"/>
    </row>
    <row r="694" spans="1:11" ht="15.75" customHeight="1" x14ac:dyDescent="0.25">
      <c r="A694" s="2">
        <v>592</v>
      </c>
      <c r="B694" s="2" t="s">
        <v>4534</v>
      </c>
      <c r="C694" s="52">
        <v>5</v>
      </c>
      <c r="D694" s="52">
        <v>4</v>
      </c>
      <c r="E694" s="52">
        <v>5</v>
      </c>
      <c r="F694" s="52">
        <v>6</v>
      </c>
      <c r="G694" s="52">
        <v>8</v>
      </c>
      <c r="H694" s="52">
        <v>4</v>
      </c>
      <c r="I694" s="52">
        <v>32</v>
      </c>
      <c r="J694" s="105">
        <v>5.333333333333333</v>
      </c>
      <c r="K694" s="52"/>
    </row>
    <row r="695" spans="1:11" ht="15.75" customHeight="1" x14ac:dyDescent="0.25">
      <c r="A695" s="2">
        <v>593</v>
      </c>
      <c r="B695" s="2" t="s">
        <v>4535</v>
      </c>
      <c r="C695" s="52">
        <v>10</v>
      </c>
      <c r="D695" s="52">
        <v>6</v>
      </c>
      <c r="E695" s="52">
        <v>7</v>
      </c>
      <c r="F695" s="52">
        <v>8</v>
      </c>
      <c r="G695" s="52">
        <v>10</v>
      </c>
      <c r="H695" s="52">
        <v>6</v>
      </c>
      <c r="I695" s="52">
        <v>47</v>
      </c>
      <c r="J695" s="105">
        <v>7.833333333333333</v>
      </c>
      <c r="K695" s="52"/>
    </row>
    <row r="696" spans="1:11" ht="15.75" customHeight="1" x14ac:dyDescent="0.25">
      <c r="A696" s="2">
        <v>594</v>
      </c>
      <c r="B696" s="2" t="s">
        <v>4536</v>
      </c>
      <c r="C696" s="52">
        <v>16</v>
      </c>
      <c r="D696" s="52">
        <v>7</v>
      </c>
      <c r="E696" s="52">
        <v>8</v>
      </c>
      <c r="F696" s="52">
        <v>4</v>
      </c>
      <c r="G696" s="52">
        <v>4</v>
      </c>
      <c r="H696" s="52">
        <v>6</v>
      </c>
      <c r="I696" s="52">
        <v>45</v>
      </c>
      <c r="J696" s="105">
        <v>7.5</v>
      </c>
      <c r="K696" s="52"/>
    </row>
    <row r="697" spans="1:11" ht="15.75" customHeight="1" x14ac:dyDescent="0.25">
      <c r="A697" s="2">
        <v>595</v>
      </c>
      <c r="B697" s="2" t="s">
        <v>4537</v>
      </c>
      <c r="C697" s="52">
        <v>5</v>
      </c>
      <c r="D697" s="52">
        <v>4</v>
      </c>
      <c r="E697" s="52">
        <v>5</v>
      </c>
      <c r="F697" s="52">
        <v>5</v>
      </c>
      <c r="G697" s="52">
        <v>5</v>
      </c>
      <c r="H697" s="52">
        <v>6</v>
      </c>
      <c r="I697" s="52">
        <v>30</v>
      </c>
      <c r="J697" s="105">
        <v>5</v>
      </c>
      <c r="K697" s="52"/>
    </row>
    <row r="698" spans="1:11" ht="15.75" customHeight="1" x14ac:dyDescent="0.25">
      <c r="A698" s="2">
        <v>596</v>
      </c>
      <c r="B698" s="2" t="s">
        <v>4538</v>
      </c>
      <c r="C698" s="52">
        <v>7</v>
      </c>
      <c r="D698" s="52">
        <v>7</v>
      </c>
      <c r="E698" s="52">
        <v>6</v>
      </c>
      <c r="F698" s="52">
        <v>9</v>
      </c>
      <c r="G698" s="52">
        <v>6</v>
      </c>
      <c r="H698" s="52">
        <v>10</v>
      </c>
      <c r="I698" s="52">
        <v>45</v>
      </c>
      <c r="J698" s="105">
        <v>7.5</v>
      </c>
      <c r="K698" s="52"/>
    </row>
    <row r="699" spans="1:11" ht="15.75" customHeight="1" x14ac:dyDescent="0.25">
      <c r="A699" s="2">
        <v>597</v>
      </c>
      <c r="B699" s="2" t="s">
        <v>4539</v>
      </c>
      <c r="C699" s="52">
        <v>4</v>
      </c>
      <c r="D699" s="52">
        <v>5</v>
      </c>
      <c r="E699" s="52">
        <v>9</v>
      </c>
      <c r="F699" s="52">
        <v>2</v>
      </c>
      <c r="G699" s="52">
        <v>8</v>
      </c>
      <c r="H699" s="52">
        <v>1</v>
      </c>
      <c r="I699" s="52">
        <v>29</v>
      </c>
      <c r="J699" s="105">
        <v>4.833333333333333</v>
      </c>
      <c r="K699" s="52"/>
    </row>
    <row r="700" spans="1:11" ht="15.75" customHeight="1" x14ac:dyDescent="0.25">
      <c r="A700" s="2">
        <v>598</v>
      </c>
      <c r="B700" s="2" t="s">
        <v>4540</v>
      </c>
      <c r="C700" s="52">
        <v>7</v>
      </c>
      <c r="D700" s="52">
        <v>9</v>
      </c>
      <c r="E700" s="52">
        <v>13</v>
      </c>
      <c r="F700" s="52">
        <v>5</v>
      </c>
      <c r="G700" s="52">
        <v>11</v>
      </c>
      <c r="H700" s="52">
        <v>2</v>
      </c>
      <c r="I700" s="52">
        <v>47</v>
      </c>
      <c r="J700" s="105">
        <v>7.833333333333333</v>
      </c>
      <c r="K700" s="52"/>
    </row>
    <row r="701" spans="1:11" ht="15.75" customHeight="1" x14ac:dyDescent="0.25">
      <c r="A701" s="2">
        <v>599</v>
      </c>
      <c r="B701" s="2" t="s">
        <v>4541</v>
      </c>
      <c r="C701" s="52">
        <v>4</v>
      </c>
      <c r="D701" s="52">
        <v>5</v>
      </c>
      <c r="E701" s="52">
        <v>7</v>
      </c>
      <c r="F701" s="52">
        <v>4</v>
      </c>
      <c r="G701" s="52">
        <v>6</v>
      </c>
      <c r="H701" s="52">
        <v>3</v>
      </c>
      <c r="I701" s="52">
        <v>29</v>
      </c>
      <c r="J701" s="105">
        <v>4.833333333333333</v>
      </c>
      <c r="K701" s="52"/>
    </row>
    <row r="702" spans="1:11" ht="15.75" customHeight="1" x14ac:dyDescent="0.25">
      <c r="A702" s="2">
        <v>600</v>
      </c>
      <c r="B702" s="2" t="s">
        <v>4542</v>
      </c>
      <c r="C702" s="52">
        <v>6</v>
      </c>
      <c r="D702" s="52">
        <v>8</v>
      </c>
      <c r="E702" s="52">
        <v>9</v>
      </c>
      <c r="F702" s="52">
        <v>7</v>
      </c>
      <c r="G702" s="52">
        <v>8</v>
      </c>
      <c r="H702" s="52">
        <v>5</v>
      </c>
      <c r="I702" s="52">
        <v>43</v>
      </c>
      <c r="J702" s="105">
        <v>7.166666666666667</v>
      </c>
      <c r="K702" s="52"/>
    </row>
    <row r="703" spans="1:11" ht="15.75" customHeight="1" x14ac:dyDescent="0.25">
      <c r="A703" s="2">
        <v>601</v>
      </c>
      <c r="B703" s="2" t="s">
        <v>4543</v>
      </c>
      <c r="C703" s="52">
        <v>6</v>
      </c>
      <c r="D703" s="52">
        <v>10</v>
      </c>
      <c r="E703" s="52">
        <v>11</v>
      </c>
      <c r="F703" s="52">
        <v>7</v>
      </c>
      <c r="G703" s="52">
        <v>8</v>
      </c>
      <c r="H703" s="52">
        <v>9</v>
      </c>
      <c r="I703" s="52">
        <v>51</v>
      </c>
      <c r="J703" s="105">
        <v>8.5</v>
      </c>
      <c r="K703" s="52"/>
    </row>
    <row r="704" spans="1:11" ht="15.75" customHeight="1" x14ac:dyDescent="0.25">
      <c r="A704" s="2">
        <v>602</v>
      </c>
      <c r="B704" s="2" t="s">
        <v>4544</v>
      </c>
      <c r="C704" s="52">
        <v>3</v>
      </c>
      <c r="D704" s="52">
        <v>5</v>
      </c>
      <c r="E704" s="52">
        <v>4</v>
      </c>
      <c r="F704" s="52">
        <v>4</v>
      </c>
      <c r="G704" s="52">
        <v>4</v>
      </c>
      <c r="H704" s="52">
        <v>6</v>
      </c>
      <c r="I704" s="52">
        <v>26</v>
      </c>
      <c r="J704" s="105">
        <v>4.333333333333333</v>
      </c>
      <c r="K704" s="52"/>
    </row>
    <row r="705" spans="1:11" ht="15.75" customHeight="1" x14ac:dyDescent="0.25">
      <c r="A705" s="2">
        <v>603</v>
      </c>
      <c r="B705" s="2" t="s">
        <v>4545</v>
      </c>
      <c r="C705" s="52">
        <v>6</v>
      </c>
      <c r="D705" s="52">
        <v>8</v>
      </c>
      <c r="E705" s="52">
        <v>7</v>
      </c>
      <c r="F705" s="52">
        <v>7</v>
      </c>
      <c r="G705" s="52">
        <v>7</v>
      </c>
      <c r="H705" s="52">
        <v>4</v>
      </c>
      <c r="I705" s="52">
        <v>39</v>
      </c>
      <c r="J705" s="105">
        <v>6.5</v>
      </c>
      <c r="K705" s="52"/>
    </row>
    <row r="706" spans="1:11" ht="15.75" customHeight="1" x14ac:dyDescent="0.25">
      <c r="A706" s="2">
        <v>604</v>
      </c>
      <c r="B706" s="2" t="s">
        <v>4546</v>
      </c>
      <c r="C706" s="52">
        <v>8</v>
      </c>
      <c r="D706" s="52">
        <v>11</v>
      </c>
      <c r="E706" s="52">
        <v>8</v>
      </c>
      <c r="F706" s="52">
        <v>10</v>
      </c>
      <c r="G706" s="52">
        <v>8</v>
      </c>
      <c r="H706" s="52">
        <v>5</v>
      </c>
      <c r="I706" s="52">
        <v>50</v>
      </c>
      <c r="J706" s="105">
        <v>8.3333333333333339</v>
      </c>
      <c r="K706" s="52"/>
    </row>
    <row r="707" spans="1:11" ht="15.75" customHeight="1" x14ac:dyDescent="0.25">
      <c r="A707" s="2">
        <v>605</v>
      </c>
      <c r="B707" s="2" t="s">
        <v>4547</v>
      </c>
      <c r="C707" s="52">
        <v>5</v>
      </c>
      <c r="D707" s="52">
        <v>5</v>
      </c>
      <c r="E707" s="52">
        <v>5</v>
      </c>
      <c r="F707" s="52">
        <v>8</v>
      </c>
      <c r="G707" s="52">
        <v>5</v>
      </c>
      <c r="H707" s="52">
        <v>3</v>
      </c>
      <c r="I707" s="52">
        <v>31</v>
      </c>
      <c r="J707" s="105">
        <v>5.166666666666667</v>
      </c>
      <c r="K707" s="52"/>
    </row>
    <row r="708" spans="1:11" ht="15.75" customHeight="1" x14ac:dyDescent="0.25">
      <c r="A708" s="2">
        <v>606</v>
      </c>
      <c r="B708" s="2" t="s">
        <v>4548</v>
      </c>
      <c r="C708" s="52">
        <v>7</v>
      </c>
      <c r="D708" s="52">
        <v>7</v>
      </c>
      <c r="E708" s="52">
        <v>7</v>
      </c>
      <c r="F708" s="52">
        <v>12</v>
      </c>
      <c r="G708" s="52">
        <v>9</v>
      </c>
      <c r="H708" s="52">
        <v>4</v>
      </c>
      <c r="I708" s="52">
        <v>46</v>
      </c>
      <c r="J708" s="105">
        <v>7.666666666666667</v>
      </c>
      <c r="K708" s="52"/>
    </row>
    <row r="709" spans="1:11" ht="15.75" customHeight="1" x14ac:dyDescent="0.25">
      <c r="A709" s="2">
        <v>607</v>
      </c>
      <c r="B709" s="2" t="s">
        <v>4549</v>
      </c>
      <c r="C709" s="52">
        <v>5</v>
      </c>
      <c r="D709" s="52">
        <v>3</v>
      </c>
      <c r="E709" s="52">
        <v>5</v>
      </c>
      <c r="F709" s="52">
        <v>6</v>
      </c>
      <c r="G709" s="52">
        <v>5</v>
      </c>
      <c r="H709" s="52">
        <v>2</v>
      </c>
      <c r="I709" s="52">
        <v>26</v>
      </c>
      <c r="J709" s="105">
        <v>4.333333333333333</v>
      </c>
      <c r="K709" s="52"/>
    </row>
    <row r="710" spans="1:11" ht="15.75" customHeight="1" x14ac:dyDescent="0.25">
      <c r="A710" s="2">
        <v>608</v>
      </c>
      <c r="B710" s="2" t="s">
        <v>4550</v>
      </c>
      <c r="C710" s="52">
        <v>6</v>
      </c>
      <c r="D710" s="52">
        <v>4</v>
      </c>
      <c r="E710" s="52">
        <v>6</v>
      </c>
      <c r="F710" s="52">
        <v>9</v>
      </c>
      <c r="G710" s="52">
        <v>6</v>
      </c>
      <c r="H710" s="52">
        <v>5</v>
      </c>
      <c r="I710" s="52">
        <v>36</v>
      </c>
      <c r="J710" s="105">
        <v>6</v>
      </c>
      <c r="K710" s="52"/>
    </row>
    <row r="711" spans="1:11" ht="15.75" customHeight="1" x14ac:dyDescent="0.25">
      <c r="A711" s="2">
        <v>609</v>
      </c>
      <c r="B711" s="2" t="s">
        <v>4551</v>
      </c>
      <c r="C711" s="52">
        <v>6</v>
      </c>
      <c r="D711" s="52">
        <v>5</v>
      </c>
      <c r="E711" s="52">
        <v>9</v>
      </c>
      <c r="F711" s="52">
        <v>14</v>
      </c>
      <c r="G711" s="52">
        <v>9</v>
      </c>
      <c r="H711" s="52">
        <v>8</v>
      </c>
      <c r="I711" s="52">
        <v>51</v>
      </c>
      <c r="J711" s="105">
        <v>8.5</v>
      </c>
      <c r="K711" s="52"/>
    </row>
    <row r="712" spans="1:11" ht="15.75" customHeight="1" x14ac:dyDescent="0.25">
      <c r="A712" s="2">
        <v>610</v>
      </c>
      <c r="B712" s="2" t="s">
        <v>4552</v>
      </c>
      <c r="C712" s="52">
        <v>4</v>
      </c>
      <c r="D712" s="52">
        <v>8</v>
      </c>
      <c r="E712" s="52">
        <v>6</v>
      </c>
      <c r="F712" s="52">
        <v>3</v>
      </c>
      <c r="G712" s="52">
        <v>4</v>
      </c>
      <c r="H712" s="52">
        <v>5</v>
      </c>
      <c r="I712" s="52">
        <v>30</v>
      </c>
      <c r="J712" s="105">
        <v>5</v>
      </c>
      <c r="K712" s="52"/>
    </row>
    <row r="713" spans="1:11" ht="15.75" customHeight="1" x14ac:dyDescent="0.25">
      <c r="A713" s="2">
        <v>611</v>
      </c>
      <c r="B713" s="2" t="s">
        <v>4553</v>
      </c>
      <c r="C713" s="52">
        <v>6</v>
      </c>
      <c r="D713" s="52">
        <v>11</v>
      </c>
      <c r="E713" s="52">
        <v>7</v>
      </c>
      <c r="F713" s="52">
        <v>4</v>
      </c>
      <c r="G713" s="52">
        <v>5</v>
      </c>
      <c r="H713" s="52">
        <v>6</v>
      </c>
      <c r="I713" s="52">
        <v>39</v>
      </c>
      <c r="J713" s="105">
        <v>6.5</v>
      </c>
      <c r="K713" s="52"/>
    </row>
    <row r="714" spans="1:11" ht="15.75" customHeight="1" x14ac:dyDescent="0.25">
      <c r="A714" s="2">
        <v>612</v>
      </c>
      <c r="B714" s="2" t="s">
        <v>4554</v>
      </c>
      <c r="C714" s="52">
        <v>7</v>
      </c>
      <c r="D714" s="52">
        <v>14</v>
      </c>
      <c r="E714" s="52">
        <v>9</v>
      </c>
      <c r="F714" s="52">
        <v>6</v>
      </c>
      <c r="G714" s="52">
        <v>7</v>
      </c>
      <c r="H714" s="52">
        <v>9</v>
      </c>
      <c r="I714" s="52">
        <v>52</v>
      </c>
      <c r="J714" s="105">
        <v>8.6666666666666661</v>
      </c>
      <c r="K714" s="52"/>
    </row>
    <row r="715" spans="1:11" ht="15.75" customHeight="1" x14ac:dyDescent="0.25">
      <c r="A715" s="2">
        <v>613</v>
      </c>
      <c r="B715" s="2" t="s">
        <v>4555</v>
      </c>
      <c r="C715" s="52">
        <v>5</v>
      </c>
      <c r="D715" s="52">
        <v>7</v>
      </c>
      <c r="E715" s="52">
        <v>4</v>
      </c>
      <c r="F715" s="52">
        <v>6</v>
      </c>
      <c r="G715" s="52">
        <v>4</v>
      </c>
      <c r="H715" s="52">
        <v>4</v>
      </c>
      <c r="I715" s="52">
        <v>30</v>
      </c>
      <c r="J715" s="105">
        <v>5</v>
      </c>
      <c r="K715" s="52"/>
    </row>
    <row r="716" spans="1:11" ht="15.75" customHeight="1" x14ac:dyDescent="0.25">
      <c r="A716" s="2">
        <v>614</v>
      </c>
      <c r="B716" s="2" t="s">
        <v>4556</v>
      </c>
      <c r="C716" s="52">
        <v>9</v>
      </c>
      <c r="D716" s="52">
        <v>13</v>
      </c>
      <c r="E716" s="52">
        <v>8</v>
      </c>
      <c r="F716" s="52">
        <v>7</v>
      </c>
      <c r="G716" s="52">
        <v>8</v>
      </c>
      <c r="H716" s="52">
        <v>5</v>
      </c>
      <c r="I716" s="52">
        <v>50</v>
      </c>
      <c r="J716" s="105">
        <v>8.3333333333333339</v>
      </c>
      <c r="K716" s="52"/>
    </row>
    <row r="717" spans="1:11" ht="15.75" customHeight="1" x14ac:dyDescent="0.25">
      <c r="A717" s="2">
        <v>615</v>
      </c>
      <c r="B717" s="2" t="s">
        <v>4557</v>
      </c>
      <c r="C717" s="52">
        <v>8</v>
      </c>
      <c r="D717" s="52">
        <v>5</v>
      </c>
      <c r="E717" s="52">
        <v>5</v>
      </c>
      <c r="F717" s="52">
        <v>9</v>
      </c>
      <c r="G717" s="52">
        <v>13</v>
      </c>
      <c r="H717" s="52">
        <v>10</v>
      </c>
      <c r="I717" s="52">
        <v>50</v>
      </c>
      <c r="J717" s="105">
        <v>8.3333333333333339</v>
      </c>
      <c r="K717" s="52"/>
    </row>
    <row r="718" spans="1:11" ht="15.75" customHeight="1" x14ac:dyDescent="0.25">
      <c r="A718" s="2">
        <v>616</v>
      </c>
      <c r="B718" s="2" t="s">
        <v>4558</v>
      </c>
      <c r="C718" s="52">
        <v>5</v>
      </c>
      <c r="D718" s="52">
        <v>4</v>
      </c>
      <c r="E718" s="52">
        <v>8</v>
      </c>
      <c r="F718" s="52">
        <v>4</v>
      </c>
      <c r="G718" s="52">
        <v>6</v>
      </c>
      <c r="H718" s="52">
        <v>2</v>
      </c>
      <c r="I718" s="52">
        <v>29</v>
      </c>
      <c r="J718" s="105">
        <v>4.833333333333333</v>
      </c>
      <c r="K718" s="52"/>
    </row>
    <row r="719" spans="1:11" ht="15.75" customHeight="1" x14ac:dyDescent="0.25">
      <c r="A719" s="2">
        <v>617</v>
      </c>
      <c r="B719" s="2" t="s">
        <v>4559</v>
      </c>
      <c r="C719" s="52">
        <v>8</v>
      </c>
      <c r="D719" s="52">
        <v>7</v>
      </c>
      <c r="E719" s="52">
        <v>4</v>
      </c>
      <c r="F719" s="52">
        <v>10</v>
      </c>
      <c r="G719" s="52">
        <v>6</v>
      </c>
      <c r="H719" s="52">
        <v>14</v>
      </c>
      <c r="I719" s="52">
        <v>49</v>
      </c>
      <c r="J719" s="105">
        <v>8.1666666666666661</v>
      </c>
      <c r="K719" s="52"/>
    </row>
    <row r="720" spans="1:11" ht="15.75" customHeight="1" x14ac:dyDescent="0.25">
      <c r="A720" s="2">
        <v>618</v>
      </c>
      <c r="B720" s="2" t="s">
        <v>4560</v>
      </c>
      <c r="C720" s="52">
        <v>10</v>
      </c>
      <c r="D720" s="52">
        <v>6</v>
      </c>
      <c r="E720" s="52">
        <v>8</v>
      </c>
      <c r="F720" s="52">
        <v>8</v>
      </c>
      <c r="G720" s="52">
        <v>9</v>
      </c>
      <c r="H720" s="52">
        <v>3</v>
      </c>
      <c r="I720" s="52">
        <v>44</v>
      </c>
      <c r="J720" s="105">
        <v>7.333333333333333</v>
      </c>
      <c r="K720" s="52"/>
    </row>
    <row r="721" spans="1:11" ht="15.75" customHeight="1" x14ac:dyDescent="0.25">
      <c r="A721" s="2">
        <v>618</v>
      </c>
      <c r="B721" s="2" t="s">
        <v>4561</v>
      </c>
      <c r="C721" s="52">
        <v>10</v>
      </c>
      <c r="D721" s="52">
        <v>8</v>
      </c>
      <c r="E721" s="52">
        <v>9</v>
      </c>
      <c r="F721" s="52">
        <v>6</v>
      </c>
      <c r="G721" s="52">
        <v>8</v>
      </c>
      <c r="H721" s="52">
        <v>3</v>
      </c>
      <c r="I721" s="52">
        <v>44</v>
      </c>
      <c r="J721" s="105">
        <v>7.333333333333333</v>
      </c>
      <c r="K721" s="52"/>
    </row>
    <row r="722" spans="1:11" ht="15.75" customHeight="1" x14ac:dyDescent="0.25">
      <c r="A722" s="2">
        <v>619</v>
      </c>
      <c r="B722" s="2" t="s">
        <v>4562</v>
      </c>
      <c r="C722" s="52">
        <v>4</v>
      </c>
      <c r="D722" s="52">
        <v>8</v>
      </c>
      <c r="E722" s="52">
        <v>5</v>
      </c>
      <c r="F722" s="52">
        <v>5</v>
      </c>
      <c r="G722" s="52">
        <v>5</v>
      </c>
      <c r="H722" s="52">
        <v>6</v>
      </c>
      <c r="I722" s="52">
        <v>33</v>
      </c>
      <c r="J722" s="105">
        <v>5.5</v>
      </c>
      <c r="K722" s="52"/>
    </row>
    <row r="723" spans="1:11" ht="15.75" customHeight="1" x14ac:dyDescent="0.25">
      <c r="A723" s="2">
        <v>620</v>
      </c>
      <c r="B723" s="2" t="s">
        <v>4563</v>
      </c>
      <c r="C723" s="52">
        <v>6</v>
      </c>
      <c r="D723" s="52">
        <v>12</v>
      </c>
      <c r="E723" s="52">
        <v>6</v>
      </c>
      <c r="F723" s="52">
        <v>9</v>
      </c>
      <c r="G723" s="52">
        <v>6</v>
      </c>
      <c r="H723" s="52">
        <v>10</v>
      </c>
      <c r="I723" s="52">
        <v>49</v>
      </c>
      <c r="J723" s="105">
        <v>8.1666666666666661</v>
      </c>
      <c r="K723" s="52"/>
    </row>
    <row r="724" spans="1:11" ht="15.75" customHeight="1" x14ac:dyDescent="0.25">
      <c r="A724" s="2">
        <v>621</v>
      </c>
      <c r="B724" s="2" t="s">
        <v>4564</v>
      </c>
      <c r="C724" s="52">
        <v>7</v>
      </c>
      <c r="D724" s="52">
        <v>12</v>
      </c>
      <c r="E724" s="52">
        <v>9</v>
      </c>
      <c r="F724" s="52">
        <v>6</v>
      </c>
      <c r="G724" s="52">
        <v>9</v>
      </c>
      <c r="H724" s="52">
        <v>4</v>
      </c>
      <c r="I724" s="52">
        <v>47</v>
      </c>
      <c r="J724" s="105">
        <v>7.833333333333333</v>
      </c>
      <c r="K724" s="52"/>
    </row>
    <row r="725" spans="1:11" ht="15.75" customHeight="1" x14ac:dyDescent="0.25">
      <c r="A725" s="2">
        <v>622</v>
      </c>
      <c r="B725" s="2" t="s">
        <v>4565</v>
      </c>
      <c r="C725" s="52">
        <v>5</v>
      </c>
      <c r="D725" s="52">
        <v>7</v>
      </c>
      <c r="E725" s="52">
        <v>5</v>
      </c>
      <c r="F725" s="52">
        <v>3</v>
      </c>
      <c r="G725" s="52">
        <v>5</v>
      </c>
      <c r="H725" s="52">
        <v>3</v>
      </c>
      <c r="I725" s="52">
        <v>28</v>
      </c>
      <c r="J725" s="105">
        <v>4.666666666666667</v>
      </c>
      <c r="K725" s="52"/>
    </row>
    <row r="726" spans="1:11" ht="15.75" customHeight="1" x14ac:dyDescent="0.25">
      <c r="A726" s="2">
        <v>623</v>
      </c>
      <c r="B726" s="2" t="s">
        <v>4566</v>
      </c>
      <c r="C726" s="52">
        <v>8</v>
      </c>
      <c r="D726" s="52">
        <v>12</v>
      </c>
      <c r="E726" s="52">
        <v>8</v>
      </c>
      <c r="F726" s="52">
        <v>5</v>
      </c>
      <c r="G726" s="52">
        <v>8</v>
      </c>
      <c r="H726" s="52">
        <v>5</v>
      </c>
      <c r="I726" s="52">
        <v>46</v>
      </c>
      <c r="J726" s="105">
        <v>7.666666666666667</v>
      </c>
      <c r="K726" s="52"/>
    </row>
    <row r="727" spans="1:11" ht="15.75" customHeight="1" x14ac:dyDescent="0.25">
      <c r="A727" s="2">
        <v>624</v>
      </c>
      <c r="B727" s="2" t="s">
        <v>4567</v>
      </c>
      <c r="C727" s="52">
        <v>4</v>
      </c>
      <c r="D727" s="52">
        <v>8</v>
      </c>
      <c r="E727" s="52">
        <v>7</v>
      </c>
      <c r="F727" s="52">
        <v>4</v>
      </c>
      <c r="G727" s="52">
        <v>4</v>
      </c>
      <c r="H727" s="52">
        <v>6</v>
      </c>
      <c r="I727" s="52">
        <v>33</v>
      </c>
      <c r="J727" s="105">
        <v>5.5</v>
      </c>
      <c r="K727" s="52"/>
    </row>
    <row r="728" spans="1:11" ht="15.75" customHeight="1" x14ac:dyDescent="0.25">
      <c r="A728" s="2">
        <v>625</v>
      </c>
      <c r="B728" s="2" t="s">
        <v>4568</v>
      </c>
      <c r="C728" s="52">
        <v>6</v>
      </c>
      <c r="D728" s="52">
        <v>12</v>
      </c>
      <c r="E728" s="52">
        <v>10</v>
      </c>
      <c r="F728" s="52">
        <v>6</v>
      </c>
      <c r="G728" s="52">
        <v>7</v>
      </c>
      <c r="H728" s="52">
        <v>7</v>
      </c>
      <c r="I728" s="52">
        <v>48</v>
      </c>
      <c r="J728" s="105">
        <v>8</v>
      </c>
      <c r="K728" s="52"/>
    </row>
    <row r="729" spans="1:11" ht="15.75" customHeight="1" x14ac:dyDescent="0.25">
      <c r="A729" s="2">
        <v>626</v>
      </c>
      <c r="B729" s="2" t="s">
        <v>4569</v>
      </c>
      <c r="C729" s="52">
        <v>9</v>
      </c>
      <c r="D729" s="52">
        <v>11</v>
      </c>
      <c r="E729" s="52">
        <v>9</v>
      </c>
      <c r="F729" s="52">
        <v>4</v>
      </c>
      <c r="G729" s="52">
        <v>9</v>
      </c>
      <c r="H729" s="52">
        <v>5</v>
      </c>
      <c r="I729" s="52">
        <v>47</v>
      </c>
      <c r="J729" s="105">
        <v>7.833333333333333</v>
      </c>
      <c r="K729" s="52"/>
    </row>
    <row r="730" spans="1:11" ht="15.75" customHeight="1" x14ac:dyDescent="0.25">
      <c r="A730" s="2">
        <v>627</v>
      </c>
      <c r="B730" s="2" t="s">
        <v>4570</v>
      </c>
      <c r="C730" s="52">
        <v>7</v>
      </c>
      <c r="D730" s="52">
        <v>8</v>
      </c>
      <c r="E730" s="52">
        <v>5</v>
      </c>
      <c r="F730" s="52">
        <v>3</v>
      </c>
      <c r="G730" s="52">
        <v>5</v>
      </c>
      <c r="H730" s="52">
        <v>6</v>
      </c>
      <c r="I730" s="52">
        <v>34</v>
      </c>
      <c r="J730" s="105">
        <v>5.666666666666667</v>
      </c>
      <c r="K730" s="52"/>
    </row>
    <row r="731" spans="1:11" ht="15.75" customHeight="1" x14ac:dyDescent="0.25">
      <c r="A731" s="2">
        <v>628</v>
      </c>
      <c r="B731" s="2" t="s">
        <v>4571</v>
      </c>
      <c r="C731" s="52">
        <v>10</v>
      </c>
      <c r="D731" s="52">
        <v>12</v>
      </c>
      <c r="E731" s="52">
        <v>7</v>
      </c>
      <c r="F731" s="52">
        <v>5</v>
      </c>
      <c r="G731" s="52">
        <v>7</v>
      </c>
      <c r="H731" s="52">
        <v>8</v>
      </c>
      <c r="I731" s="52">
        <v>49</v>
      </c>
      <c r="J731" s="105">
        <v>8.1666666666666661</v>
      </c>
      <c r="K731" s="52"/>
    </row>
    <row r="732" spans="1:11" ht="15.75" customHeight="1" x14ac:dyDescent="0.25">
      <c r="A732" s="2">
        <v>629</v>
      </c>
      <c r="B732" s="2" t="s">
        <v>4572</v>
      </c>
      <c r="C732" s="52">
        <v>7</v>
      </c>
      <c r="D732" s="52">
        <v>5</v>
      </c>
      <c r="E732" s="52">
        <v>7</v>
      </c>
      <c r="F732" s="52">
        <v>4</v>
      </c>
      <c r="G732" s="52">
        <v>6</v>
      </c>
      <c r="H732" s="52">
        <v>6</v>
      </c>
      <c r="I732" s="52">
        <v>35</v>
      </c>
      <c r="J732" s="105">
        <v>5.833333333333333</v>
      </c>
      <c r="K732" s="52"/>
    </row>
    <row r="733" spans="1:11" ht="15.75" customHeight="1" x14ac:dyDescent="0.25">
      <c r="A733" s="2">
        <v>630</v>
      </c>
      <c r="B733" s="2" t="s">
        <v>4573</v>
      </c>
      <c r="C733" s="52">
        <v>11</v>
      </c>
      <c r="D733" s="52">
        <v>6</v>
      </c>
      <c r="E733" s="52">
        <v>10</v>
      </c>
      <c r="F733" s="52">
        <v>5</v>
      </c>
      <c r="G733" s="52">
        <v>9</v>
      </c>
      <c r="H733" s="52">
        <v>8</v>
      </c>
      <c r="I733" s="52">
        <v>49</v>
      </c>
      <c r="J733" s="105">
        <v>8.1666666666666661</v>
      </c>
      <c r="K733" s="52"/>
    </row>
    <row r="734" spans="1:11" ht="15.75" customHeight="1" x14ac:dyDescent="0.25">
      <c r="A734" s="2">
        <v>631</v>
      </c>
      <c r="B734" s="2" t="s">
        <v>4574</v>
      </c>
      <c r="C734" s="52">
        <v>8</v>
      </c>
      <c r="D734" s="52">
        <v>9</v>
      </c>
      <c r="E734" s="52">
        <v>6</v>
      </c>
      <c r="F734" s="52">
        <v>10</v>
      </c>
      <c r="G734" s="52">
        <v>6</v>
      </c>
      <c r="H734" s="52">
        <v>6</v>
      </c>
      <c r="I734" s="52">
        <v>45</v>
      </c>
      <c r="J734" s="105">
        <v>7.5</v>
      </c>
      <c r="K734" s="52"/>
    </row>
    <row r="735" spans="1:11" ht="15.75" customHeight="1" x14ac:dyDescent="0.25">
      <c r="A735" s="2">
        <v>632</v>
      </c>
      <c r="B735" s="2" t="s">
        <v>4575</v>
      </c>
      <c r="C735" s="52">
        <v>5</v>
      </c>
      <c r="D735" s="52">
        <v>10</v>
      </c>
      <c r="E735" s="52">
        <v>11</v>
      </c>
      <c r="F735" s="52">
        <v>4</v>
      </c>
      <c r="G735" s="52">
        <v>4</v>
      </c>
      <c r="H735" s="52">
        <v>10</v>
      </c>
      <c r="I735" s="52">
        <v>44</v>
      </c>
      <c r="J735" s="105">
        <v>7.333333333333333</v>
      </c>
      <c r="K735" s="52"/>
    </row>
    <row r="736" spans="1:11" ht="15.75" customHeight="1" x14ac:dyDescent="0.25">
      <c r="A736" s="2">
        <v>633</v>
      </c>
      <c r="B736" s="2" t="s">
        <v>4576</v>
      </c>
      <c r="C736" s="52">
        <v>5</v>
      </c>
      <c r="D736" s="52">
        <v>6</v>
      </c>
      <c r="E736" s="52">
        <v>5</v>
      </c>
      <c r="F736" s="52">
        <v>4</v>
      </c>
      <c r="G736" s="52">
        <v>5</v>
      </c>
      <c r="H736" s="52">
        <v>3</v>
      </c>
      <c r="I736" s="52">
        <v>28</v>
      </c>
      <c r="J736" s="105">
        <v>4.666666666666667</v>
      </c>
      <c r="K736" s="52"/>
    </row>
    <row r="737" spans="1:11" ht="15.75" customHeight="1" x14ac:dyDescent="0.25">
      <c r="A737" s="2">
        <v>634</v>
      </c>
      <c r="B737" s="2" t="s">
        <v>4577</v>
      </c>
      <c r="C737" s="52">
        <v>7</v>
      </c>
      <c r="D737" s="52">
        <v>8</v>
      </c>
      <c r="E737" s="52">
        <v>7</v>
      </c>
      <c r="F737" s="52">
        <v>6</v>
      </c>
      <c r="G737" s="52">
        <v>7</v>
      </c>
      <c r="H737" s="52">
        <v>5</v>
      </c>
      <c r="I737" s="52">
        <v>40</v>
      </c>
      <c r="J737" s="105">
        <v>6.666666666666667</v>
      </c>
      <c r="K737" s="52"/>
    </row>
    <row r="738" spans="1:11" ht="15.75" customHeight="1" x14ac:dyDescent="0.25">
      <c r="A738" s="2">
        <v>635</v>
      </c>
      <c r="B738" s="2" t="s">
        <v>4578</v>
      </c>
      <c r="C738" s="52">
        <v>9</v>
      </c>
      <c r="D738" s="52">
        <v>10</v>
      </c>
      <c r="E738" s="52">
        <v>9</v>
      </c>
      <c r="F738" s="52">
        <v>12</v>
      </c>
      <c r="G738" s="52">
        <v>9</v>
      </c>
      <c r="H738" s="52">
        <v>9</v>
      </c>
      <c r="I738" s="52">
        <v>58</v>
      </c>
      <c r="J738" s="105">
        <v>9.6666666666666661</v>
      </c>
      <c r="K738" s="52"/>
    </row>
    <row r="739" spans="1:11" ht="15.75" customHeight="1" x14ac:dyDescent="0.25">
      <c r="A739" s="2">
        <v>636</v>
      </c>
      <c r="B739" s="2" t="s">
        <v>4579</v>
      </c>
      <c r="C739" s="52">
        <v>5</v>
      </c>
      <c r="D739" s="52">
        <v>8</v>
      </c>
      <c r="E739" s="52">
        <v>5</v>
      </c>
      <c r="F739" s="52">
        <v>5</v>
      </c>
      <c r="G739" s="52">
        <v>5</v>
      </c>
      <c r="H739" s="52">
        <v>6</v>
      </c>
      <c r="I739" s="52">
        <v>34</v>
      </c>
      <c r="J739" s="105">
        <v>5.666666666666667</v>
      </c>
      <c r="K739" s="52"/>
    </row>
    <row r="740" spans="1:11" ht="15.75" customHeight="1" x14ac:dyDescent="0.25">
      <c r="A740" s="2">
        <v>637</v>
      </c>
      <c r="B740" s="2" t="s">
        <v>4580</v>
      </c>
      <c r="C740" s="52">
        <v>8</v>
      </c>
      <c r="D740" s="52">
        <v>6</v>
      </c>
      <c r="E740" s="52">
        <v>6</v>
      </c>
      <c r="F740" s="52">
        <v>13</v>
      </c>
      <c r="G740" s="52">
        <v>10</v>
      </c>
      <c r="H740" s="52">
        <v>10</v>
      </c>
      <c r="I740" s="52">
        <v>53</v>
      </c>
      <c r="J740" s="105">
        <v>8.8333333333333339</v>
      </c>
      <c r="K740" s="52"/>
    </row>
    <row r="741" spans="1:11" ht="15.75" customHeight="1" x14ac:dyDescent="0.25">
      <c r="A741" s="2">
        <v>638</v>
      </c>
      <c r="B741" s="2" t="s">
        <v>4581</v>
      </c>
      <c r="C741" s="52">
        <v>9</v>
      </c>
      <c r="D741" s="52">
        <v>9</v>
      </c>
      <c r="E741" s="52">
        <v>12</v>
      </c>
      <c r="F741" s="52">
        <v>9</v>
      </c>
      <c r="G741" s="52">
        <v>7</v>
      </c>
      <c r="H741" s="52">
        <v>10</v>
      </c>
      <c r="I741" s="52">
        <v>56</v>
      </c>
      <c r="J741" s="105">
        <v>9.3333333333333339</v>
      </c>
      <c r="K741" s="52"/>
    </row>
    <row r="742" spans="1:11" ht="15.75" customHeight="1" x14ac:dyDescent="0.25">
      <c r="A742" s="2">
        <v>639</v>
      </c>
      <c r="B742" s="2" t="s">
        <v>4582</v>
      </c>
      <c r="C742" s="52">
        <v>9</v>
      </c>
      <c r="D742" s="52">
        <v>12</v>
      </c>
      <c r="E742" s="52">
        <v>9</v>
      </c>
      <c r="F742" s="52">
        <v>7</v>
      </c>
      <c r="G742" s="52">
        <v>9</v>
      </c>
      <c r="H742" s="52">
        <v>10</v>
      </c>
      <c r="I742" s="52">
        <v>56</v>
      </c>
      <c r="J742" s="105">
        <v>9.3333333333333339</v>
      </c>
      <c r="K742" s="52"/>
    </row>
    <row r="743" spans="1:11" ht="15.75" customHeight="1" x14ac:dyDescent="0.25">
      <c r="A743" s="2">
        <v>640</v>
      </c>
      <c r="B743" s="2" t="s">
        <v>4583</v>
      </c>
      <c r="C743" s="52">
        <v>9</v>
      </c>
      <c r="D743" s="52">
        <v>9</v>
      </c>
      <c r="E743" s="52">
        <v>7</v>
      </c>
      <c r="F743" s="52">
        <v>9</v>
      </c>
      <c r="G743" s="52">
        <v>12</v>
      </c>
      <c r="H743" s="52">
        <v>10</v>
      </c>
      <c r="I743" s="52">
        <v>56</v>
      </c>
      <c r="J743" s="105">
        <v>9.3333333333333339</v>
      </c>
      <c r="K743" s="52"/>
    </row>
    <row r="744" spans="1:11" ht="15.75" customHeight="1" x14ac:dyDescent="0.25">
      <c r="A744" s="2">
        <v>641</v>
      </c>
      <c r="B744" s="2" t="s">
        <v>4584</v>
      </c>
      <c r="C744" s="52">
        <v>7</v>
      </c>
      <c r="D744" s="52">
        <v>11</v>
      </c>
      <c r="E744" s="52">
        <v>7</v>
      </c>
      <c r="F744" s="52">
        <v>12</v>
      </c>
      <c r="G744" s="52">
        <v>8</v>
      </c>
      <c r="H744" s="52">
        <v>11</v>
      </c>
      <c r="I744" s="52">
        <v>56</v>
      </c>
      <c r="J744" s="105">
        <v>9.3333333333333339</v>
      </c>
      <c r="K744" s="52"/>
    </row>
    <row r="745" spans="1:11" ht="15.75" customHeight="1" x14ac:dyDescent="0.25">
      <c r="A745" s="2">
        <v>641</v>
      </c>
      <c r="B745" s="2" t="s">
        <v>4585</v>
      </c>
      <c r="C745" s="52">
        <v>7</v>
      </c>
      <c r="D745" s="52">
        <v>10</v>
      </c>
      <c r="E745" s="52">
        <v>8</v>
      </c>
      <c r="F745" s="52">
        <v>11</v>
      </c>
      <c r="G745" s="52">
        <v>9</v>
      </c>
      <c r="H745" s="52">
        <v>12</v>
      </c>
      <c r="I745" s="52">
        <v>57</v>
      </c>
      <c r="J745" s="105">
        <v>9.5</v>
      </c>
      <c r="K745" s="52"/>
    </row>
    <row r="746" spans="1:11" ht="15.75" customHeight="1" x14ac:dyDescent="0.25">
      <c r="A746" s="2">
        <v>642</v>
      </c>
      <c r="B746" s="2" t="s">
        <v>4586</v>
      </c>
      <c r="C746" s="52">
        <v>7</v>
      </c>
      <c r="D746" s="52">
        <v>11</v>
      </c>
      <c r="E746" s="52">
        <v>7</v>
      </c>
      <c r="F746" s="52">
        <v>12</v>
      </c>
      <c r="G746" s="52">
        <v>8</v>
      </c>
      <c r="H746" s="52">
        <v>11</v>
      </c>
      <c r="I746" s="52">
        <v>56</v>
      </c>
      <c r="J746" s="105">
        <v>9.3333333333333339</v>
      </c>
      <c r="K746" s="52"/>
    </row>
    <row r="747" spans="1:11" ht="15.75" customHeight="1" x14ac:dyDescent="0.25">
      <c r="A747" s="2">
        <v>642</v>
      </c>
      <c r="B747" s="2" t="s">
        <v>4587</v>
      </c>
      <c r="C747" s="52">
        <v>7</v>
      </c>
      <c r="D747" s="52">
        <v>10</v>
      </c>
      <c r="E747" s="52">
        <v>7</v>
      </c>
      <c r="F747" s="52">
        <v>14</v>
      </c>
      <c r="G747" s="52">
        <v>8</v>
      </c>
      <c r="H747" s="52">
        <v>10</v>
      </c>
      <c r="I747" s="52">
        <v>56</v>
      </c>
      <c r="J747" s="105">
        <v>9.3333333333333339</v>
      </c>
      <c r="K747" s="52"/>
    </row>
    <row r="748" spans="1:11" ht="15.75" customHeight="1" x14ac:dyDescent="0.25">
      <c r="A748" s="2">
        <v>643</v>
      </c>
      <c r="B748" s="2" t="s">
        <v>4588</v>
      </c>
      <c r="C748" s="52">
        <v>10</v>
      </c>
      <c r="D748" s="52">
        <v>12</v>
      </c>
      <c r="E748" s="52">
        <v>10</v>
      </c>
      <c r="F748" s="52">
        <v>15</v>
      </c>
      <c r="G748" s="52">
        <v>12</v>
      </c>
      <c r="H748" s="52">
        <v>9</v>
      </c>
      <c r="I748" s="52">
        <v>68</v>
      </c>
      <c r="J748" s="105">
        <v>11.333333333333334</v>
      </c>
      <c r="K748" s="52"/>
    </row>
    <row r="749" spans="1:11" ht="15.75" customHeight="1" x14ac:dyDescent="0.25">
      <c r="A749" s="2">
        <v>644</v>
      </c>
      <c r="B749" s="2" t="s">
        <v>4589</v>
      </c>
      <c r="C749" s="52">
        <v>10</v>
      </c>
      <c r="D749" s="52">
        <v>15</v>
      </c>
      <c r="E749" s="52">
        <v>12</v>
      </c>
      <c r="F749" s="52">
        <v>12</v>
      </c>
      <c r="G749" s="52">
        <v>10</v>
      </c>
      <c r="H749" s="52">
        <v>9</v>
      </c>
      <c r="I749" s="52">
        <v>68</v>
      </c>
      <c r="J749" s="105">
        <v>11.333333333333334</v>
      </c>
      <c r="K749" s="52"/>
    </row>
    <row r="750" spans="1:11" ht="15.75" customHeight="1" x14ac:dyDescent="0.25">
      <c r="A750" s="2">
        <v>645</v>
      </c>
      <c r="B750" s="2" t="s">
        <v>4590</v>
      </c>
      <c r="C750" s="52">
        <v>8</v>
      </c>
      <c r="D750" s="52">
        <v>12</v>
      </c>
      <c r="E750" s="52">
        <v>9</v>
      </c>
      <c r="F750" s="52">
        <v>11</v>
      </c>
      <c r="G750" s="52">
        <v>8</v>
      </c>
      <c r="H750" s="52">
        <v>10</v>
      </c>
      <c r="I750" s="52">
        <v>58</v>
      </c>
      <c r="J750" s="105">
        <v>9.6666666666666661</v>
      </c>
      <c r="K750" s="52"/>
    </row>
    <row r="751" spans="1:11" ht="15.75" customHeight="1" x14ac:dyDescent="0.25">
      <c r="A751" s="2">
        <v>645</v>
      </c>
      <c r="B751" s="2" t="s">
        <v>4591</v>
      </c>
      <c r="C751" s="52">
        <v>8</v>
      </c>
      <c r="D751" s="52">
        <v>14</v>
      </c>
      <c r="E751" s="52">
        <v>9</v>
      </c>
      <c r="F751" s="52">
        <v>10</v>
      </c>
      <c r="G751" s="52">
        <v>8</v>
      </c>
      <c r="H751" s="52">
        <v>9</v>
      </c>
      <c r="I751" s="52">
        <v>58</v>
      </c>
      <c r="J751" s="105">
        <v>9.6666666666666661</v>
      </c>
      <c r="K751" s="52"/>
    </row>
    <row r="752" spans="1:11" ht="15.75" customHeight="1" x14ac:dyDescent="0.25">
      <c r="A752" s="2">
        <v>646</v>
      </c>
      <c r="B752" s="2" t="s">
        <v>4592</v>
      </c>
      <c r="C752" s="52">
        <v>12</v>
      </c>
      <c r="D752" s="52">
        <v>13</v>
      </c>
      <c r="E752" s="52">
        <v>9</v>
      </c>
      <c r="F752" s="52">
        <v>13</v>
      </c>
      <c r="G752" s="52">
        <v>9</v>
      </c>
      <c r="H752" s="52">
        <v>9</v>
      </c>
      <c r="I752" s="52">
        <v>65</v>
      </c>
      <c r="J752" s="105">
        <v>10.833333333333334</v>
      </c>
      <c r="K752" s="52"/>
    </row>
    <row r="753" spans="1:11" ht="15.75" customHeight="1" x14ac:dyDescent="0.25">
      <c r="A753" s="2">
        <v>646</v>
      </c>
      <c r="B753" s="2" t="s">
        <v>4593</v>
      </c>
      <c r="C753" s="52">
        <v>12</v>
      </c>
      <c r="D753" s="52">
        <v>17</v>
      </c>
      <c r="E753" s="52">
        <v>10</v>
      </c>
      <c r="F753" s="52">
        <v>12</v>
      </c>
      <c r="G753" s="52">
        <v>9</v>
      </c>
      <c r="H753" s="52">
        <v>9</v>
      </c>
      <c r="I753" s="52">
        <v>69</v>
      </c>
      <c r="J753" s="105">
        <v>11.5</v>
      </c>
      <c r="K753" s="52"/>
    </row>
    <row r="754" spans="1:11" ht="15.75" customHeight="1" x14ac:dyDescent="0.25">
      <c r="A754" s="2">
        <v>646</v>
      </c>
      <c r="B754" s="2" t="s">
        <v>4594</v>
      </c>
      <c r="C754" s="52">
        <v>12</v>
      </c>
      <c r="D754" s="52">
        <v>12</v>
      </c>
      <c r="E754" s="52">
        <v>9</v>
      </c>
      <c r="F754" s="52">
        <v>17</v>
      </c>
      <c r="G754" s="52">
        <v>10</v>
      </c>
      <c r="H754" s="52">
        <v>9</v>
      </c>
      <c r="I754" s="52">
        <v>69</v>
      </c>
      <c r="J754" s="105">
        <v>11.5</v>
      </c>
      <c r="K754" s="52"/>
    </row>
    <row r="755" spans="1:11" ht="15.75" customHeight="1" x14ac:dyDescent="0.25">
      <c r="A755" s="2">
        <v>647</v>
      </c>
      <c r="B755" s="2" t="s">
        <v>4595</v>
      </c>
      <c r="C755" s="52">
        <v>9</v>
      </c>
      <c r="D755" s="52">
        <v>7</v>
      </c>
      <c r="E755" s="52">
        <v>9</v>
      </c>
      <c r="F755" s="52">
        <v>12</v>
      </c>
      <c r="G755" s="52">
        <v>9</v>
      </c>
      <c r="H755" s="52">
        <v>10</v>
      </c>
      <c r="I755" s="52">
        <v>56</v>
      </c>
      <c r="J755" s="105">
        <v>9.3333333333333339</v>
      </c>
      <c r="K755" s="52"/>
    </row>
    <row r="756" spans="1:11" ht="15.75" customHeight="1" x14ac:dyDescent="0.25">
      <c r="A756" s="2">
        <v>648</v>
      </c>
      <c r="B756" s="2" t="s">
        <v>4596</v>
      </c>
      <c r="C756" s="52">
        <v>10</v>
      </c>
      <c r="D756" s="52">
        <v>7</v>
      </c>
      <c r="E756" s="52">
        <v>7</v>
      </c>
      <c r="F756" s="52">
        <v>12</v>
      </c>
      <c r="G756" s="52">
        <v>12</v>
      </c>
      <c r="H756" s="52">
        <v>9</v>
      </c>
      <c r="I756" s="52">
        <v>57</v>
      </c>
      <c r="J756" s="105">
        <v>9.5</v>
      </c>
      <c r="K756" s="52"/>
    </row>
    <row r="757" spans="1:11" ht="15.75" customHeight="1" x14ac:dyDescent="0.25">
      <c r="A757" s="2">
        <v>648</v>
      </c>
      <c r="B757" s="2" t="s">
        <v>4597</v>
      </c>
      <c r="C757" s="52">
        <v>10</v>
      </c>
      <c r="D757" s="52">
        <v>12</v>
      </c>
      <c r="E757" s="52">
        <v>9</v>
      </c>
      <c r="F757" s="52">
        <v>7</v>
      </c>
      <c r="G757" s="52">
        <v>7</v>
      </c>
      <c r="H757" s="52">
        <v>12</v>
      </c>
      <c r="I757" s="52">
        <v>57</v>
      </c>
      <c r="J757" s="105">
        <v>9.5</v>
      </c>
      <c r="K757" s="52"/>
    </row>
    <row r="758" spans="1:11" ht="15.75" customHeight="1" x14ac:dyDescent="0.25">
      <c r="A758" s="2">
        <v>649</v>
      </c>
      <c r="B758" s="2" t="s">
        <v>4598</v>
      </c>
      <c r="C758" s="52">
        <v>7</v>
      </c>
      <c r="D758" s="52">
        <v>12</v>
      </c>
      <c r="E758" s="52">
        <v>9</v>
      </c>
      <c r="F758" s="52">
        <v>12</v>
      </c>
      <c r="G758" s="52">
        <v>9</v>
      </c>
      <c r="H758" s="52">
        <v>9</v>
      </c>
      <c r="I758" s="52">
        <v>58</v>
      </c>
      <c r="J758" s="105">
        <v>9.6666666666666661</v>
      </c>
      <c r="K758" s="52"/>
    </row>
    <row r="759" spans="1:11" ht="15.75" customHeight="1" x14ac:dyDescent="0.25">
      <c r="A759" s="2">
        <v>650</v>
      </c>
      <c r="B759" s="2" t="s">
        <v>4599</v>
      </c>
      <c r="C759" s="52">
        <v>5</v>
      </c>
      <c r="D759" s="52">
        <v>6</v>
      </c>
      <c r="E759" s="52">
        <v>6</v>
      </c>
      <c r="F759" s="52">
        <v>4</v>
      </c>
      <c r="G759" s="52">
        <v>4</v>
      </c>
      <c r="H759" s="52">
        <v>3</v>
      </c>
      <c r="I759" s="52">
        <v>28</v>
      </c>
      <c r="J759" s="105">
        <v>4.666666666666667</v>
      </c>
      <c r="K759" s="52"/>
    </row>
    <row r="760" spans="1:11" ht="15.75" customHeight="1" x14ac:dyDescent="0.25">
      <c r="A760" s="2">
        <v>651</v>
      </c>
      <c r="B760" s="2" t="s">
        <v>4600</v>
      </c>
      <c r="C760" s="52">
        <v>6</v>
      </c>
      <c r="D760" s="52">
        <v>7</v>
      </c>
      <c r="E760" s="52">
        <v>9</v>
      </c>
      <c r="F760" s="52">
        <v>5</v>
      </c>
      <c r="G760" s="52">
        <v>5</v>
      </c>
      <c r="H760" s="52">
        <v>5</v>
      </c>
      <c r="I760" s="52">
        <v>37</v>
      </c>
      <c r="J760" s="105">
        <v>6.166666666666667</v>
      </c>
      <c r="K760" s="52"/>
    </row>
    <row r="761" spans="1:11" ht="15.75" customHeight="1" x14ac:dyDescent="0.25">
      <c r="A761" s="2">
        <v>652</v>
      </c>
      <c r="B761" s="2" t="s">
        <v>4601</v>
      </c>
      <c r="C761" s="52">
        <v>8</v>
      </c>
      <c r="D761" s="52">
        <v>10</v>
      </c>
      <c r="E761" s="52">
        <v>12</v>
      </c>
      <c r="F761" s="52">
        <v>7</v>
      </c>
      <c r="G761" s="52">
        <v>7</v>
      </c>
      <c r="H761" s="52">
        <v>6</v>
      </c>
      <c r="I761" s="52">
        <v>50</v>
      </c>
      <c r="J761" s="105">
        <v>8.3333333333333339</v>
      </c>
      <c r="K761" s="52"/>
    </row>
    <row r="762" spans="1:11" ht="15.75" customHeight="1" x14ac:dyDescent="0.25">
      <c r="A762" s="2">
        <v>653</v>
      </c>
      <c r="B762" s="2" t="s">
        <v>4602</v>
      </c>
      <c r="C762" s="52">
        <v>4</v>
      </c>
      <c r="D762" s="52">
        <v>4</v>
      </c>
      <c r="E762" s="52">
        <v>4</v>
      </c>
      <c r="F762" s="52">
        <v>6</v>
      </c>
      <c r="G762" s="52">
        <v>6</v>
      </c>
      <c r="H762" s="52">
        <v>6</v>
      </c>
      <c r="I762" s="52">
        <v>30</v>
      </c>
      <c r="J762" s="105">
        <v>5</v>
      </c>
      <c r="K762" s="52"/>
    </row>
    <row r="763" spans="1:11" ht="15.75" customHeight="1" x14ac:dyDescent="0.25">
      <c r="A763" s="2">
        <v>654</v>
      </c>
      <c r="B763" s="2" t="s">
        <v>4603</v>
      </c>
      <c r="C763" s="52">
        <v>5</v>
      </c>
      <c r="D763" s="52">
        <v>5</v>
      </c>
      <c r="E763" s="52">
        <v>5</v>
      </c>
      <c r="F763" s="52">
        <v>9</v>
      </c>
      <c r="G763" s="52">
        <v>7</v>
      </c>
      <c r="H763" s="52">
        <v>7</v>
      </c>
      <c r="I763" s="52">
        <v>38</v>
      </c>
      <c r="J763" s="105">
        <v>6.333333333333333</v>
      </c>
      <c r="K763" s="52"/>
    </row>
    <row r="764" spans="1:11" ht="15.75" customHeight="1" x14ac:dyDescent="0.25">
      <c r="A764" s="2">
        <v>655</v>
      </c>
      <c r="B764" s="2" t="s">
        <v>4604</v>
      </c>
      <c r="C764" s="52">
        <v>7</v>
      </c>
      <c r="D764" s="52">
        <v>6</v>
      </c>
      <c r="E764" s="52">
        <v>7</v>
      </c>
      <c r="F764" s="52">
        <v>11</v>
      </c>
      <c r="G764" s="52">
        <v>10</v>
      </c>
      <c r="H764" s="52">
        <v>10</v>
      </c>
      <c r="I764" s="52">
        <v>51</v>
      </c>
      <c r="J764" s="105">
        <v>8.5</v>
      </c>
      <c r="K764" s="52"/>
    </row>
    <row r="765" spans="1:11" ht="15.75" customHeight="1" x14ac:dyDescent="0.25">
      <c r="A765" s="2">
        <v>656</v>
      </c>
      <c r="B765" s="2" t="s">
        <v>4605</v>
      </c>
      <c r="C765" s="52">
        <v>4</v>
      </c>
      <c r="D765" s="52">
        <v>5</v>
      </c>
      <c r="E765" s="52">
        <v>4</v>
      </c>
      <c r="F765" s="52">
        <v>6</v>
      </c>
      <c r="G765" s="52">
        <v>4</v>
      </c>
      <c r="H765" s="52">
        <v>7</v>
      </c>
      <c r="I765" s="52">
        <v>30</v>
      </c>
      <c r="J765" s="105">
        <v>5</v>
      </c>
      <c r="K765" s="52"/>
    </row>
    <row r="766" spans="1:11" ht="15.75" customHeight="1" x14ac:dyDescent="0.25">
      <c r="A766" s="2">
        <v>657</v>
      </c>
      <c r="B766" s="2" t="s">
        <v>4606</v>
      </c>
      <c r="C766" s="52">
        <v>5</v>
      </c>
      <c r="D766" s="52">
        <v>6</v>
      </c>
      <c r="E766" s="52">
        <v>5</v>
      </c>
      <c r="F766" s="52">
        <v>8</v>
      </c>
      <c r="G766" s="52">
        <v>5</v>
      </c>
      <c r="H766" s="52">
        <v>9</v>
      </c>
      <c r="I766" s="52">
        <v>38</v>
      </c>
      <c r="J766" s="105">
        <v>6.333333333333333</v>
      </c>
      <c r="K766" s="52"/>
    </row>
    <row r="767" spans="1:11" ht="15.75" customHeight="1" x14ac:dyDescent="0.25">
      <c r="A767" s="2">
        <v>658</v>
      </c>
      <c r="B767" s="2" t="s">
        <v>4607</v>
      </c>
      <c r="C767" s="52">
        <v>7</v>
      </c>
      <c r="D767" s="52">
        <v>9</v>
      </c>
      <c r="E767" s="52">
        <v>6</v>
      </c>
      <c r="F767" s="52">
        <v>10</v>
      </c>
      <c r="G767" s="52">
        <v>7</v>
      </c>
      <c r="H767" s="52">
        <v>12</v>
      </c>
      <c r="I767" s="52">
        <v>51</v>
      </c>
      <c r="J767" s="105">
        <v>8.5</v>
      </c>
      <c r="K767" s="52"/>
    </row>
    <row r="768" spans="1:11" ht="15.75" customHeight="1" x14ac:dyDescent="0.25">
      <c r="A768" s="2">
        <v>658</v>
      </c>
      <c r="B768" s="2" t="s">
        <v>4608</v>
      </c>
      <c r="C768" s="52">
        <v>7</v>
      </c>
      <c r="D768" s="52">
        <v>14</v>
      </c>
      <c r="E768" s="52">
        <v>6</v>
      </c>
      <c r="F768" s="52">
        <v>15</v>
      </c>
      <c r="G768" s="52">
        <v>7</v>
      </c>
      <c r="H768" s="52">
        <v>13</v>
      </c>
      <c r="I768" s="52">
        <v>62</v>
      </c>
      <c r="J768" s="105">
        <v>10.333333333333334</v>
      </c>
      <c r="K768" s="52"/>
    </row>
    <row r="769" spans="1:11" ht="15.75" customHeight="1" x14ac:dyDescent="0.25">
      <c r="A769" s="2">
        <v>659</v>
      </c>
      <c r="B769" s="2" t="s">
        <v>4609</v>
      </c>
      <c r="C769" s="52">
        <v>3</v>
      </c>
      <c r="D769" s="52">
        <v>3</v>
      </c>
      <c r="E769" s="52">
        <v>3</v>
      </c>
      <c r="F769" s="52">
        <v>3</v>
      </c>
      <c r="G769" s="52">
        <v>3</v>
      </c>
      <c r="H769" s="52">
        <v>5</v>
      </c>
      <c r="I769" s="52">
        <v>20</v>
      </c>
      <c r="J769" s="105">
        <v>3.3333333333333335</v>
      </c>
      <c r="K769" s="52"/>
    </row>
    <row r="770" spans="1:11" ht="15.75" customHeight="1" x14ac:dyDescent="0.25">
      <c r="A770" s="2">
        <v>660</v>
      </c>
      <c r="B770" s="2" t="s">
        <v>4610</v>
      </c>
      <c r="C770" s="52">
        <v>8</v>
      </c>
      <c r="D770" s="52">
        <v>5</v>
      </c>
      <c r="E770" s="52">
        <v>7</v>
      </c>
      <c r="F770" s="52">
        <v>5</v>
      </c>
      <c r="G770" s="52">
        <v>7</v>
      </c>
      <c r="H770" s="52">
        <v>7</v>
      </c>
      <c r="I770" s="52">
        <v>39</v>
      </c>
      <c r="J770" s="105">
        <v>6.5</v>
      </c>
      <c r="K770" s="52"/>
    </row>
    <row r="771" spans="1:11" ht="15.75" customHeight="1" x14ac:dyDescent="0.25">
      <c r="A771" s="2">
        <v>661</v>
      </c>
      <c r="B771" s="2" t="s">
        <v>4611</v>
      </c>
      <c r="C771" s="52">
        <v>4</v>
      </c>
      <c r="D771" s="52">
        <v>5</v>
      </c>
      <c r="E771" s="52">
        <v>4</v>
      </c>
      <c r="F771" s="52">
        <v>4</v>
      </c>
      <c r="G771" s="52">
        <v>3</v>
      </c>
      <c r="H771" s="52">
        <v>6</v>
      </c>
      <c r="I771" s="52">
        <v>26</v>
      </c>
      <c r="J771" s="105">
        <v>4.333333333333333</v>
      </c>
      <c r="K771" s="52"/>
    </row>
    <row r="772" spans="1:11" ht="15.75" customHeight="1" x14ac:dyDescent="0.25">
      <c r="A772" s="2">
        <v>662</v>
      </c>
      <c r="B772" s="2" t="s">
        <v>4612</v>
      </c>
      <c r="C772" s="52">
        <v>6</v>
      </c>
      <c r="D772" s="52">
        <v>7</v>
      </c>
      <c r="E772" s="52">
        <v>5</v>
      </c>
      <c r="F772" s="52">
        <v>5</v>
      </c>
      <c r="G772" s="52">
        <v>5</v>
      </c>
      <c r="H772" s="52">
        <v>8</v>
      </c>
      <c r="I772" s="52">
        <v>36</v>
      </c>
      <c r="J772" s="105">
        <v>6</v>
      </c>
      <c r="K772" s="52"/>
    </row>
    <row r="773" spans="1:11" ht="15.75" customHeight="1" x14ac:dyDescent="0.25">
      <c r="A773" s="2">
        <v>663</v>
      </c>
      <c r="B773" s="2" t="s">
        <v>4613</v>
      </c>
      <c r="C773" s="52">
        <v>7</v>
      </c>
      <c r="D773" s="52">
        <v>8</v>
      </c>
      <c r="E773" s="52">
        <v>7</v>
      </c>
      <c r="F773" s="52">
        <v>7</v>
      </c>
      <c r="G773" s="52">
        <v>6</v>
      </c>
      <c r="H773" s="52">
        <v>12</v>
      </c>
      <c r="I773" s="52">
        <v>47</v>
      </c>
      <c r="J773" s="105">
        <v>7.833333333333333</v>
      </c>
      <c r="K773" s="52"/>
    </row>
    <row r="774" spans="1:11" ht="15.75" customHeight="1" x14ac:dyDescent="0.25">
      <c r="A774" s="2">
        <v>664</v>
      </c>
      <c r="B774" s="2" t="s">
        <v>4614</v>
      </c>
      <c r="C774" s="52">
        <v>3</v>
      </c>
      <c r="D774" s="52">
        <v>3</v>
      </c>
      <c r="E774" s="52">
        <v>4</v>
      </c>
      <c r="F774" s="52">
        <v>2</v>
      </c>
      <c r="G774" s="52">
        <v>2</v>
      </c>
      <c r="H774" s="52">
        <v>3</v>
      </c>
      <c r="I774" s="52">
        <v>17</v>
      </c>
      <c r="J774" s="105">
        <v>2.8333333333333335</v>
      </c>
      <c r="K774" s="52"/>
    </row>
    <row r="775" spans="1:11" ht="15.75" customHeight="1" x14ac:dyDescent="0.25">
      <c r="A775" s="2">
        <v>665</v>
      </c>
      <c r="B775" s="2" t="s">
        <v>4615</v>
      </c>
      <c r="C775" s="52">
        <v>4</v>
      </c>
      <c r="D775" s="52">
        <v>2</v>
      </c>
      <c r="E775" s="52">
        <v>6</v>
      </c>
      <c r="F775" s="52">
        <v>2</v>
      </c>
      <c r="G775" s="52">
        <v>3</v>
      </c>
      <c r="H775" s="52">
        <v>2</v>
      </c>
      <c r="I775" s="52">
        <v>19</v>
      </c>
      <c r="J775" s="105">
        <v>3.1666666666666665</v>
      </c>
      <c r="K775" s="52"/>
    </row>
    <row r="776" spans="1:11" ht="15.75" customHeight="1" x14ac:dyDescent="0.25">
      <c r="A776" s="2">
        <v>666</v>
      </c>
      <c r="B776" s="2" t="s">
        <v>4616</v>
      </c>
      <c r="C776" s="52">
        <v>8</v>
      </c>
      <c r="D776" s="52">
        <v>5</v>
      </c>
      <c r="E776" s="52">
        <v>5</v>
      </c>
      <c r="F776" s="52">
        <v>9</v>
      </c>
      <c r="G776" s="52">
        <v>5</v>
      </c>
      <c r="H776" s="52">
        <v>8</v>
      </c>
      <c r="I776" s="52">
        <v>40</v>
      </c>
      <c r="J776" s="105">
        <v>6.666666666666667</v>
      </c>
      <c r="K776" s="52"/>
    </row>
    <row r="777" spans="1:11" ht="15.75" customHeight="1" x14ac:dyDescent="0.25">
      <c r="A777" s="2">
        <v>667</v>
      </c>
      <c r="B777" s="2" t="s">
        <v>4617</v>
      </c>
      <c r="C777" s="52">
        <v>6</v>
      </c>
      <c r="D777" s="52">
        <v>5</v>
      </c>
      <c r="E777" s="52">
        <v>5</v>
      </c>
      <c r="F777" s="52">
        <v>7</v>
      </c>
      <c r="G777" s="52">
        <v>5</v>
      </c>
      <c r="H777" s="52">
        <v>7</v>
      </c>
      <c r="I777" s="52">
        <v>35</v>
      </c>
      <c r="J777" s="105">
        <v>5.833333333333333</v>
      </c>
      <c r="K777" s="52"/>
    </row>
    <row r="778" spans="1:11" ht="15.75" customHeight="1" x14ac:dyDescent="0.25">
      <c r="A778" s="2">
        <v>668</v>
      </c>
      <c r="B778" s="2" t="s">
        <v>4618</v>
      </c>
      <c r="C778" s="52">
        <v>8</v>
      </c>
      <c r="D778" s="52">
        <v>6</v>
      </c>
      <c r="E778" s="52">
        <v>7</v>
      </c>
      <c r="F778" s="52">
        <v>10</v>
      </c>
      <c r="G778" s="52">
        <v>6</v>
      </c>
      <c r="H778" s="52">
        <v>10</v>
      </c>
      <c r="I778" s="52">
        <v>47</v>
      </c>
      <c r="J778" s="105">
        <v>7.833333333333333</v>
      </c>
      <c r="K778" s="52"/>
    </row>
    <row r="779" spans="1:11" ht="15.75" customHeight="1" x14ac:dyDescent="0.25">
      <c r="A779" s="2">
        <v>669</v>
      </c>
      <c r="B779" s="2" t="s">
        <v>4619</v>
      </c>
      <c r="C779" s="52">
        <v>4</v>
      </c>
      <c r="D779" s="52">
        <v>3</v>
      </c>
      <c r="E779" s="52">
        <v>3</v>
      </c>
      <c r="F779" s="52">
        <v>6</v>
      </c>
      <c r="G779" s="52">
        <v>7</v>
      </c>
      <c r="H779" s="52">
        <v>4</v>
      </c>
      <c r="I779" s="52">
        <v>27</v>
      </c>
      <c r="J779" s="105">
        <v>4.5</v>
      </c>
      <c r="K779" s="52"/>
    </row>
    <row r="780" spans="1:11" ht="15.75" customHeight="1" x14ac:dyDescent="0.25">
      <c r="A780" s="2">
        <v>670</v>
      </c>
      <c r="B780" s="2" t="s">
        <v>4620</v>
      </c>
      <c r="C780" s="52">
        <v>5</v>
      </c>
      <c r="D780" s="52">
        <v>4</v>
      </c>
      <c r="E780" s="52">
        <v>4</v>
      </c>
      <c r="F780" s="52">
        <v>7</v>
      </c>
      <c r="G780" s="52">
        <v>9</v>
      </c>
      <c r="H780" s="52">
        <v>5</v>
      </c>
      <c r="I780" s="52">
        <v>34</v>
      </c>
      <c r="J780" s="105">
        <v>5.666666666666667</v>
      </c>
      <c r="K780" s="52"/>
    </row>
    <row r="781" spans="1:11" ht="15.75" customHeight="1" x14ac:dyDescent="0.25">
      <c r="A781" s="2">
        <v>671</v>
      </c>
      <c r="B781" s="2" t="s">
        <v>4621</v>
      </c>
      <c r="C781" s="52">
        <v>7</v>
      </c>
      <c r="D781" s="52">
        <v>6</v>
      </c>
      <c r="E781" s="52">
        <v>6</v>
      </c>
      <c r="F781" s="52">
        <v>11</v>
      </c>
      <c r="G781" s="52">
        <v>15</v>
      </c>
      <c r="H781" s="52">
        <v>7</v>
      </c>
      <c r="I781" s="52">
        <v>52</v>
      </c>
      <c r="J781" s="105">
        <v>8.6666666666666661</v>
      </c>
      <c r="K781" s="52"/>
    </row>
    <row r="782" spans="1:11" ht="15.75" customHeight="1" x14ac:dyDescent="0.25">
      <c r="A782" s="2">
        <v>672</v>
      </c>
      <c r="B782" s="2" t="s">
        <v>4622</v>
      </c>
      <c r="C782" s="52">
        <v>6</v>
      </c>
      <c r="D782" s="52">
        <v>6</v>
      </c>
      <c r="E782" s="52">
        <v>4</v>
      </c>
      <c r="F782" s="52">
        <v>6</v>
      </c>
      <c r="G782" s="52">
        <v>5</v>
      </c>
      <c r="H782" s="52">
        <v>5</v>
      </c>
      <c r="I782" s="52">
        <v>32</v>
      </c>
      <c r="J782" s="105">
        <v>5.333333333333333</v>
      </c>
      <c r="K782" s="52"/>
    </row>
    <row r="783" spans="1:11" ht="15.75" customHeight="1" x14ac:dyDescent="0.25">
      <c r="A783" s="2">
        <v>673</v>
      </c>
      <c r="B783" s="2" t="s">
        <v>4623</v>
      </c>
      <c r="C783" s="52">
        <v>12</v>
      </c>
      <c r="D783" s="52">
        <v>10</v>
      </c>
      <c r="E783" s="52">
        <v>6</v>
      </c>
      <c r="F783" s="52">
        <v>9</v>
      </c>
      <c r="G783" s="52">
        <v>8</v>
      </c>
      <c r="H783" s="52">
        <v>6</v>
      </c>
      <c r="I783" s="52">
        <v>51</v>
      </c>
      <c r="J783" s="105">
        <v>8.5</v>
      </c>
      <c r="K783" s="52"/>
    </row>
    <row r="784" spans="1:11" ht="15.75" customHeight="1" x14ac:dyDescent="0.25">
      <c r="A784" s="2">
        <v>674</v>
      </c>
      <c r="B784" s="2" t="s">
        <v>4624</v>
      </c>
      <c r="C784" s="52">
        <v>6</v>
      </c>
      <c r="D784" s="52">
        <v>8</v>
      </c>
      <c r="E784" s="52">
        <v>6</v>
      </c>
      <c r="F784" s="52">
        <v>4</v>
      </c>
      <c r="G784" s="52">
        <v>4</v>
      </c>
      <c r="H784" s="52">
        <v>4</v>
      </c>
      <c r="I784" s="52">
        <v>32</v>
      </c>
      <c r="J784" s="105">
        <v>5.333333333333333</v>
      </c>
      <c r="K784" s="52"/>
    </row>
    <row r="785" spans="1:11" ht="15.75" customHeight="1" x14ac:dyDescent="0.25">
      <c r="A785" s="2">
        <v>675</v>
      </c>
      <c r="B785" s="2" t="s">
        <v>4625</v>
      </c>
      <c r="C785" s="52">
        <v>9</v>
      </c>
      <c r="D785" s="52">
        <v>12</v>
      </c>
      <c r="E785" s="52">
        <v>7</v>
      </c>
      <c r="F785" s="52">
        <v>6</v>
      </c>
      <c r="G785" s="52">
        <v>7</v>
      </c>
      <c r="H785" s="52">
        <v>5</v>
      </c>
      <c r="I785" s="52">
        <v>46</v>
      </c>
      <c r="J785" s="105">
        <v>7.666666666666667</v>
      </c>
      <c r="K785" s="52"/>
    </row>
    <row r="786" spans="1:11" ht="15.75" customHeight="1" x14ac:dyDescent="0.25">
      <c r="A786" s="2">
        <v>676</v>
      </c>
      <c r="B786" s="2" t="s">
        <v>4626</v>
      </c>
      <c r="C786" s="52">
        <v>7</v>
      </c>
      <c r="D786" s="52">
        <v>8</v>
      </c>
      <c r="E786" s="52">
        <v>6</v>
      </c>
      <c r="F786" s="52">
        <v>6</v>
      </c>
      <c r="G786" s="52">
        <v>9</v>
      </c>
      <c r="H786" s="52">
        <v>10</v>
      </c>
      <c r="I786" s="52">
        <v>46</v>
      </c>
      <c r="J786" s="105">
        <v>7.666666666666667</v>
      </c>
      <c r="K786" s="52"/>
    </row>
    <row r="787" spans="1:11" ht="15.75" customHeight="1" x14ac:dyDescent="0.25">
      <c r="A787" s="2">
        <v>677</v>
      </c>
      <c r="B787" s="2" t="s">
        <v>4627</v>
      </c>
      <c r="C787" s="52">
        <v>6</v>
      </c>
      <c r="D787" s="52">
        <v>4</v>
      </c>
      <c r="E787" s="52">
        <v>5</v>
      </c>
      <c r="F787" s="52">
        <v>6</v>
      </c>
      <c r="G787" s="52">
        <v>6</v>
      </c>
      <c r="H787" s="52">
        <v>6</v>
      </c>
      <c r="I787" s="52">
        <v>33</v>
      </c>
      <c r="J787" s="105">
        <v>5.5</v>
      </c>
      <c r="K787" s="52"/>
    </row>
    <row r="788" spans="1:11" ht="15.75" customHeight="1" x14ac:dyDescent="0.25">
      <c r="A788" s="2">
        <v>678</v>
      </c>
      <c r="B788" s="2" t="s">
        <v>4628</v>
      </c>
      <c r="C788" s="52">
        <v>7</v>
      </c>
      <c r="D788" s="52">
        <v>4</v>
      </c>
      <c r="E788" s="52">
        <v>7</v>
      </c>
      <c r="F788" s="52">
        <v>8</v>
      </c>
      <c r="G788" s="52">
        <v>8</v>
      </c>
      <c r="H788" s="52">
        <v>10</v>
      </c>
      <c r="I788" s="52">
        <v>44</v>
      </c>
      <c r="J788" s="105">
        <v>7.333333333333333</v>
      </c>
      <c r="K788" s="52"/>
    </row>
    <row r="789" spans="1:11" ht="15.75" customHeight="1" x14ac:dyDescent="0.25">
      <c r="A789" s="2">
        <v>679</v>
      </c>
      <c r="B789" s="2" t="s">
        <v>4629</v>
      </c>
      <c r="C789" s="52">
        <v>4</v>
      </c>
      <c r="D789" s="52">
        <v>8</v>
      </c>
      <c r="E789" s="52">
        <v>10</v>
      </c>
      <c r="F789" s="52">
        <v>3</v>
      </c>
      <c r="G789" s="52">
        <v>3</v>
      </c>
      <c r="H789" s="52">
        <v>2</v>
      </c>
      <c r="I789" s="52">
        <v>30</v>
      </c>
      <c r="J789" s="105">
        <v>5</v>
      </c>
      <c r="K789" s="52"/>
    </row>
    <row r="790" spans="1:11" ht="15.75" customHeight="1" x14ac:dyDescent="0.25">
      <c r="A790" s="2">
        <v>680</v>
      </c>
      <c r="B790" s="2" t="s">
        <v>4630</v>
      </c>
      <c r="C790" s="52">
        <v>5</v>
      </c>
      <c r="D790" s="52">
        <v>11</v>
      </c>
      <c r="E790" s="52">
        <v>15</v>
      </c>
      <c r="F790" s="52">
        <v>4</v>
      </c>
      <c r="G790" s="52">
        <v>4</v>
      </c>
      <c r="H790" s="52">
        <v>3</v>
      </c>
      <c r="I790" s="52">
        <v>42</v>
      </c>
      <c r="J790" s="105">
        <v>7</v>
      </c>
      <c r="K790" s="52"/>
    </row>
    <row r="791" spans="1:11" ht="15.75" customHeight="1" x14ac:dyDescent="0.25">
      <c r="A791" s="2">
        <v>681</v>
      </c>
      <c r="B791" s="2" t="s">
        <v>4631</v>
      </c>
      <c r="C791" s="52">
        <v>6</v>
      </c>
      <c r="D791" s="52">
        <v>5</v>
      </c>
      <c r="E791" s="52">
        <v>14</v>
      </c>
      <c r="F791" s="52">
        <v>5</v>
      </c>
      <c r="G791" s="52">
        <v>14</v>
      </c>
      <c r="H791" s="52">
        <v>6</v>
      </c>
      <c r="I791" s="52">
        <v>50</v>
      </c>
      <c r="J791" s="105">
        <v>8.3333333333333339</v>
      </c>
      <c r="K791" s="52"/>
    </row>
    <row r="792" spans="1:11" ht="15.75" customHeight="1" x14ac:dyDescent="0.25">
      <c r="A792" s="2">
        <v>681</v>
      </c>
      <c r="B792" s="2" t="s">
        <v>4632</v>
      </c>
      <c r="C792" s="52">
        <v>6</v>
      </c>
      <c r="D792" s="52">
        <v>14</v>
      </c>
      <c r="E792" s="52">
        <v>5</v>
      </c>
      <c r="F792" s="52">
        <v>14</v>
      </c>
      <c r="G792" s="52">
        <v>5</v>
      </c>
      <c r="H792" s="52">
        <v>6</v>
      </c>
      <c r="I792" s="52">
        <v>50</v>
      </c>
      <c r="J792" s="105">
        <v>8.3333333333333339</v>
      </c>
      <c r="K792" s="52"/>
    </row>
    <row r="793" spans="1:11" ht="15.75" customHeight="1" x14ac:dyDescent="0.25">
      <c r="A793" s="2">
        <v>682</v>
      </c>
      <c r="B793" s="2" t="s">
        <v>4633</v>
      </c>
      <c r="C793" s="52">
        <v>7</v>
      </c>
      <c r="D793" s="52">
        <v>5</v>
      </c>
      <c r="E793" s="52">
        <v>6</v>
      </c>
      <c r="F793" s="52">
        <v>6</v>
      </c>
      <c r="G793" s="52">
        <v>6</v>
      </c>
      <c r="H793" s="52">
        <v>2</v>
      </c>
      <c r="I793" s="52">
        <v>32</v>
      </c>
      <c r="J793" s="105">
        <v>5.333333333333333</v>
      </c>
      <c r="K793" s="52"/>
    </row>
    <row r="794" spans="1:11" ht="15.75" customHeight="1" x14ac:dyDescent="0.25">
      <c r="A794" s="2">
        <v>683</v>
      </c>
      <c r="B794" s="2" t="s">
        <v>4634</v>
      </c>
      <c r="C794" s="52">
        <v>10</v>
      </c>
      <c r="D794" s="52">
        <v>7</v>
      </c>
      <c r="E794" s="52">
        <v>7</v>
      </c>
      <c r="F794" s="52">
        <v>9</v>
      </c>
      <c r="G794" s="52">
        <v>8</v>
      </c>
      <c r="H794" s="52">
        <v>2</v>
      </c>
      <c r="I794" s="52">
        <v>43</v>
      </c>
      <c r="J794" s="105">
        <v>7.166666666666667</v>
      </c>
      <c r="K794" s="52"/>
    </row>
    <row r="795" spans="1:11" ht="15.75" customHeight="1" x14ac:dyDescent="0.25">
      <c r="A795" s="2">
        <v>684</v>
      </c>
      <c r="B795" s="2" t="s">
        <v>4635</v>
      </c>
      <c r="C795" s="52">
        <v>6</v>
      </c>
      <c r="D795" s="52">
        <v>4</v>
      </c>
      <c r="E795" s="52">
        <v>6</v>
      </c>
      <c r="F795" s="52">
        <v>5</v>
      </c>
      <c r="G795" s="52">
        <v>5</v>
      </c>
      <c r="H795" s="52">
        <v>4</v>
      </c>
      <c r="I795" s="52">
        <v>30</v>
      </c>
      <c r="J795" s="105">
        <v>5</v>
      </c>
      <c r="K795" s="52"/>
    </row>
    <row r="796" spans="1:11" ht="15.75" customHeight="1" x14ac:dyDescent="0.25">
      <c r="A796" s="2">
        <v>685</v>
      </c>
      <c r="B796" s="2" t="s">
        <v>4636</v>
      </c>
      <c r="C796" s="52">
        <v>8</v>
      </c>
      <c r="D796" s="52">
        <v>8</v>
      </c>
      <c r="E796" s="52">
        <v>8</v>
      </c>
      <c r="F796" s="52">
        <v>8</v>
      </c>
      <c r="G796" s="52">
        <v>7</v>
      </c>
      <c r="H796" s="52">
        <v>7</v>
      </c>
      <c r="I796" s="52">
        <v>46</v>
      </c>
      <c r="J796" s="105">
        <v>7.666666666666667</v>
      </c>
      <c r="K796" s="52"/>
    </row>
    <row r="797" spans="1:11" ht="15.75" customHeight="1" x14ac:dyDescent="0.25">
      <c r="A797" s="2">
        <v>686</v>
      </c>
      <c r="B797" s="2" t="s">
        <v>4637</v>
      </c>
      <c r="C797" s="52">
        <v>5</v>
      </c>
      <c r="D797" s="52">
        <v>5</v>
      </c>
      <c r="E797" s="52">
        <v>5</v>
      </c>
      <c r="F797" s="52">
        <v>3</v>
      </c>
      <c r="G797" s="52">
        <v>4</v>
      </c>
      <c r="H797" s="52">
        <v>4</v>
      </c>
      <c r="I797" s="52">
        <v>26</v>
      </c>
      <c r="J797" s="105">
        <v>4.333333333333333</v>
      </c>
      <c r="K797" s="52"/>
    </row>
    <row r="798" spans="1:11" ht="15.75" customHeight="1" x14ac:dyDescent="0.25">
      <c r="A798" s="2">
        <v>687</v>
      </c>
      <c r="B798" s="2" t="s">
        <v>4638</v>
      </c>
      <c r="C798" s="52">
        <v>8</v>
      </c>
      <c r="D798" s="52">
        <v>9</v>
      </c>
      <c r="E798" s="52">
        <v>8</v>
      </c>
      <c r="F798" s="52">
        <v>6</v>
      </c>
      <c r="G798" s="52">
        <v>7</v>
      </c>
      <c r="H798" s="52">
        <v>7</v>
      </c>
      <c r="I798" s="52">
        <v>45</v>
      </c>
      <c r="J798" s="105">
        <v>7.5</v>
      </c>
      <c r="K798" s="52"/>
    </row>
    <row r="799" spans="1:11" ht="15.75" customHeight="1" x14ac:dyDescent="0.25">
      <c r="A799" s="2">
        <v>688</v>
      </c>
      <c r="B799" s="2" t="s">
        <v>4639</v>
      </c>
      <c r="C799" s="52">
        <v>4</v>
      </c>
      <c r="D799" s="52">
        <v>5</v>
      </c>
      <c r="E799" s="52">
        <v>6</v>
      </c>
      <c r="F799" s="52">
        <v>3</v>
      </c>
      <c r="G799" s="52">
        <v>5</v>
      </c>
      <c r="H799" s="52">
        <v>5</v>
      </c>
      <c r="I799" s="52">
        <v>28</v>
      </c>
      <c r="J799" s="105">
        <v>4.666666666666667</v>
      </c>
      <c r="K799" s="52"/>
    </row>
    <row r="800" spans="1:11" ht="15.75" customHeight="1" x14ac:dyDescent="0.25">
      <c r="A800" s="2">
        <v>689</v>
      </c>
      <c r="B800" s="2" t="s">
        <v>4640</v>
      </c>
      <c r="C800" s="52">
        <v>7</v>
      </c>
      <c r="D800" s="52">
        <v>10</v>
      </c>
      <c r="E800" s="52">
        <v>11</v>
      </c>
      <c r="F800" s="52">
        <v>5</v>
      </c>
      <c r="G800" s="52">
        <v>8</v>
      </c>
      <c r="H800" s="52">
        <v>6</v>
      </c>
      <c r="I800" s="52">
        <v>47</v>
      </c>
      <c r="J800" s="105">
        <v>7.833333333333333</v>
      </c>
      <c r="K800" s="52"/>
    </row>
    <row r="801" spans="1:11" ht="15.75" customHeight="1" x14ac:dyDescent="0.25">
      <c r="A801" s="2">
        <v>690</v>
      </c>
      <c r="B801" s="2" t="s">
        <v>4641</v>
      </c>
      <c r="C801" s="52">
        <v>5</v>
      </c>
      <c r="D801" s="52">
        <v>6</v>
      </c>
      <c r="E801" s="52">
        <v>6</v>
      </c>
      <c r="F801" s="52">
        <v>6</v>
      </c>
      <c r="G801" s="52">
        <v>6</v>
      </c>
      <c r="H801" s="52">
        <v>3</v>
      </c>
      <c r="I801" s="52">
        <v>32</v>
      </c>
      <c r="J801" s="105">
        <v>5.333333333333333</v>
      </c>
      <c r="K801" s="52"/>
    </row>
    <row r="802" spans="1:11" ht="15.75" customHeight="1" x14ac:dyDescent="0.25">
      <c r="A802" s="2">
        <v>691</v>
      </c>
      <c r="B802" s="2" t="s">
        <v>4642</v>
      </c>
      <c r="C802" s="52">
        <v>6</v>
      </c>
      <c r="D802" s="52">
        <v>7</v>
      </c>
      <c r="E802" s="52">
        <v>9</v>
      </c>
      <c r="F802" s="52">
        <v>9</v>
      </c>
      <c r="G802" s="52">
        <v>12</v>
      </c>
      <c r="H802" s="52">
        <v>4</v>
      </c>
      <c r="I802" s="52">
        <v>47</v>
      </c>
      <c r="J802" s="105">
        <v>7.833333333333333</v>
      </c>
      <c r="K802" s="52"/>
    </row>
    <row r="803" spans="1:11" ht="15.75" customHeight="1" x14ac:dyDescent="0.25">
      <c r="A803" s="2">
        <v>692</v>
      </c>
      <c r="B803" s="2" t="s">
        <v>4643</v>
      </c>
      <c r="C803" s="52">
        <v>5</v>
      </c>
      <c r="D803" s="52">
        <v>5</v>
      </c>
      <c r="E803" s="52">
        <v>6</v>
      </c>
      <c r="F803" s="52">
        <v>5</v>
      </c>
      <c r="G803" s="52">
        <v>6</v>
      </c>
      <c r="H803" s="52">
        <v>4</v>
      </c>
      <c r="I803" s="52">
        <v>31</v>
      </c>
      <c r="J803" s="105">
        <v>5.166666666666667</v>
      </c>
      <c r="K803" s="52"/>
    </row>
    <row r="804" spans="1:11" ht="15.75" customHeight="1" x14ac:dyDescent="0.25">
      <c r="A804" s="2">
        <v>693</v>
      </c>
      <c r="B804" s="2" t="s">
        <v>4644</v>
      </c>
      <c r="C804" s="52">
        <v>7</v>
      </c>
      <c r="D804" s="52">
        <v>7</v>
      </c>
      <c r="E804" s="52">
        <v>8</v>
      </c>
      <c r="F804" s="52">
        <v>12</v>
      </c>
      <c r="G804" s="52">
        <v>8</v>
      </c>
      <c r="H804" s="52">
        <v>5</v>
      </c>
      <c r="I804" s="52">
        <v>47</v>
      </c>
      <c r="J804" s="105">
        <v>7.833333333333333</v>
      </c>
      <c r="K804" s="52"/>
    </row>
    <row r="805" spans="1:11" ht="15.75" customHeight="1" x14ac:dyDescent="0.25">
      <c r="A805" s="2">
        <v>694</v>
      </c>
      <c r="B805" s="2" t="s">
        <v>4645</v>
      </c>
      <c r="C805" s="52">
        <v>4</v>
      </c>
      <c r="D805" s="52">
        <v>3</v>
      </c>
      <c r="E805" s="52">
        <v>3</v>
      </c>
      <c r="F805" s="52">
        <v>6</v>
      </c>
      <c r="G805" s="52">
        <v>4</v>
      </c>
      <c r="H805" s="52">
        <v>7</v>
      </c>
      <c r="I805" s="52">
        <v>27</v>
      </c>
      <c r="J805" s="105">
        <v>4.5</v>
      </c>
      <c r="K805" s="52"/>
    </row>
    <row r="806" spans="1:11" ht="15.75" customHeight="1" x14ac:dyDescent="0.25">
      <c r="A806" s="2">
        <v>695</v>
      </c>
      <c r="B806" s="2" t="s">
        <v>4646</v>
      </c>
      <c r="C806" s="52">
        <v>6</v>
      </c>
      <c r="D806" s="52">
        <v>5</v>
      </c>
      <c r="E806" s="52">
        <v>5</v>
      </c>
      <c r="F806" s="52">
        <v>10</v>
      </c>
      <c r="G806" s="52">
        <v>9</v>
      </c>
      <c r="H806" s="52">
        <v>10</v>
      </c>
      <c r="I806" s="52">
        <v>45</v>
      </c>
      <c r="J806" s="105">
        <v>7.5</v>
      </c>
      <c r="K806" s="52"/>
    </row>
    <row r="807" spans="1:11" ht="15.75" customHeight="1" x14ac:dyDescent="0.25">
      <c r="A807" s="2">
        <v>696</v>
      </c>
      <c r="B807" s="2" t="s">
        <v>4647</v>
      </c>
      <c r="C807" s="52">
        <v>5</v>
      </c>
      <c r="D807" s="52">
        <v>8</v>
      </c>
      <c r="E807" s="52">
        <v>7</v>
      </c>
      <c r="F807" s="52">
        <v>4</v>
      </c>
      <c r="G807" s="52">
        <v>4</v>
      </c>
      <c r="H807" s="52">
        <v>4</v>
      </c>
      <c r="I807" s="52">
        <v>32</v>
      </c>
      <c r="J807" s="105">
        <v>5.333333333333333</v>
      </c>
      <c r="K807" s="52"/>
    </row>
    <row r="808" spans="1:11" ht="15.75" customHeight="1" x14ac:dyDescent="0.25">
      <c r="A808" s="2">
        <v>697</v>
      </c>
      <c r="B808" s="2" t="s">
        <v>4648</v>
      </c>
      <c r="C808" s="52">
        <v>8</v>
      </c>
      <c r="D808" s="52">
        <v>12</v>
      </c>
      <c r="E808" s="52">
        <v>11</v>
      </c>
      <c r="F808" s="52">
        <v>6</v>
      </c>
      <c r="G808" s="52">
        <v>5</v>
      </c>
      <c r="H808" s="52">
        <v>7</v>
      </c>
      <c r="I808" s="52">
        <v>49</v>
      </c>
      <c r="J808" s="105">
        <v>8.1666666666666661</v>
      </c>
      <c r="K808" s="52"/>
    </row>
    <row r="809" spans="1:11" ht="15.75" customHeight="1" x14ac:dyDescent="0.25">
      <c r="A809" s="2">
        <v>698</v>
      </c>
      <c r="B809" s="2" t="s">
        <v>4649</v>
      </c>
      <c r="C809" s="52">
        <v>7</v>
      </c>
      <c r="D809" s="52">
        <v>5</v>
      </c>
      <c r="E809" s="52">
        <v>5</v>
      </c>
      <c r="F809" s="52">
        <v>6</v>
      </c>
      <c r="G809" s="52">
        <v>6</v>
      </c>
      <c r="H809" s="52">
        <v>4</v>
      </c>
      <c r="I809" s="52">
        <v>33</v>
      </c>
      <c r="J809" s="105">
        <v>5.5</v>
      </c>
      <c r="K809" s="52"/>
    </row>
    <row r="810" spans="1:11" ht="15.75" customHeight="1" x14ac:dyDescent="0.25">
      <c r="A810" s="2">
        <v>699</v>
      </c>
      <c r="B810" s="2" t="s">
        <v>4650</v>
      </c>
      <c r="C810" s="52">
        <v>12</v>
      </c>
      <c r="D810" s="52">
        <v>7</v>
      </c>
      <c r="E810" s="52">
        <v>7</v>
      </c>
      <c r="F810" s="52">
        <v>9</v>
      </c>
      <c r="G810" s="52">
        <v>9</v>
      </c>
      <c r="H810" s="52">
        <v>5</v>
      </c>
      <c r="I810" s="52">
        <v>49</v>
      </c>
      <c r="J810" s="105">
        <v>8.1666666666666661</v>
      </c>
      <c r="K810" s="52"/>
    </row>
    <row r="811" spans="1:11" ht="15.75" customHeight="1" x14ac:dyDescent="0.25">
      <c r="A811" s="2">
        <v>700</v>
      </c>
      <c r="B811" s="2" t="s">
        <v>4651</v>
      </c>
      <c r="C811" s="52">
        <v>9</v>
      </c>
      <c r="D811" s="52">
        <v>6</v>
      </c>
      <c r="E811" s="52">
        <v>6</v>
      </c>
      <c r="F811" s="52">
        <v>11</v>
      </c>
      <c r="G811" s="52">
        <v>13</v>
      </c>
      <c r="H811" s="52">
        <v>6</v>
      </c>
      <c r="I811" s="52">
        <v>51</v>
      </c>
      <c r="J811" s="105">
        <v>8.5</v>
      </c>
      <c r="K811" s="52"/>
    </row>
    <row r="812" spans="1:11" ht="15.75" customHeight="1" x14ac:dyDescent="0.25">
      <c r="A812" s="2">
        <v>701</v>
      </c>
      <c r="B812" s="2" t="s">
        <v>4652</v>
      </c>
      <c r="C812" s="52">
        <v>7</v>
      </c>
      <c r="D812" s="52">
        <v>9</v>
      </c>
      <c r="E812" s="52">
        <v>7</v>
      </c>
      <c r="F812" s="52">
        <v>7</v>
      </c>
      <c r="G812" s="52">
        <v>6</v>
      </c>
      <c r="H812" s="52">
        <v>11</v>
      </c>
      <c r="I812" s="52">
        <v>47</v>
      </c>
      <c r="J812" s="105">
        <v>7.833333333333333</v>
      </c>
      <c r="K812" s="52"/>
    </row>
    <row r="813" spans="1:11" ht="15.75" customHeight="1" x14ac:dyDescent="0.25">
      <c r="A813" s="2">
        <v>702</v>
      </c>
      <c r="B813" s="2" t="s">
        <v>4653</v>
      </c>
      <c r="C813" s="52">
        <v>6</v>
      </c>
      <c r="D813" s="52">
        <v>5</v>
      </c>
      <c r="E813" s="52">
        <v>5</v>
      </c>
      <c r="F813" s="52">
        <v>8</v>
      </c>
      <c r="G813" s="52">
        <v>6</v>
      </c>
      <c r="H813" s="52">
        <v>10</v>
      </c>
      <c r="I813" s="52">
        <v>40</v>
      </c>
      <c r="J813" s="105">
        <v>6.666666666666667</v>
      </c>
      <c r="K813" s="52"/>
    </row>
    <row r="814" spans="1:11" ht="15.75" customHeight="1" x14ac:dyDescent="0.25">
      <c r="A814" s="2">
        <v>703</v>
      </c>
      <c r="B814" s="2" t="s">
        <v>4654</v>
      </c>
      <c r="C814" s="52">
        <v>5</v>
      </c>
      <c r="D814" s="52">
        <v>5</v>
      </c>
      <c r="E814" s="52">
        <v>15</v>
      </c>
      <c r="F814" s="52">
        <v>5</v>
      </c>
      <c r="G814" s="52">
        <v>15</v>
      </c>
      <c r="H814" s="52">
        <v>5</v>
      </c>
      <c r="I814" s="52">
        <v>50</v>
      </c>
      <c r="J814" s="105">
        <v>8.3333333333333339</v>
      </c>
      <c r="K814" s="52"/>
    </row>
    <row r="815" spans="1:11" ht="15.75" customHeight="1" x14ac:dyDescent="0.25">
      <c r="A815" s="2">
        <v>704</v>
      </c>
      <c r="B815" s="2" t="s">
        <v>4655</v>
      </c>
      <c r="C815" s="52">
        <v>4</v>
      </c>
      <c r="D815" s="52">
        <v>5</v>
      </c>
      <c r="E815" s="52">
        <v>3</v>
      </c>
      <c r="F815" s="52">
        <v>5</v>
      </c>
      <c r="G815" s="52">
        <v>7</v>
      </c>
      <c r="H815" s="52">
        <v>4</v>
      </c>
      <c r="I815" s="52">
        <v>28</v>
      </c>
      <c r="J815" s="105">
        <v>4.666666666666667</v>
      </c>
      <c r="K815" s="52"/>
    </row>
    <row r="816" spans="1:11" ht="15.75" customHeight="1" x14ac:dyDescent="0.25">
      <c r="A816" s="2">
        <v>705</v>
      </c>
      <c r="B816" s="2" t="s">
        <v>4656</v>
      </c>
      <c r="C816" s="52">
        <v>6</v>
      </c>
      <c r="D816" s="52">
        <v>7</v>
      </c>
      <c r="E816" s="52">
        <v>5</v>
      </c>
      <c r="F816" s="52">
        <v>8</v>
      </c>
      <c r="G816" s="52">
        <v>11</v>
      </c>
      <c r="H816" s="52">
        <v>6</v>
      </c>
      <c r="I816" s="52">
        <v>43</v>
      </c>
      <c r="J816" s="105">
        <v>7.166666666666667</v>
      </c>
      <c r="K816" s="52"/>
    </row>
    <row r="817" spans="1:11" ht="15.75" customHeight="1" x14ac:dyDescent="0.25">
      <c r="A817" s="2">
        <v>706</v>
      </c>
      <c r="B817" s="2" t="s">
        <v>4657</v>
      </c>
      <c r="C817" s="52">
        <v>9</v>
      </c>
      <c r="D817" s="52">
        <v>10</v>
      </c>
      <c r="E817" s="52">
        <v>7</v>
      </c>
      <c r="F817" s="52">
        <v>11</v>
      </c>
      <c r="G817" s="52">
        <v>15</v>
      </c>
      <c r="H817" s="52">
        <v>8</v>
      </c>
      <c r="I817" s="52">
        <v>60</v>
      </c>
      <c r="J817" s="105">
        <v>10</v>
      </c>
      <c r="K817" s="52"/>
    </row>
    <row r="818" spans="1:11" ht="15.75" customHeight="1" x14ac:dyDescent="0.25">
      <c r="A818" s="2">
        <v>707</v>
      </c>
      <c r="B818" s="2" t="s">
        <v>4658</v>
      </c>
      <c r="C818" s="52">
        <v>5</v>
      </c>
      <c r="D818" s="52">
        <v>8</v>
      </c>
      <c r="E818" s="52">
        <v>9</v>
      </c>
      <c r="F818" s="52">
        <v>8</v>
      </c>
      <c r="G818" s="52">
        <v>8</v>
      </c>
      <c r="H818" s="52">
        <v>7</v>
      </c>
      <c r="I818" s="52">
        <v>45</v>
      </c>
      <c r="J818" s="105">
        <v>7.5</v>
      </c>
      <c r="K818" s="52"/>
    </row>
    <row r="819" spans="1:11" ht="15.75" customHeight="1" x14ac:dyDescent="0.25">
      <c r="A819" s="2">
        <v>708</v>
      </c>
      <c r="B819" s="2" t="s">
        <v>4659</v>
      </c>
      <c r="C819" s="52">
        <v>4</v>
      </c>
      <c r="D819" s="52">
        <v>7</v>
      </c>
      <c r="E819" s="52">
        <v>4</v>
      </c>
      <c r="F819" s="52">
        <v>5</v>
      </c>
      <c r="G819" s="52">
        <v>6</v>
      </c>
      <c r="H819" s="52">
        <v>3</v>
      </c>
      <c r="I819" s="52">
        <v>29</v>
      </c>
      <c r="J819" s="105">
        <v>4.833333333333333</v>
      </c>
      <c r="K819" s="52"/>
    </row>
    <row r="820" spans="1:11" ht="15.75" customHeight="1" x14ac:dyDescent="0.25">
      <c r="A820" s="2">
        <v>709</v>
      </c>
      <c r="B820" s="2" t="s">
        <v>4660</v>
      </c>
      <c r="C820" s="52">
        <v>8</v>
      </c>
      <c r="D820" s="52">
        <v>11</v>
      </c>
      <c r="E820" s="52">
        <v>7</v>
      </c>
      <c r="F820" s="52">
        <v>6</v>
      </c>
      <c r="G820" s="52">
        <v>8</v>
      </c>
      <c r="H820" s="52">
        <v>5</v>
      </c>
      <c r="I820" s="52">
        <v>45</v>
      </c>
      <c r="J820" s="105">
        <v>7.5</v>
      </c>
      <c r="K820" s="52"/>
    </row>
    <row r="821" spans="1:11" ht="15.75" customHeight="1" x14ac:dyDescent="0.25">
      <c r="A821" s="2">
        <v>710</v>
      </c>
      <c r="B821" s="2" t="s">
        <v>4661</v>
      </c>
      <c r="C821" s="52">
        <v>4</v>
      </c>
      <c r="D821" s="52">
        <v>6</v>
      </c>
      <c r="E821" s="52">
        <v>7</v>
      </c>
      <c r="F821" s="52">
        <v>4</v>
      </c>
      <c r="G821" s="52">
        <v>5</v>
      </c>
      <c r="H821" s="52">
        <v>5</v>
      </c>
      <c r="I821" s="52">
        <v>31</v>
      </c>
      <c r="J821" s="105">
        <v>5.166666666666667</v>
      </c>
      <c r="K821" s="52"/>
    </row>
    <row r="822" spans="1:11" ht="15.75" customHeight="1" x14ac:dyDescent="0.25">
      <c r="A822" s="2">
        <v>710</v>
      </c>
      <c r="B822" s="2" t="s">
        <v>4662</v>
      </c>
      <c r="C822" s="52">
        <v>4</v>
      </c>
      <c r="D822" s="52">
        <v>6</v>
      </c>
      <c r="E822" s="52">
        <v>7</v>
      </c>
      <c r="F822" s="52">
        <v>4</v>
      </c>
      <c r="G822" s="52">
        <v>5</v>
      </c>
      <c r="H822" s="52">
        <v>5</v>
      </c>
      <c r="I822" s="52">
        <v>31</v>
      </c>
      <c r="J822" s="105">
        <v>5.166666666666667</v>
      </c>
      <c r="K822" s="52"/>
    </row>
    <row r="823" spans="1:11" ht="15.75" customHeight="1" x14ac:dyDescent="0.25">
      <c r="A823" s="2">
        <v>710</v>
      </c>
      <c r="B823" s="2" t="s">
        <v>4663</v>
      </c>
      <c r="C823" s="52">
        <v>5</v>
      </c>
      <c r="D823" s="52">
        <v>6</v>
      </c>
      <c r="E823" s="52">
        <v>7</v>
      </c>
      <c r="F823" s="52">
        <v>4</v>
      </c>
      <c r="G823" s="52">
        <v>5</v>
      </c>
      <c r="H823" s="52">
        <v>4</v>
      </c>
      <c r="I823" s="52">
        <v>31</v>
      </c>
      <c r="J823" s="105">
        <v>5.166666666666667</v>
      </c>
      <c r="K823" s="52"/>
    </row>
    <row r="824" spans="1:11" ht="15.75" customHeight="1" x14ac:dyDescent="0.25">
      <c r="A824" s="2">
        <v>710</v>
      </c>
      <c r="B824" s="2" t="s">
        <v>4664</v>
      </c>
      <c r="C824" s="52">
        <v>5</v>
      </c>
      <c r="D824" s="52">
        <v>6</v>
      </c>
      <c r="E824" s="52">
        <v>7</v>
      </c>
      <c r="F824" s="52">
        <v>4</v>
      </c>
      <c r="G824" s="52">
        <v>5</v>
      </c>
      <c r="H824" s="52">
        <v>4</v>
      </c>
      <c r="I824" s="52">
        <v>31</v>
      </c>
      <c r="J824" s="105">
        <v>5.166666666666667</v>
      </c>
      <c r="K824" s="52"/>
    </row>
    <row r="825" spans="1:11" ht="15.75" customHeight="1" x14ac:dyDescent="0.25">
      <c r="A825" s="2">
        <v>711</v>
      </c>
      <c r="B825" s="2" t="s">
        <v>4665</v>
      </c>
      <c r="C825" s="52">
        <v>5</v>
      </c>
      <c r="D825" s="52">
        <v>8</v>
      </c>
      <c r="E825" s="52">
        <v>12</v>
      </c>
      <c r="F825" s="52">
        <v>5</v>
      </c>
      <c r="G825" s="52">
        <v>7</v>
      </c>
      <c r="H825" s="52">
        <v>9</v>
      </c>
      <c r="I825" s="52">
        <v>46</v>
      </c>
      <c r="J825" s="105">
        <v>7.666666666666667</v>
      </c>
      <c r="K825" s="52"/>
    </row>
    <row r="826" spans="1:11" ht="15.75" customHeight="1" x14ac:dyDescent="0.25">
      <c r="A826" s="2">
        <v>711</v>
      </c>
      <c r="B826" s="2" t="s">
        <v>4666</v>
      </c>
      <c r="C826" s="52">
        <v>6</v>
      </c>
      <c r="D826" s="52">
        <v>9</v>
      </c>
      <c r="E826" s="52">
        <v>12</v>
      </c>
      <c r="F826" s="52">
        <v>5</v>
      </c>
      <c r="G826" s="52">
        <v>7</v>
      </c>
      <c r="H826" s="52">
        <v>8</v>
      </c>
      <c r="I826" s="52">
        <v>47</v>
      </c>
      <c r="J826" s="105">
        <v>7.833333333333333</v>
      </c>
      <c r="K826" s="52"/>
    </row>
    <row r="827" spans="1:11" ht="15.75" customHeight="1" x14ac:dyDescent="0.25">
      <c r="A827" s="2">
        <v>711</v>
      </c>
      <c r="B827" s="2" t="s">
        <v>4667</v>
      </c>
      <c r="C827" s="52">
        <v>7</v>
      </c>
      <c r="D827" s="52">
        <v>9</v>
      </c>
      <c r="E827" s="52">
        <v>12</v>
      </c>
      <c r="F827" s="52">
        <v>5</v>
      </c>
      <c r="G827" s="52">
        <v>7</v>
      </c>
      <c r="H827" s="52">
        <v>6</v>
      </c>
      <c r="I827" s="52">
        <v>46</v>
      </c>
      <c r="J827" s="105">
        <v>7.666666666666667</v>
      </c>
      <c r="K827" s="52"/>
    </row>
    <row r="828" spans="1:11" ht="15.75" customHeight="1" x14ac:dyDescent="0.25">
      <c r="A828" s="2">
        <v>711</v>
      </c>
      <c r="B828" s="2" t="s">
        <v>4668</v>
      </c>
      <c r="C828" s="52">
        <v>8</v>
      </c>
      <c r="D828" s="52">
        <v>10</v>
      </c>
      <c r="E828" s="52">
        <v>12</v>
      </c>
      <c r="F828" s="52">
        <v>5</v>
      </c>
      <c r="G828" s="52">
        <v>7</v>
      </c>
      <c r="H828" s="52">
        <v>5</v>
      </c>
      <c r="I828" s="52">
        <v>47</v>
      </c>
      <c r="J828" s="105">
        <v>7.833333333333333</v>
      </c>
      <c r="K828" s="52"/>
    </row>
    <row r="829" spans="1:11" ht="15.75" customHeight="1" x14ac:dyDescent="0.25">
      <c r="A829" s="2">
        <v>712</v>
      </c>
      <c r="B829" s="2" t="s">
        <v>4669</v>
      </c>
      <c r="C829" s="52">
        <v>5</v>
      </c>
      <c r="D829" s="52">
        <v>6</v>
      </c>
      <c r="E829" s="52">
        <v>8</v>
      </c>
      <c r="F829" s="52">
        <v>3</v>
      </c>
      <c r="G829" s="52">
        <v>3</v>
      </c>
      <c r="H829" s="52">
        <v>2</v>
      </c>
      <c r="I829" s="52">
        <v>27</v>
      </c>
      <c r="J829" s="105">
        <v>4.5</v>
      </c>
      <c r="K829" s="52"/>
    </row>
    <row r="830" spans="1:11" ht="15.75" customHeight="1" x14ac:dyDescent="0.25">
      <c r="A830" s="2">
        <v>713</v>
      </c>
      <c r="B830" s="2" t="s">
        <v>4670</v>
      </c>
      <c r="C830" s="52">
        <v>9</v>
      </c>
      <c r="D830" s="52">
        <v>11</v>
      </c>
      <c r="E830" s="52">
        <v>18</v>
      </c>
      <c r="F830" s="52">
        <v>4</v>
      </c>
      <c r="G830" s="52">
        <v>4</v>
      </c>
      <c r="H830" s="52">
        <v>2</v>
      </c>
      <c r="I830" s="52">
        <v>48</v>
      </c>
      <c r="J830" s="105">
        <v>8</v>
      </c>
      <c r="K830" s="52"/>
    </row>
    <row r="831" spans="1:11" ht="15.75" customHeight="1" x14ac:dyDescent="0.25">
      <c r="A831" s="2">
        <v>714</v>
      </c>
      <c r="B831" s="2" t="s">
        <v>4671</v>
      </c>
      <c r="C831" s="52">
        <v>4</v>
      </c>
      <c r="D831" s="52">
        <v>3</v>
      </c>
      <c r="E831" s="52">
        <v>3</v>
      </c>
      <c r="F831" s="52">
        <v>4</v>
      </c>
      <c r="G831" s="52">
        <v>4</v>
      </c>
      <c r="H831" s="52">
        <v>5</v>
      </c>
      <c r="I831" s="52">
        <v>23</v>
      </c>
      <c r="J831" s="105">
        <v>3.8333333333333335</v>
      </c>
      <c r="K831" s="52"/>
    </row>
    <row r="832" spans="1:11" ht="15.75" customHeight="1" x14ac:dyDescent="0.25">
      <c r="A832" s="2">
        <v>715</v>
      </c>
      <c r="B832" s="2" t="s">
        <v>4672</v>
      </c>
      <c r="C832" s="52">
        <v>8</v>
      </c>
      <c r="D832" s="52">
        <v>7</v>
      </c>
      <c r="E832" s="52">
        <v>8</v>
      </c>
      <c r="F832" s="52">
        <v>9</v>
      </c>
      <c r="G832" s="52">
        <v>8</v>
      </c>
      <c r="H832" s="52">
        <v>12</v>
      </c>
      <c r="I832" s="52">
        <v>52</v>
      </c>
      <c r="J832" s="105">
        <v>8.6666666666666661</v>
      </c>
      <c r="K832" s="52"/>
    </row>
    <row r="833" spans="1:11" ht="15.75" customHeight="1" x14ac:dyDescent="0.25">
      <c r="A833" s="2">
        <v>716</v>
      </c>
      <c r="B833" s="2" t="s">
        <v>4673</v>
      </c>
      <c r="C833" s="52">
        <v>12</v>
      </c>
      <c r="D833" s="52">
        <v>13</v>
      </c>
      <c r="E833" s="52">
        <v>9</v>
      </c>
      <c r="F833" s="52">
        <v>13</v>
      </c>
      <c r="G833" s="52">
        <v>9</v>
      </c>
      <c r="H833" s="52">
        <v>9</v>
      </c>
      <c r="I833" s="52">
        <v>65</v>
      </c>
      <c r="J833" s="105">
        <v>10.833333333333334</v>
      </c>
      <c r="K833" s="52"/>
    </row>
    <row r="834" spans="1:11" ht="15.75" customHeight="1" x14ac:dyDescent="0.25">
      <c r="A834" s="2">
        <v>717</v>
      </c>
      <c r="B834" s="2" t="s">
        <v>4674</v>
      </c>
      <c r="C834" s="52">
        <v>12</v>
      </c>
      <c r="D834" s="52">
        <v>13</v>
      </c>
      <c r="E834" s="52">
        <v>9</v>
      </c>
      <c r="F834" s="52">
        <v>13</v>
      </c>
      <c r="G834" s="52">
        <v>9</v>
      </c>
      <c r="H834" s="52">
        <v>9</v>
      </c>
      <c r="I834" s="52">
        <v>65</v>
      </c>
      <c r="J834" s="105">
        <v>10.833333333333334</v>
      </c>
      <c r="K834" s="52"/>
    </row>
    <row r="835" spans="1:11" ht="15.75" customHeight="1" x14ac:dyDescent="0.25">
      <c r="A835" s="2">
        <v>718</v>
      </c>
      <c r="B835" s="2" t="s">
        <v>4675</v>
      </c>
      <c r="C835" s="52">
        <v>10</v>
      </c>
      <c r="D835" s="52">
        <v>10</v>
      </c>
      <c r="E835" s="52">
        <v>12</v>
      </c>
      <c r="F835" s="52">
        <v>8</v>
      </c>
      <c r="G835" s="52">
        <v>9</v>
      </c>
      <c r="H835" s="52">
        <v>9</v>
      </c>
      <c r="I835" s="52">
        <v>58</v>
      </c>
      <c r="J835" s="105">
        <v>9.6666666666666661</v>
      </c>
      <c r="K835" s="52"/>
    </row>
    <row r="836" spans="1:11" ht="15.75" customHeight="1" x14ac:dyDescent="0.25">
      <c r="A836" s="2">
        <v>718</v>
      </c>
      <c r="B836" s="2" t="s">
        <v>4676</v>
      </c>
      <c r="C836" s="52">
        <v>5</v>
      </c>
      <c r="D836" s="52">
        <v>10</v>
      </c>
      <c r="E836" s="52">
        <v>7</v>
      </c>
      <c r="F836" s="52">
        <v>6</v>
      </c>
      <c r="G836" s="52">
        <v>8</v>
      </c>
      <c r="H836" s="52">
        <v>11</v>
      </c>
      <c r="I836" s="52">
        <v>47</v>
      </c>
      <c r="J836" s="105">
        <v>7.833333333333333</v>
      </c>
      <c r="K836" s="52"/>
    </row>
    <row r="837" spans="1:11" ht="15.75" customHeight="1" x14ac:dyDescent="0.25">
      <c r="A837" s="2">
        <v>718</v>
      </c>
      <c r="B837" s="2" t="s">
        <v>4677</v>
      </c>
      <c r="C837" s="52">
        <v>21</v>
      </c>
      <c r="D837" s="52">
        <v>10</v>
      </c>
      <c r="E837" s="52">
        <v>12</v>
      </c>
      <c r="F837" s="52">
        <v>9</v>
      </c>
      <c r="G837" s="52">
        <v>9</v>
      </c>
      <c r="H837" s="52">
        <v>8</v>
      </c>
      <c r="I837" s="52">
        <v>69</v>
      </c>
      <c r="J837" s="105">
        <v>11.5</v>
      </c>
      <c r="K837" s="52"/>
    </row>
    <row r="838" spans="1:11" ht="15.75" customHeight="1" x14ac:dyDescent="0.25">
      <c r="A838" s="2">
        <v>719</v>
      </c>
      <c r="B838" s="2" t="s">
        <v>4678</v>
      </c>
      <c r="C838" s="52">
        <v>5</v>
      </c>
      <c r="D838" s="52">
        <v>10</v>
      </c>
      <c r="E838" s="52">
        <v>15</v>
      </c>
      <c r="F838" s="52">
        <v>10</v>
      </c>
      <c r="G838" s="52">
        <v>15</v>
      </c>
      <c r="H838" s="52">
        <v>5</v>
      </c>
      <c r="I838" s="52">
        <v>60</v>
      </c>
      <c r="J838" s="105">
        <v>10</v>
      </c>
      <c r="K838" s="52"/>
    </row>
    <row r="839" spans="1:11" ht="15.75" customHeight="1" x14ac:dyDescent="0.25">
      <c r="A839" s="2">
        <v>719</v>
      </c>
      <c r="B839" s="2" t="s">
        <v>4679</v>
      </c>
      <c r="C839" s="52">
        <v>5</v>
      </c>
      <c r="D839" s="52">
        <v>16</v>
      </c>
      <c r="E839" s="52">
        <v>11</v>
      </c>
      <c r="F839" s="52">
        <v>16</v>
      </c>
      <c r="G839" s="52">
        <v>11</v>
      </c>
      <c r="H839" s="52">
        <v>11</v>
      </c>
      <c r="I839" s="52">
        <v>70</v>
      </c>
      <c r="J839" s="105">
        <v>11.666666666666666</v>
      </c>
      <c r="K839" s="52"/>
    </row>
    <row r="840" spans="1:11" ht="15.75" customHeight="1" x14ac:dyDescent="0.25">
      <c r="A840" s="2">
        <v>720</v>
      </c>
      <c r="B840" s="2" t="s">
        <v>4680</v>
      </c>
      <c r="C840" s="52">
        <v>8</v>
      </c>
      <c r="D840" s="52">
        <v>11</v>
      </c>
      <c r="E840" s="52">
        <v>6</v>
      </c>
      <c r="F840" s="52">
        <v>15</v>
      </c>
      <c r="G840" s="52">
        <v>13</v>
      </c>
      <c r="H840" s="52">
        <v>7</v>
      </c>
      <c r="I840" s="52">
        <v>60</v>
      </c>
      <c r="J840" s="105">
        <v>10</v>
      </c>
      <c r="K840" s="52"/>
    </row>
    <row r="841" spans="1:11" ht="15.75" customHeight="1" x14ac:dyDescent="0.25">
      <c r="A841" s="2">
        <v>720</v>
      </c>
      <c r="B841" s="2" t="s">
        <v>4681</v>
      </c>
      <c r="C841" s="52">
        <v>8</v>
      </c>
      <c r="D841" s="52">
        <v>16</v>
      </c>
      <c r="E841" s="52">
        <v>6</v>
      </c>
      <c r="F841" s="52">
        <v>17</v>
      </c>
      <c r="G841" s="52">
        <v>13</v>
      </c>
      <c r="H841" s="52">
        <v>8</v>
      </c>
      <c r="I841" s="52">
        <v>68</v>
      </c>
      <c r="J841" s="105">
        <v>11.333333333333334</v>
      </c>
      <c r="K841" s="52"/>
    </row>
    <row r="842" spans="1:11" ht="15.75" customHeight="1" x14ac:dyDescent="0.25">
      <c r="A842" s="2">
        <v>721</v>
      </c>
      <c r="B842" s="2" t="s">
        <v>4682</v>
      </c>
      <c r="C842" s="52">
        <v>8</v>
      </c>
      <c r="D842" s="52">
        <v>11</v>
      </c>
      <c r="E842" s="52">
        <v>12</v>
      </c>
      <c r="F842" s="52">
        <v>13</v>
      </c>
      <c r="G842" s="52">
        <v>9</v>
      </c>
      <c r="H842" s="52">
        <v>7</v>
      </c>
      <c r="I842" s="52">
        <v>60</v>
      </c>
      <c r="J842" s="105">
        <v>10</v>
      </c>
      <c r="K842" s="52"/>
    </row>
    <row r="843" spans="1:11" ht="15.75" customHeight="1" x14ac:dyDescent="0.25">
      <c r="A843" s="2">
        <v>722</v>
      </c>
      <c r="B843" s="2" t="s">
        <v>4683</v>
      </c>
      <c r="C843" s="52">
        <v>6</v>
      </c>
      <c r="D843" s="52">
        <v>5</v>
      </c>
      <c r="E843" s="52">
        <v>5</v>
      </c>
      <c r="F843" s="52">
        <v>5</v>
      </c>
      <c r="G843" s="52">
        <v>5</v>
      </c>
      <c r="H843" s="52">
        <v>4</v>
      </c>
      <c r="I843" s="52">
        <v>30</v>
      </c>
      <c r="J843" s="105">
        <v>5</v>
      </c>
      <c r="K843" s="52"/>
    </row>
    <row r="844" spans="1:11" ht="15.75" customHeight="1" x14ac:dyDescent="0.25">
      <c r="A844" s="2">
        <v>723</v>
      </c>
      <c r="B844" s="2" t="s">
        <v>4684</v>
      </c>
      <c r="C844" s="52">
        <v>7</v>
      </c>
      <c r="D844" s="52">
        <v>7</v>
      </c>
      <c r="E844" s="52">
        <v>7</v>
      </c>
      <c r="F844" s="52">
        <v>7</v>
      </c>
      <c r="G844" s="52">
        <v>7</v>
      </c>
      <c r="H844" s="52">
        <v>5</v>
      </c>
      <c r="I844" s="52">
        <v>40</v>
      </c>
      <c r="J844" s="105">
        <v>6.666666666666667</v>
      </c>
      <c r="K844" s="52"/>
    </row>
    <row r="845" spans="1:11" ht="15.75" customHeight="1" x14ac:dyDescent="0.25">
      <c r="A845" s="2">
        <v>724</v>
      </c>
      <c r="B845" s="2" t="s">
        <v>4685</v>
      </c>
      <c r="C845" s="52">
        <v>7</v>
      </c>
      <c r="D845" s="52">
        <v>10</v>
      </c>
      <c r="E845" s="52">
        <v>7</v>
      </c>
      <c r="F845" s="52">
        <v>10</v>
      </c>
      <c r="G845" s="52">
        <v>10</v>
      </c>
      <c r="H845" s="52">
        <v>7</v>
      </c>
      <c r="I845" s="52">
        <v>51</v>
      </c>
      <c r="J845" s="105">
        <v>8.5</v>
      </c>
      <c r="K845" s="52"/>
    </row>
    <row r="846" spans="1:11" ht="15.75" customHeight="1" x14ac:dyDescent="0.25">
      <c r="A846" s="2">
        <v>725</v>
      </c>
      <c r="B846" s="2" t="s">
        <v>4686</v>
      </c>
      <c r="C846" s="52">
        <v>4</v>
      </c>
      <c r="D846" s="52">
        <v>6</v>
      </c>
      <c r="E846" s="52">
        <v>4</v>
      </c>
      <c r="F846" s="52">
        <v>6</v>
      </c>
      <c r="G846" s="52">
        <v>4</v>
      </c>
      <c r="H846" s="52">
        <v>7</v>
      </c>
      <c r="I846" s="52">
        <v>31</v>
      </c>
      <c r="J846" s="105">
        <v>5.166666666666667</v>
      </c>
      <c r="K846" s="52"/>
    </row>
    <row r="847" spans="1:11" ht="15.75" customHeight="1" x14ac:dyDescent="0.25">
      <c r="A847" s="2">
        <v>726</v>
      </c>
      <c r="B847" s="2" t="s">
        <v>4687</v>
      </c>
      <c r="C847" s="52">
        <v>6</v>
      </c>
      <c r="D847" s="52">
        <v>8</v>
      </c>
      <c r="E847" s="52">
        <v>5</v>
      </c>
      <c r="F847" s="52">
        <v>8</v>
      </c>
      <c r="G847" s="52">
        <v>5</v>
      </c>
      <c r="H847" s="52">
        <v>9</v>
      </c>
      <c r="I847" s="52">
        <v>41</v>
      </c>
      <c r="J847" s="105">
        <v>6.833333333333333</v>
      </c>
      <c r="K847" s="52"/>
    </row>
    <row r="848" spans="1:11" ht="15.75" customHeight="1" x14ac:dyDescent="0.25">
      <c r="A848" s="2">
        <v>727</v>
      </c>
      <c r="B848" s="2" t="s">
        <v>4688</v>
      </c>
      <c r="C848" s="52">
        <v>9</v>
      </c>
      <c r="D848" s="52">
        <v>11</v>
      </c>
      <c r="E848" s="52">
        <v>9</v>
      </c>
      <c r="F848" s="52">
        <v>8</v>
      </c>
      <c r="G848" s="52">
        <v>9</v>
      </c>
      <c r="H848" s="52">
        <v>6</v>
      </c>
      <c r="I848" s="52">
        <v>52</v>
      </c>
      <c r="J848" s="105">
        <v>8.6666666666666661</v>
      </c>
      <c r="K848" s="52"/>
    </row>
    <row r="849" spans="1:11" ht="15.75" customHeight="1" x14ac:dyDescent="0.25">
      <c r="A849" s="2">
        <v>728</v>
      </c>
      <c r="B849" s="2" t="s">
        <v>4689</v>
      </c>
      <c r="C849" s="52">
        <v>5</v>
      </c>
      <c r="D849" s="52">
        <v>5</v>
      </c>
      <c r="E849" s="52">
        <v>5</v>
      </c>
      <c r="F849" s="52">
        <v>6</v>
      </c>
      <c r="G849" s="52">
        <v>5</v>
      </c>
      <c r="H849" s="52">
        <v>4</v>
      </c>
      <c r="I849" s="52">
        <v>30</v>
      </c>
      <c r="J849" s="105">
        <v>5</v>
      </c>
      <c r="K849" s="52"/>
    </row>
    <row r="850" spans="1:11" ht="15.75" customHeight="1" x14ac:dyDescent="0.25">
      <c r="A850" s="2">
        <v>729</v>
      </c>
      <c r="B850" s="2" t="s">
        <v>4690</v>
      </c>
      <c r="C850" s="52">
        <v>6</v>
      </c>
      <c r="D850" s="52">
        <v>6</v>
      </c>
      <c r="E850" s="52">
        <v>6</v>
      </c>
      <c r="F850" s="52">
        <v>9</v>
      </c>
      <c r="G850" s="52">
        <v>8</v>
      </c>
      <c r="H850" s="52">
        <v>5</v>
      </c>
      <c r="I850" s="52">
        <v>40</v>
      </c>
      <c r="J850" s="105">
        <v>6.666666666666667</v>
      </c>
      <c r="K850" s="52"/>
    </row>
    <row r="851" spans="1:11" ht="15.75" customHeight="1" x14ac:dyDescent="0.25">
      <c r="A851" s="2">
        <v>730</v>
      </c>
      <c r="B851" s="2" t="s">
        <v>4691</v>
      </c>
      <c r="C851" s="52">
        <v>8</v>
      </c>
      <c r="D851" s="52">
        <v>7</v>
      </c>
      <c r="E851" s="52">
        <v>7</v>
      </c>
      <c r="F851" s="52">
        <v>12</v>
      </c>
      <c r="G851" s="52">
        <v>11</v>
      </c>
      <c r="H851" s="52">
        <v>6</v>
      </c>
      <c r="I851" s="52">
        <v>51</v>
      </c>
      <c r="J851" s="105">
        <v>8.5</v>
      </c>
      <c r="K851" s="52"/>
    </row>
    <row r="852" spans="1:11" ht="15.75" customHeight="1" x14ac:dyDescent="0.25">
      <c r="A852" s="2">
        <v>731</v>
      </c>
      <c r="B852" s="2" t="s">
        <v>4692</v>
      </c>
      <c r="C852" s="52">
        <v>3</v>
      </c>
      <c r="D852" s="52">
        <v>7</v>
      </c>
      <c r="E852" s="52">
        <v>3</v>
      </c>
      <c r="F852" s="52">
        <v>3</v>
      </c>
      <c r="G852" s="52">
        <v>3</v>
      </c>
      <c r="H852" s="52">
        <v>6</v>
      </c>
      <c r="I852" s="52">
        <v>25</v>
      </c>
      <c r="J852" s="105">
        <v>4.166666666666667</v>
      </c>
      <c r="K852" s="52"/>
    </row>
    <row r="853" spans="1:11" ht="15.75" customHeight="1" x14ac:dyDescent="0.25">
      <c r="A853" s="2">
        <v>732</v>
      </c>
      <c r="B853" s="2" t="s">
        <v>4693</v>
      </c>
      <c r="C853" s="52">
        <v>5</v>
      </c>
      <c r="D853" s="52">
        <v>8</v>
      </c>
      <c r="E853" s="52">
        <v>5</v>
      </c>
      <c r="F853" s="52">
        <v>4</v>
      </c>
      <c r="G853" s="52">
        <v>5</v>
      </c>
      <c r="H853" s="52">
        <v>7</v>
      </c>
      <c r="I853" s="52">
        <v>34</v>
      </c>
      <c r="J853" s="105">
        <v>5.666666666666667</v>
      </c>
      <c r="K853" s="52"/>
    </row>
    <row r="854" spans="1:11" ht="15.75" customHeight="1" x14ac:dyDescent="0.25">
      <c r="A854" s="2">
        <v>733</v>
      </c>
      <c r="B854" s="2" t="s">
        <v>4694</v>
      </c>
      <c r="C854" s="52">
        <v>8</v>
      </c>
      <c r="D854" s="52">
        <v>12</v>
      </c>
      <c r="E854" s="52">
        <v>7</v>
      </c>
      <c r="F854" s="52">
        <v>7</v>
      </c>
      <c r="G854" s="52">
        <v>7</v>
      </c>
      <c r="H854" s="52">
        <v>6</v>
      </c>
      <c r="I854" s="52">
        <v>47</v>
      </c>
      <c r="J854" s="105">
        <v>7.833333333333333</v>
      </c>
      <c r="K854" s="52"/>
    </row>
    <row r="855" spans="1:11" ht="15.75" customHeight="1" x14ac:dyDescent="0.25">
      <c r="A855" s="2">
        <v>734</v>
      </c>
      <c r="B855" s="2" t="s">
        <v>4695</v>
      </c>
      <c r="C855" s="52">
        <v>4</v>
      </c>
      <c r="D855" s="52">
        <v>7</v>
      </c>
      <c r="E855" s="52">
        <v>3</v>
      </c>
      <c r="F855" s="52">
        <v>3</v>
      </c>
      <c r="G855" s="52">
        <v>3</v>
      </c>
      <c r="H855" s="52">
        <v>4</v>
      </c>
      <c r="I855" s="52">
        <v>24</v>
      </c>
      <c r="J855" s="105">
        <v>4</v>
      </c>
      <c r="K855" s="52"/>
    </row>
    <row r="856" spans="1:11" ht="15.75" customHeight="1" x14ac:dyDescent="0.25">
      <c r="A856" s="2">
        <v>735</v>
      </c>
      <c r="B856" s="2" t="s">
        <v>4696</v>
      </c>
      <c r="C856" s="52">
        <v>8</v>
      </c>
      <c r="D856" s="52">
        <v>11</v>
      </c>
      <c r="E856" s="52">
        <v>6</v>
      </c>
      <c r="F856" s="52">
        <v>5</v>
      </c>
      <c r="G856" s="52">
        <v>6</v>
      </c>
      <c r="H856" s="52">
        <v>4</v>
      </c>
      <c r="I856" s="52">
        <v>40</v>
      </c>
      <c r="J856" s="105">
        <v>6.666666666666667</v>
      </c>
      <c r="K856" s="52"/>
    </row>
    <row r="857" spans="1:11" ht="15.75" customHeight="1" x14ac:dyDescent="0.25">
      <c r="A857" s="2">
        <v>736</v>
      </c>
      <c r="B857" s="2" t="s">
        <v>4697</v>
      </c>
      <c r="C857" s="52">
        <v>4</v>
      </c>
      <c r="D857" s="52">
        <v>6</v>
      </c>
      <c r="E857" s="52">
        <v>4</v>
      </c>
      <c r="F857" s="52">
        <v>5</v>
      </c>
      <c r="G857" s="52">
        <v>4</v>
      </c>
      <c r="H857" s="52">
        <v>4</v>
      </c>
      <c r="I857" s="52">
        <v>27</v>
      </c>
      <c r="J857" s="105">
        <v>4.5</v>
      </c>
      <c r="K857" s="52"/>
    </row>
    <row r="858" spans="1:11" ht="15.75" customHeight="1" x14ac:dyDescent="0.25">
      <c r="A858" s="2">
        <v>737</v>
      </c>
      <c r="B858" s="2" t="s">
        <v>4698</v>
      </c>
      <c r="C858" s="52">
        <v>5</v>
      </c>
      <c r="D858" s="52">
        <v>8</v>
      </c>
      <c r="E858" s="52">
        <v>9</v>
      </c>
      <c r="F858" s="52">
        <v>5</v>
      </c>
      <c r="G858" s="52">
        <v>7</v>
      </c>
      <c r="H858" s="52">
        <v>3</v>
      </c>
      <c r="I858" s="52">
        <v>37</v>
      </c>
      <c r="J858" s="105">
        <v>6.166666666666667</v>
      </c>
      <c r="K858" s="52"/>
    </row>
    <row r="859" spans="1:11" ht="15.75" customHeight="1" x14ac:dyDescent="0.25">
      <c r="A859" s="2">
        <v>738</v>
      </c>
      <c r="B859" s="2" t="s">
        <v>4699</v>
      </c>
      <c r="C859" s="52">
        <v>7</v>
      </c>
      <c r="D859" s="52">
        <v>7</v>
      </c>
      <c r="E859" s="52">
        <v>9</v>
      </c>
      <c r="F859" s="52">
        <v>14</v>
      </c>
      <c r="G859" s="52">
        <v>7</v>
      </c>
      <c r="H859" s="52">
        <v>4</v>
      </c>
      <c r="I859" s="52">
        <v>48</v>
      </c>
      <c r="J859" s="105">
        <v>8</v>
      </c>
      <c r="K859" s="52"/>
    </row>
    <row r="860" spans="1:11" ht="15.75" customHeight="1" x14ac:dyDescent="0.25">
      <c r="A860" s="2">
        <v>739</v>
      </c>
      <c r="B860" s="2" t="s">
        <v>4700</v>
      </c>
      <c r="C860" s="52">
        <v>4</v>
      </c>
      <c r="D860" s="52">
        <v>8</v>
      </c>
      <c r="E860" s="52">
        <v>5</v>
      </c>
      <c r="F860" s="52">
        <v>4</v>
      </c>
      <c r="G860" s="52">
        <v>4</v>
      </c>
      <c r="H860" s="52">
        <v>6</v>
      </c>
      <c r="I860" s="52">
        <v>31</v>
      </c>
      <c r="J860" s="105">
        <v>5.166666666666667</v>
      </c>
      <c r="K860" s="52"/>
    </row>
    <row r="861" spans="1:11" ht="15.75" customHeight="1" x14ac:dyDescent="0.25">
      <c r="A861" s="2">
        <v>740</v>
      </c>
      <c r="B861" s="2" t="s">
        <v>4701</v>
      </c>
      <c r="C861" s="52">
        <v>9</v>
      </c>
      <c r="D861" s="52">
        <v>13</v>
      </c>
      <c r="E861" s="52">
        <v>7</v>
      </c>
      <c r="F861" s="52">
        <v>6</v>
      </c>
      <c r="G861" s="52">
        <v>6</v>
      </c>
      <c r="H861" s="52">
        <v>4</v>
      </c>
      <c r="I861" s="52">
        <v>45</v>
      </c>
      <c r="J861" s="105">
        <v>7.5</v>
      </c>
      <c r="K861" s="52"/>
    </row>
    <row r="862" spans="1:11" ht="15.75" customHeight="1" x14ac:dyDescent="0.25">
      <c r="A862" s="2">
        <v>741</v>
      </c>
      <c r="B862" s="2" t="s">
        <v>4702</v>
      </c>
      <c r="C862" s="52">
        <v>7</v>
      </c>
      <c r="D862" s="52">
        <v>7</v>
      </c>
      <c r="E862" s="52">
        <v>7</v>
      </c>
      <c r="F862" s="52">
        <v>9</v>
      </c>
      <c r="G862" s="52">
        <v>7</v>
      </c>
      <c r="H862" s="52">
        <v>9</v>
      </c>
      <c r="I862" s="52">
        <v>46</v>
      </c>
      <c r="J862" s="105">
        <v>7.666666666666667</v>
      </c>
      <c r="K862" s="52"/>
    </row>
    <row r="863" spans="1:11" ht="15.75" customHeight="1" x14ac:dyDescent="0.25">
      <c r="A863" s="2">
        <v>742</v>
      </c>
      <c r="B863" s="2" t="s">
        <v>4703</v>
      </c>
      <c r="C863" s="52">
        <v>4</v>
      </c>
      <c r="D863" s="52">
        <v>4</v>
      </c>
      <c r="E863" s="52">
        <v>4</v>
      </c>
      <c r="F863" s="52">
        <v>5</v>
      </c>
      <c r="G863" s="52">
        <v>4</v>
      </c>
      <c r="H863" s="52">
        <v>8</v>
      </c>
      <c r="I863" s="52">
        <v>29</v>
      </c>
      <c r="J863" s="105">
        <v>4.833333333333333</v>
      </c>
      <c r="K863" s="52"/>
    </row>
    <row r="864" spans="1:11" ht="15.75" customHeight="1" x14ac:dyDescent="0.25">
      <c r="A864" s="2">
        <v>743</v>
      </c>
      <c r="B864" s="2" t="s">
        <v>4704</v>
      </c>
      <c r="C864" s="52">
        <v>6</v>
      </c>
      <c r="D864" s="52">
        <v>5</v>
      </c>
      <c r="E864" s="52">
        <v>6</v>
      </c>
      <c r="F864" s="52">
        <v>9</v>
      </c>
      <c r="G864" s="52">
        <v>7</v>
      </c>
      <c r="H864" s="52">
        <v>12</v>
      </c>
      <c r="I864" s="52">
        <v>45</v>
      </c>
      <c r="J864" s="105">
        <v>7.5</v>
      </c>
      <c r="K864" s="52"/>
    </row>
    <row r="865" spans="1:11" ht="15.75" customHeight="1" x14ac:dyDescent="0.25">
      <c r="A865" s="2">
        <v>744</v>
      </c>
      <c r="B865" s="2" t="s">
        <v>4705</v>
      </c>
      <c r="C865" s="52">
        <v>4</v>
      </c>
      <c r="D865" s="52">
        <v>6</v>
      </c>
      <c r="E865" s="52">
        <v>4</v>
      </c>
      <c r="F865" s="52">
        <v>3</v>
      </c>
      <c r="G865" s="52">
        <v>4</v>
      </c>
      <c r="H865" s="52">
        <v>6</v>
      </c>
      <c r="I865" s="52">
        <v>27</v>
      </c>
      <c r="J865" s="105">
        <v>4.5</v>
      </c>
      <c r="K865" s="52"/>
    </row>
    <row r="866" spans="1:11" ht="15.75" customHeight="1" x14ac:dyDescent="0.25">
      <c r="A866" s="2">
        <v>745</v>
      </c>
      <c r="B866" s="2" t="s">
        <v>4706</v>
      </c>
      <c r="C866" s="52">
        <v>7</v>
      </c>
      <c r="D866" s="52">
        <v>11</v>
      </c>
      <c r="E866" s="52">
        <v>6</v>
      </c>
      <c r="F866" s="52">
        <v>5</v>
      </c>
      <c r="G866" s="52">
        <v>6</v>
      </c>
      <c r="H866" s="52">
        <v>11</v>
      </c>
      <c r="I866" s="52">
        <v>46</v>
      </c>
      <c r="J866" s="105">
        <v>7.666666666666667</v>
      </c>
      <c r="K866" s="52"/>
    </row>
    <row r="867" spans="1:11" ht="15.75" customHeight="1" x14ac:dyDescent="0.25">
      <c r="A867" s="2">
        <v>745</v>
      </c>
      <c r="B867" s="2" t="s">
        <v>4707</v>
      </c>
      <c r="C867" s="52">
        <v>8</v>
      </c>
      <c r="D867" s="52">
        <v>11</v>
      </c>
      <c r="E867" s="52">
        <v>7</v>
      </c>
      <c r="F867" s="52">
        <v>5</v>
      </c>
      <c r="G867" s="52">
        <v>7</v>
      </c>
      <c r="H867" s="52">
        <v>8</v>
      </c>
      <c r="I867" s="52">
        <v>46</v>
      </c>
      <c r="J867" s="105">
        <v>7.666666666666667</v>
      </c>
      <c r="K867" s="52"/>
    </row>
    <row r="868" spans="1:11" ht="15.75" customHeight="1" x14ac:dyDescent="0.25">
      <c r="A868" s="2">
        <v>745</v>
      </c>
      <c r="B868" s="2" t="s">
        <v>4708</v>
      </c>
      <c r="C868" s="52">
        <v>7</v>
      </c>
      <c r="D868" s="52">
        <v>11</v>
      </c>
      <c r="E868" s="52">
        <v>6</v>
      </c>
      <c r="F868" s="52">
        <v>5</v>
      </c>
      <c r="G868" s="52">
        <v>6</v>
      </c>
      <c r="H868" s="52">
        <v>11</v>
      </c>
      <c r="I868" s="52">
        <v>46</v>
      </c>
      <c r="J868" s="105">
        <v>7.666666666666667</v>
      </c>
      <c r="K868" s="52"/>
    </row>
    <row r="869" spans="1:11" ht="15.75" customHeight="1" x14ac:dyDescent="0.25">
      <c r="A869" s="2">
        <v>746</v>
      </c>
      <c r="B869" s="2" t="s">
        <v>4709</v>
      </c>
      <c r="C869" s="52">
        <v>4</v>
      </c>
      <c r="D869" s="52">
        <v>2</v>
      </c>
      <c r="E869" s="52">
        <v>2</v>
      </c>
      <c r="F869" s="52">
        <v>2</v>
      </c>
      <c r="G869" s="52">
        <v>2</v>
      </c>
      <c r="H869" s="52">
        <v>4</v>
      </c>
      <c r="I869" s="52">
        <v>16</v>
      </c>
      <c r="J869" s="105">
        <v>2.6666666666666665</v>
      </c>
      <c r="K869" s="52"/>
    </row>
    <row r="870" spans="1:11" ht="15.75" customHeight="1" x14ac:dyDescent="0.25">
      <c r="A870" s="2">
        <v>746</v>
      </c>
      <c r="B870" s="2" t="s">
        <v>4710</v>
      </c>
      <c r="C870" s="52">
        <v>4</v>
      </c>
      <c r="D870" s="52">
        <v>14</v>
      </c>
      <c r="E870" s="52">
        <v>13</v>
      </c>
      <c r="F870" s="52">
        <v>14</v>
      </c>
      <c r="G870" s="52">
        <v>13</v>
      </c>
      <c r="H870" s="52">
        <v>3</v>
      </c>
      <c r="I870" s="52">
        <v>61</v>
      </c>
      <c r="J870" s="105">
        <v>10.166666666666666</v>
      </c>
      <c r="K870" s="52"/>
    </row>
    <row r="871" spans="1:11" ht="15.75" customHeight="1" x14ac:dyDescent="0.25">
      <c r="A871" s="2">
        <v>747</v>
      </c>
      <c r="B871" s="2" t="s">
        <v>4711</v>
      </c>
      <c r="C871" s="52">
        <v>5</v>
      </c>
      <c r="D871" s="52">
        <v>5</v>
      </c>
      <c r="E871" s="52">
        <v>6</v>
      </c>
      <c r="F871" s="52">
        <v>4</v>
      </c>
      <c r="G871" s="52">
        <v>5</v>
      </c>
      <c r="H871" s="52">
        <v>4</v>
      </c>
      <c r="I871" s="52">
        <v>29</v>
      </c>
      <c r="J871" s="105">
        <v>4.833333333333333</v>
      </c>
      <c r="K871" s="52"/>
    </row>
    <row r="872" spans="1:11" ht="15.75" customHeight="1" x14ac:dyDescent="0.25">
      <c r="A872" s="2">
        <v>748</v>
      </c>
      <c r="B872" s="2" t="s">
        <v>4712</v>
      </c>
      <c r="C872" s="52">
        <v>5</v>
      </c>
      <c r="D872" s="52">
        <v>6</v>
      </c>
      <c r="E872" s="52">
        <v>15</v>
      </c>
      <c r="F872" s="52">
        <v>5</v>
      </c>
      <c r="G872" s="52">
        <v>14</v>
      </c>
      <c r="H872" s="52">
        <v>3</v>
      </c>
      <c r="I872" s="52">
        <v>48</v>
      </c>
      <c r="J872" s="105">
        <v>8</v>
      </c>
      <c r="K872" s="52"/>
    </row>
    <row r="873" spans="1:11" ht="15.75" customHeight="1" x14ac:dyDescent="0.25">
      <c r="A873" s="2">
        <v>749</v>
      </c>
      <c r="B873" s="2" t="s">
        <v>4713</v>
      </c>
      <c r="C873" s="52">
        <v>7</v>
      </c>
      <c r="D873" s="52">
        <v>10</v>
      </c>
      <c r="E873" s="52">
        <v>7</v>
      </c>
      <c r="F873" s="52">
        <v>4</v>
      </c>
      <c r="G873" s="52">
        <v>5</v>
      </c>
      <c r="H873" s="52">
        <v>4</v>
      </c>
      <c r="I873" s="52">
        <v>37</v>
      </c>
      <c r="J873" s="105">
        <v>6.166666666666667</v>
      </c>
      <c r="K873" s="52"/>
    </row>
    <row r="874" spans="1:11" ht="15.75" customHeight="1" x14ac:dyDescent="0.25">
      <c r="A874" s="2">
        <v>750</v>
      </c>
      <c r="B874" s="2" t="s">
        <v>4714</v>
      </c>
      <c r="C874" s="52">
        <v>10</v>
      </c>
      <c r="D874" s="52">
        <v>12</v>
      </c>
      <c r="E874" s="52">
        <v>10</v>
      </c>
      <c r="F874" s="52">
        <v>5</v>
      </c>
      <c r="G874" s="52">
        <v>8</v>
      </c>
      <c r="H874" s="52">
        <v>3</v>
      </c>
      <c r="I874" s="52">
        <v>48</v>
      </c>
      <c r="J874" s="105">
        <v>8</v>
      </c>
      <c r="K874" s="52"/>
    </row>
    <row r="875" spans="1:11" ht="15.75" customHeight="1" x14ac:dyDescent="0.25">
      <c r="A875" s="2">
        <v>751</v>
      </c>
      <c r="B875" s="2" t="s">
        <v>4715</v>
      </c>
      <c r="C875" s="52">
        <v>3</v>
      </c>
      <c r="D875" s="52">
        <v>4</v>
      </c>
      <c r="E875" s="52">
        <v>5</v>
      </c>
      <c r="F875" s="52">
        <v>4</v>
      </c>
      <c r="G875" s="52">
        <v>7</v>
      </c>
      <c r="H875" s="52">
        <v>2</v>
      </c>
      <c r="I875" s="52">
        <v>25</v>
      </c>
      <c r="J875" s="105">
        <v>4.166666666666667</v>
      </c>
      <c r="K875" s="52"/>
    </row>
    <row r="876" spans="1:11" ht="15.75" customHeight="1" x14ac:dyDescent="0.25">
      <c r="A876" s="2">
        <v>752</v>
      </c>
      <c r="B876" s="2" t="s">
        <v>4716</v>
      </c>
      <c r="C876" s="52">
        <v>6</v>
      </c>
      <c r="D876" s="52">
        <v>7</v>
      </c>
      <c r="E876" s="52">
        <v>9</v>
      </c>
      <c r="F876" s="52">
        <v>5</v>
      </c>
      <c r="G876" s="52">
        <v>13</v>
      </c>
      <c r="H876" s="52">
        <v>4</v>
      </c>
      <c r="I876" s="52">
        <v>44</v>
      </c>
      <c r="J876" s="105">
        <v>7.333333333333333</v>
      </c>
      <c r="K876" s="52"/>
    </row>
    <row r="877" spans="1:11" ht="15.75" customHeight="1" x14ac:dyDescent="0.25">
      <c r="A877" s="2">
        <v>753</v>
      </c>
      <c r="B877" s="2" t="s">
        <v>4717</v>
      </c>
      <c r="C877" s="52">
        <v>4</v>
      </c>
      <c r="D877" s="52">
        <v>5</v>
      </c>
      <c r="E877" s="52">
        <v>3</v>
      </c>
      <c r="F877" s="52">
        <v>5</v>
      </c>
      <c r="G877" s="52">
        <v>3</v>
      </c>
      <c r="H877" s="52">
        <v>3</v>
      </c>
      <c r="I877" s="52">
        <v>23</v>
      </c>
      <c r="J877" s="105">
        <v>3.8333333333333335</v>
      </c>
      <c r="K877" s="52"/>
    </row>
    <row r="878" spans="1:11" ht="15.75" customHeight="1" x14ac:dyDescent="0.25">
      <c r="A878" s="2">
        <v>754</v>
      </c>
      <c r="B878" s="2" t="s">
        <v>4718</v>
      </c>
      <c r="C878" s="52">
        <v>7</v>
      </c>
      <c r="D878" s="52">
        <v>10</v>
      </c>
      <c r="E878" s="52">
        <v>9</v>
      </c>
      <c r="F878" s="52">
        <v>8</v>
      </c>
      <c r="G878" s="52">
        <v>9</v>
      </c>
      <c r="H878" s="52">
        <v>4</v>
      </c>
      <c r="I878" s="52">
        <v>47</v>
      </c>
      <c r="J878" s="105">
        <v>7.833333333333333</v>
      </c>
      <c r="K878" s="52"/>
    </row>
    <row r="879" spans="1:11" ht="15.75" customHeight="1" x14ac:dyDescent="0.25">
      <c r="A879" s="2">
        <v>755</v>
      </c>
      <c r="B879" s="2" t="s">
        <v>4719</v>
      </c>
      <c r="C879" s="52">
        <v>4</v>
      </c>
      <c r="D879" s="52">
        <v>3</v>
      </c>
      <c r="E879" s="52">
        <v>5</v>
      </c>
      <c r="F879" s="52">
        <v>6</v>
      </c>
      <c r="G879" s="52">
        <v>7</v>
      </c>
      <c r="H879" s="52">
        <v>1</v>
      </c>
      <c r="I879" s="52">
        <v>26</v>
      </c>
      <c r="J879" s="105">
        <v>4.333333333333333</v>
      </c>
      <c r="K879" s="52"/>
    </row>
    <row r="880" spans="1:11" ht="15.75" customHeight="1" x14ac:dyDescent="0.25">
      <c r="A880" s="2">
        <v>756</v>
      </c>
      <c r="B880" s="2" t="s">
        <v>4720</v>
      </c>
      <c r="C880" s="52">
        <v>6</v>
      </c>
      <c r="D880" s="52">
        <v>4</v>
      </c>
      <c r="E880" s="52">
        <v>8</v>
      </c>
      <c r="F880" s="52">
        <v>9</v>
      </c>
      <c r="G880" s="52">
        <v>10</v>
      </c>
      <c r="H880" s="52">
        <v>3</v>
      </c>
      <c r="I880" s="52">
        <v>40</v>
      </c>
      <c r="J880" s="105">
        <v>6.666666666666667</v>
      </c>
      <c r="K880" s="52"/>
    </row>
    <row r="881" spans="1:11" ht="15.75" customHeight="1" x14ac:dyDescent="0.25">
      <c r="A881" s="2">
        <v>757</v>
      </c>
      <c r="B881" s="2" t="s">
        <v>4721</v>
      </c>
      <c r="C881" s="52">
        <v>4</v>
      </c>
      <c r="D881" s="52">
        <v>4</v>
      </c>
      <c r="E881" s="52">
        <v>4</v>
      </c>
      <c r="F881" s="52">
        <v>7</v>
      </c>
      <c r="G881" s="52">
        <v>4</v>
      </c>
      <c r="H881" s="52">
        <v>7</v>
      </c>
      <c r="I881" s="52">
        <v>30</v>
      </c>
      <c r="J881" s="105">
        <v>5</v>
      </c>
      <c r="K881" s="52"/>
    </row>
    <row r="882" spans="1:11" ht="15.75" customHeight="1" x14ac:dyDescent="0.25">
      <c r="A882" s="2">
        <v>758</v>
      </c>
      <c r="B882" s="2" t="s">
        <v>4722</v>
      </c>
      <c r="C882" s="52">
        <v>6</v>
      </c>
      <c r="D882" s="52">
        <v>6</v>
      </c>
      <c r="E882" s="52">
        <v>6</v>
      </c>
      <c r="F882" s="52">
        <v>11</v>
      </c>
      <c r="G882" s="52">
        <v>6</v>
      </c>
      <c r="H882" s="52">
        <v>11</v>
      </c>
      <c r="I882" s="52">
        <v>46</v>
      </c>
      <c r="J882" s="105">
        <v>7.666666666666667</v>
      </c>
      <c r="K882" s="52"/>
    </row>
    <row r="883" spans="1:11" ht="15.75" customHeight="1" x14ac:dyDescent="0.25">
      <c r="A883" s="2">
        <v>759</v>
      </c>
      <c r="B883" s="2" t="s">
        <v>4723</v>
      </c>
      <c r="C883" s="52">
        <v>7</v>
      </c>
      <c r="D883" s="52">
        <v>7</v>
      </c>
      <c r="E883" s="52">
        <v>5</v>
      </c>
      <c r="F883" s="52">
        <v>4</v>
      </c>
      <c r="G883" s="52">
        <v>5</v>
      </c>
      <c r="H883" s="52">
        <v>5</v>
      </c>
      <c r="I883" s="52">
        <v>33</v>
      </c>
      <c r="J883" s="105">
        <v>5.5</v>
      </c>
      <c r="K883" s="52"/>
    </row>
    <row r="884" spans="1:11" ht="15.75" customHeight="1" x14ac:dyDescent="0.25">
      <c r="A884" s="2">
        <v>760</v>
      </c>
      <c r="B884" s="2" t="s">
        <v>4724</v>
      </c>
      <c r="C884" s="52">
        <v>12</v>
      </c>
      <c r="D884" s="52">
        <v>12</v>
      </c>
      <c r="E884" s="52">
        <v>8</v>
      </c>
      <c r="F884" s="52">
        <v>5</v>
      </c>
      <c r="G884" s="52">
        <v>6</v>
      </c>
      <c r="H884" s="52">
        <v>6</v>
      </c>
      <c r="I884" s="52">
        <v>49</v>
      </c>
      <c r="J884" s="105">
        <v>8.1666666666666661</v>
      </c>
      <c r="K884" s="52"/>
    </row>
    <row r="885" spans="1:11" ht="15.75" customHeight="1" x14ac:dyDescent="0.25">
      <c r="A885" s="2">
        <v>761</v>
      </c>
      <c r="B885" s="2" t="s">
        <v>4725</v>
      </c>
      <c r="C885" s="52">
        <v>4</v>
      </c>
      <c r="D885" s="52">
        <v>3</v>
      </c>
      <c r="E885" s="52">
        <v>3</v>
      </c>
      <c r="F885" s="52">
        <v>3</v>
      </c>
      <c r="G885" s="52">
        <v>3</v>
      </c>
      <c r="H885" s="52">
        <v>3</v>
      </c>
      <c r="I885" s="52">
        <v>19</v>
      </c>
      <c r="J885" s="105">
        <v>3.1666666666666665</v>
      </c>
      <c r="K885" s="52"/>
    </row>
    <row r="886" spans="1:11" ht="15.75" customHeight="1" x14ac:dyDescent="0.25">
      <c r="A886" s="2">
        <v>762</v>
      </c>
      <c r="B886" s="2" t="s">
        <v>4726</v>
      </c>
      <c r="C886" s="52">
        <v>5</v>
      </c>
      <c r="D886" s="52">
        <v>4</v>
      </c>
      <c r="E886" s="52">
        <v>4</v>
      </c>
      <c r="F886" s="52">
        <v>4</v>
      </c>
      <c r="G886" s="52">
        <v>4</v>
      </c>
      <c r="H886" s="52">
        <v>6</v>
      </c>
      <c r="I886" s="52">
        <v>27</v>
      </c>
      <c r="J886" s="105">
        <v>4.5</v>
      </c>
      <c r="K886" s="52"/>
    </row>
    <row r="887" spans="1:11" ht="15.75" customHeight="1" x14ac:dyDescent="0.25">
      <c r="A887" s="2">
        <v>763</v>
      </c>
      <c r="B887" s="2" t="s">
        <v>4727</v>
      </c>
      <c r="C887" s="52">
        <v>7</v>
      </c>
      <c r="D887" s="52">
        <v>12</v>
      </c>
      <c r="E887" s="52">
        <v>9</v>
      </c>
      <c r="F887" s="52">
        <v>5</v>
      </c>
      <c r="G887" s="52">
        <v>9</v>
      </c>
      <c r="H887" s="52">
        <v>7</v>
      </c>
      <c r="I887" s="52">
        <v>49</v>
      </c>
      <c r="J887" s="105">
        <v>8.1666666666666661</v>
      </c>
      <c r="K887" s="52"/>
    </row>
    <row r="888" spans="1:11" ht="15.75" customHeight="1" x14ac:dyDescent="0.25">
      <c r="A888" s="2">
        <v>764</v>
      </c>
      <c r="B888" s="2" t="s">
        <v>4728</v>
      </c>
      <c r="C888" s="52">
        <v>5</v>
      </c>
      <c r="D888" s="52">
        <v>5</v>
      </c>
      <c r="E888" s="52">
        <v>9</v>
      </c>
      <c r="F888" s="52">
        <v>8</v>
      </c>
      <c r="G888" s="52">
        <v>11</v>
      </c>
      <c r="H888" s="52">
        <v>10</v>
      </c>
      <c r="I888" s="52">
        <v>48</v>
      </c>
      <c r="J888" s="105">
        <v>8</v>
      </c>
      <c r="K888" s="52"/>
    </row>
    <row r="889" spans="1:11" ht="15.75" customHeight="1" x14ac:dyDescent="0.25">
      <c r="A889" s="2">
        <v>765</v>
      </c>
      <c r="B889" s="2" t="s">
        <v>4729</v>
      </c>
      <c r="C889" s="52">
        <v>9</v>
      </c>
      <c r="D889" s="52">
        <v>6</v>
      </c>
      <c r="E889" s="52">
        <v>8</v>
      </c>
      <c r="F889" s="52">
        <v>9</v>
      </c>
      <c r="G889" s="52">
        <v>11</v>
      </c>
      <c r="H889" s="52">
        <v>6</v>
      </c>
      <c r="I889" s="52">
        <v>49</v>
      </c>
      <c r="J889" s="105">
        <v>8.1666666666666661</v>
      </c>
      <c r="K889" s="52"/>
    </row>
    <row r="890" spans="1:11" ht="15.75" customHeight="1" x14ac:dyDescent="0.25">
      <c r="A890" s="2">
        <v>766</v>
      </c>
      <c r="B890" s="2" t="s">
        <v>4730</v>
      </c>
      <c r="C890" s="52">
        <v>10</v>
      </c>
      <c r="D890" s="52">
        <v>12</v>
      </c>
      <c r="E890" s="52">
        <v>9</v>
      </c>
      <c r="F890" s="52">
        <v>4</v>
      </c>
      <c r="G890" s="52">
        <v>6</v>
      </c>
      <c r="H890" s="52">
        <v>8</v>
      </c>
      <c r="I890" s="52">
        <v>49</v>
      </c>
      <c r="J890" s="105">
        <v>8.1666666666666661</v>
      </c>
      <c r="K890" s="52"/>
    </row>
    <row r="891" spans="1:11" ht="15.75" customHeight="1" x14ac:dyDescent="0.25">
      <c r="A891" s="2">
        <v>767</v>
      </c>
      <c r="B891" s="2" t="s">
        <v>4731</v>
      </c>
      <c r="C891" s="52">
        <v>2</v>
      </c>
      <c r="D891" s="52">
        <v>3</v>
      </c>
      <c r="E891" s="52">
        <v>4</v>
      </c>
      <c r="F891" s="52">
        <v>2</v>
      </c>
      <c r="G891" s="52">
        <v>3</v>
      </c>
      <c r="H891" s="52">
        <v>8</v>
      </c>
      <c r="I891" s="52">
        <v>22</v>
      </c>
      <c r="J891" s="105">
        <v>3.6666666666666665</v>
      </c>
      <c r="K891" s="52"/>
    </row>
    <row r="892" spans="1:11" ht="15.75" customHeight="1" x14ac:dyDescent="0.25">
      <c r="A892" s="2">
        <v>768</v>
      </c>
      <c r="B892" s="2" t="s">
        <v>4732</v>
      </c>
      <c r="C892" s="52">
        <v>7</v>
      </c>
      <c r="D892" s="52">
        <v>12</v>
      </c>
      <c r="E892" s="52">
        <v>14</v>
      </c>
      <c r="F892" s="52">
        <v>6</v>
      </c>
      <c r="G892" s="52">
        <v>9</v>
      </c>
      <c r="H892" s="52">
        <v>4</v>
      </c>
      <c r="I892" s="52">
        <v>52</v>
      </c>
      <c r="J892" s="105">
        <v>8.6666666666666661</v>
      </c>
      <c r="K892" s="52"/>
    </row>
    <row r="893" spans="1:11" ht="15.75" customHeight="1" x14ac:dyDescent="0.25">
      <c r="A893" s="2">
        <v>769</v>
      </c>
      <c r="B893" s="2" t="s">
        <v>4733</v>
      </c>
      <c r="C893" s="52">
        <v>5</v>
      </c>
      <c r="D893" s="52">
        <v>5</v>
      </c>
      <c r="E893" s="52">
        <v>8</v>
      </c>
      <c r="F893" s="52">
        <v>7</v>
      </c>
      <c r="G893" s="52">
        <v>4</v>
      </c>
      <c r="H893" s="52">
        <v>1</v>
      </c>
      <c r="I893" s="52">
        <v>30</v>
      </c>
      <c r="J893" s="105">
        <v>5</v>
      </c>
      <c r="K893" s="52"/>
    </row>
    <row r="894" spans="1:11" ht="15.75" customHeight="1" x14ac:dyDescent="0.25">
      <c r="A894" s="2">
        <v>770</v>
      </c>
      <c r="B894" s="2" t="s">
        <v>4734</v>
      </c>
      <c r="C894" s="52">
        <v>8</v>
      </c>
      <c r="D894" s="52">
        <v>7</v>
      </c>
      <c r="E894" s="52">
        <v>11</v>
      </c>
      <c r="F894" s="52">
        <v>10</v>
      </c>
      <c r="G894" s="52">
        <v>7</v>
      </c>
      <c r="H894" s="52">
        <v>3</v>
      </c>
      <c r="I894" s="52">
        <v>46</v>
      </c>
      <c r="J894" s="105">
        <v>7.666666666666667</v>
      </c>
      <c r="K894" s="52"/>
    </row>
    <row r="895" spans="1:11" ht="15.75" customHeight="1" x14ac:dyDescent="0.25">
      <c r="A895" s="2">
        <v>771</v>
      </c>
      <c r="B895" s="2" t="s">
        <v>4735</v>
      </c>
      <c r="C895" s="52">
        <v>5</v>
      </c>
      <c r="D895" s="52">
        <v>6</v>
      </c>
      <c r="E895" s="52">
        <v>13</v>
      </c>
      <c r="F895" s="52">
        <v>3</v>
      </c>
      <c r="G895" s="52">
        <v>13</v>
      </c>
      <c r="H895" s="52">
        <v>0</v>
      </c>
      <c r="I895" s="52">
        <v>40</v>
      </c>
      <c r="J895" s="105">
        <v>6.666666666666667</v>
      </c>
      <c r="K895" s="52"/>
    </row>
    <row r="896" spans="1:11" ht="15.75" customHeight="1" x14ac:dyDescent="0.25">
      <c r="A896" s="2">
        <v>772</v>
      </c>
      <c r="B896" s="2" t="s">
        <v>4736</v>
      </c>
      <c r="C896" s="52">
        <v>9</v>
      </c>
      <c r="D896" s="52">
        <v>9</v>
      </c>
      <c r="E896" s="52">
        <v>9</v>
      </c>
      <c r="F896" s="52">
        <v>9</v>
      </c>
      <c r="G896" s="52">
        <v>9</v>
      </c>
      <c r="H896" s="52">
        <v>5</v>
      </c>
      <c r="I896" s="52">
        <v>50</v>
      </c>
      <c r="J896" s="105">
        <v>8.3333333333333339</v>
      </c>
      <c r="K896" s="52"/>
    </row>
    <row r="897" spans="1:11" ht="15.75" customHeight="1" x14ac:dyDescent="0.25">
      <c r="A897" s="2">
        <v>773</v>
      </c>
      <c r="B897" s="2" t="s">
        <v>4737</v>
      </c>
      <c r="C897" s="52">
        <v>9</v>
      </c>
      <c r="D897" s="52">
        <v>9</v>
      </c>
      <c r="E897" s="52">
        <v>9</v>
      </c>
      <c r="F897" s="52">
        <v>9</v>
      </c>
      <c r="G897" s="52">
        <v>9</v>
      </c>
      <c r="H897" s="52">
        <v>9</v>
      </c>
      <c r="I897" s="52">
        <v>54</v>
      </c>
      <c r="J897" s="105">
        <v>9</v>
      </c>
      <c r="K897" s="52"/>
    </row>
    <row r="898" spans="1:11" ht="15.75" customHeight="1" x14ac:dyDescent="0.25">
      <c r="A898" s="2">
        <v>774</v>
      </c>
      <c r="B898" s="2" t="s">
        <v>4738</v>
      </c>
      <c r="C898" s="52">
        <v>6</v>
      </c>
      <c r="D898" s="52">
        <v>6</v>
      </c>
      <c r="E898" s="52">
        <v>10</v>
      </c>
      <c r="F898" s="52">
        <v>6</v>
      </c>
      <c r="G898" s="52">
        <v>10</v>
      </c>
      <c r="H898" s="52">
        <v>6</v>
      </c>
      <c r="I898" s="52">
        <v>44</v>
      </c>
      <c r="J898" s="105">
        <v>7.333333333333333</v>
      </c>
      <c r="K898" s="52"/>
    </row>
    <row r="899" spans="1:11" ht="15.75" customHeight="1" x14ac:dyDescent="0.25">
      <c r="A899" s="2">
        <v>774</v>
      </c>
      <c r="B899" s="2" t="s">
        <v>4739</v>
      </c>
      <c r="C899" s="52">
        <v>6</v>
      </c>
      <c r="D899" s="52">
        <v>10</v>
      </c>
      <c r="E899" s="52">
        <v>6</v>
      </c>
      <c r="F899" s="52">
        <v>10</v>
      </c>
      <c r="G899" s="52">
        <v>6</v>
      </c>
      <c r="H899" s="52">
        <v>12</v>
      </c>
      <c r="I899" s="52">
        <v>50</v>
      </c>
      <c r="J899" s="105">
        <v>8.3333333333333339</v>
      </c>
      <c r="K899" s="52"/>
    </row>
    <row r="900" spans="1:11" ht="15.75" customHeight="1" x14ac:dyDescent="0.25">
      <c r="A900" s="2">
        <v>775</v>
      </c>
      <c r="B900" s="2" t="s">
        <v>4740</v>
      </c>
      <c r="C900" s="52">
        <v>6</v>
      </c>
      <c r="D900" s="52">
        <v>11</v>
      </c>
      <c r="E900" s="52">
        <v>6</v>
      </c>
      <c r="F900" s="52">
        <v>7</v>
      </c>
      <c r="G900" s="52">
        <v>9</v>
      </c>
      <c r="H900" s="52">
        <v>6</v>
      </c>
      <c r="I900" s="52">
        <v>45</v>
      </c>
      <c r="J900" s="105">
        <v>7.5</v>
      </c>
      <c r="K900" s="52"/>
    </row>
    <row r="901" spans="1:11" ht="15.75" customHeight="1" x14ac:dyDescent="0.25">
      <c r="A901" s="2">
        <v>776</v>
      </c>
      <c r="B901" s="2" t="s">
        <v>4741</v>
      </c>
      <c r="C901" s="52">
        <v>6</v>
      </c>
      <c r="D901" s="52">
        <v>7</v>
      </c>
      <c r="E901" s="52">
        <v>13</v>
      </c>
      <c r="F901" s="52">
        <v>9</v>
      </c>
      <c r="G901" s="52">
        <v>8</v>
      </c>
      <c r="H901" s="52">
        <v>3</v>
      </c>
      <c r="I901" s="52">
        <v>46</v>
      </c>
      <c r="J901" s="105">
        <v>7.666666666666667</v>
      </c>
      <c r="K901" s="52"/>
    </row>
    <row r="902" spans="1:11" ht="15.75" customHeight="1" x14ac:dyDescent="0.25">
      <c r="A902" s="2">
        <v>777</v>
      </c>
      <c r="B902" s="2" t="s">
        <v>4742</v>
      </c>
      <c r="C902" s="52">
        <v>6</v>
      </c>
      <c r="D902" s="52">
        <v>9</v>
      </c>
      <c r="E902" s="52">
        <v>6</v>
      </c>
      <c r="F902" s="52">
        <v>4</v>
      </c>
      <c r="G902" s="52">
        <v>7</v>
      </c>
      <c r="H902" s="52">
        <v>9</v>
      </c>
      <c r="I902" s="52">
        <v>41</v>
      </c>
      <c r="J902" s="105">
        <v>6.833333333333333</v>
      </c>
      <c r="K902" s="52"/>
    </row>
    <row r="903" spans="1:11" ht="15.75" customHeight="1" x14ac:dyDescent="0.25">
      <c r="A903" s="2">
        <v>778</v>
      </c>
      <c r="B903" s="2" t="s">
        <v>4743</v>
      </c>
      <c r="C903" s="52">
        <v>5</v>
      </c>
      <c r="D903" s="52">
        <v>9</v>
      </c>
      <c r="E903" s="52">
        <v>8</v>
      </c>
      <c r="F903" s="52">
        <v>5</v>
      </c>
      <c r="G903" s="52">
        <v>10</v>
      </c>
      <c r="H903" s="52">
        <v>9</v>
      </c>
      <c r="I903" s="52">
        <v>46</v>
      </c>
      <c r="J903" s="105">
        <v>7.666666666666667</v>
      </c>
      <c r="K903" s="52"/>
    </row>
    <row r="904" spans="1:11" ht="15.75" customHeight="1" x14ac:dyDescent="0.25">
      <c r="A904" s="2">
        <v>779</v>
      </c>
      <c r="B904" s="2" t="s">
        <v>4744</v>
      </c>
      <c r="C904" s="52">
        <v>6</v>
      </c>
      <c r="D904" s="52">
        <v>10</v>
      </c>
      <c r="E904" s="52">
        <v>7</v>
      </c>
      <c r="F904" s="52">
        <v>7</v>
      </c>
      <c r="G904" s="52">
        <v>7</v>
      </c>
      <c r="H904" s="52">
        <v>9</v>
      </c>
      <c r="I904" s="52">
        <v>46</v>
      </c>
      <c r="J904" s="105">
        <v>7.666666666666667</v>
      </c>
      <c r="K904" s="52"/>
    </row>
    <row r="905" spans="1:11" ht="15.75" customHeight="1" x14ac:dyDescent="0.25">
      <c r="A905" s="2">
        <v>780</v>
      </c>
      <c r="B905" s="2" t="s">
        <v>4745</v>
      </c>
      <c r="C905" s="52">
        <v>7</v>
      </c>
      <c r="D905" s="52">
        <v>6</v>
      </c>
      <c r="E905" s="52">
        <v>8</v>
      </c>
      <c r="F905" s="52">
        <v>13</v>
      </c>
      <c r="G905" s="52">
        <v>9</v>
      </c>
      <c r="H905" s="52">
        <v>3</v>
      </c>
      <c r="I905" s="52">
        <v>46</v>
      </c>
      <c r="J905" s="105">
        <v>7.666666666666667</v>
      </c>
      <c r="K905" s="52"/>
    </row>
    <row r="906" spans="1:11" ht="15.75" customHeight="1" x14ac:dyDescent="0.25">
      <c r="A906" s="2">
        <v>781</v>
      </c>
      <c r="B906" s="2" t="s">
        <v>4746</v>
      </c>
      <c r="C906" s="52">
        <v>7</v>
      </c>
      <c r="D906" s="52">
        <v>13</v>
      </c>
      <c r="E906" s="52">
        <v>10</v>
      </c>
      <c r="F906" s="52">
        <v>8</v>
      </c>
      <c r="G906" s="52">
        <v>9</v>
      </c>
      <c r="H906" s="52">
        <v>4</v>
      </c>
      <c r="I906" s="52">
        <v>51</v>
      </c>
      <c r="J906" s="105">
        <v>8.5</v>
      </c>
      <c r="K906" s="52"/>
    </row>
    <row r="907" spans="1:11" ht="15.75" customHeight="1" x14ac:dyDescent="0.25">
      <c r="A907" s="2">
        <v>782</v>
      </c>
      <c r="B907" s="2" t="s">
        <v>4747</v>
      </c>
      <c r="C907" s="52">
        <v>4</v>
      </c>
      <c r="D907" s="52">
        <v>5</v>
      </c>
      <c r="E907" s="52">
        <v>6</v>
      </c>
      <c r="F907" s="52">
        <v>4</v>
      </c>
      <c r="G907" s="52">
        <v>4</v>
      </c>
      <c r="H907" s="52">
        <v>4</v>
      </c>
      <c r="I907" s="52">
        <v>27</v>
      </c>
      <c r="J907" s="105">
        <v>4.5</v>
      </c>
      <c r="K907" s="52"/>
    </row>
    <row r="908" spans="1:11" ht="15.75" customHeight="1" x14ac:dyDescent="0.25">
      <c r="A908" s="2">
        <v>783</v>
      </c>
      <c r="B908" s="2" t="s">
        <v>4748</v>
      </c>
      <c r="C908" s="52">
        <v>5</v>
      </c>
      <c r="D908" s="52">
        <v>7</v>
      </c>
      <c r="E908" s="52">
        <v>9</v>
      </c>
      <c r="F908" s="52">
        <v>6</v>
      </c>
      <c r="G908" s="52">
        <v>7</v>
      </c>
      <c r="H908" s="52">
        <v>6</v>
      </c>
      <c r="I908" s="52">
        <v>40</v>
      </c>
      <c r="J908" s="105">
        <v>6.666666666666667</v>
      </c>
      <c r="K908" s="52"/>
    </row>
    <row r="909" spans="1:11" ht="15.75" customHeight="1" x14ac:dyDescent="0.25">
      <c r="A909" s="2">
        <v>784</v>
      </c>
      <c r="B909" s="2" t="s">
        <v>4749</v>
      </c>
      <c r="C909" s="52">
        <v>7</v>
      </c>
      <c r="D909" s="52">
        <v>11</v>
      </c>
      <c r="E909" s="52">
        <v>12</v>
      </c>
      <c r="F909" s="52">
        <v>10</v>
      </c>
      <c r="G909" s="52">
        <v>10</v>
      </c>
      <c r="H909" s="52">
        <v>8</v>
      </c>
      <c r="I909" s="52">
        <v>58</v>
      </c>
      <c r="J909" s="105">
        <v>9.6666666666666661</v>
      </c>
      <c r="K909" s="52"/>
    </row>
    <row r="910" spans="1:11" ht="15.75" customHeight="1" x14ac:dyDescent="0.25">
      <c r="A910" s="2">
        <v>785</v>
      </c>
      <c r="B910" s="2" t="s">
        <v>4750</v>
      </c>
      <c r="C910" s="52">
        <v>7</v>
      </c>
      <c r="D910" s="52">
        <v>11</v>
      </c>
      <c r="E910" s="52">
        <v>8</v>
      </c>
      <c r="F910" s="52">
        <v>9</v>
      </c>
      <c r="G910" s="52">
        <v>7</v>
      </c>
      <c r="H910" s="52">
        <v>13</v>
      </c>
      <c r="I910" s="52">
        <v>55</v>
      </c>
      <c r="J910" s="105">
        <v>9.1666666666666661</v>
      </c>
      <c r="K910" s="52"/>
    </row>
    <row r="911" spans="1:11" ht="15.75" customHeight="1" x14ac:dyDescent="0.25">
      <c r="A911" s="2">
        <v>786</v>
      </c>
      <c r="B911" s="2" t="s">
        <v>4751</v>
      </c>
      <c r="C911" s="52">
        <v>7</v>
      </c>
      <c r="D911" s="52">
        <v>8</v>
      </c>
      <c r="E911" s="52">
        <v>7</v>
      </c>
      <c r="F911" s="52">
        <v>13</v>
      </c>
      <c r="G911" s="52">
        <v>11</v>
      </c>
      <c r="H911" s="52">
        <v>9</v>
      </c>
      <c r="I911" s="52">
        <v>55</v>
      </c>
      <c r="J911" s="105">
        <v>9.1666666666666661</v>
      </c>
      <c r="K911" s="52"/>
    </row>
    <row r="912" spans="1:11" ht="15.75" customHeight="1" x14ac:dyDescent="0.25">
      <c r="A912" s="2">
        <v>787</v>
      </c>
      <c r="B912" s="2" t="s">
        <v>4752</v>
      </c>
      <c r="C912" s="52">
        <v>7</v>
      </c>
      <c r="D912" s="52">
        <v>13</v>
      </c>
      <c r="E912" s="52">
        <v>11</v>
      </c>
      <c r="F912" s="52">
        <v>8</v>
      </c>
      <c r="G912" s="52">
        <v>9</v>
      </c>
      <c r="H912" s="52">
        <v>7</v>
      </c>
      <c r="I912" s="52">
        <v>55</v>
      </c>
      <c r="J912" s="105">
        <v>9.1666666666666661</v>
      </c>
      <c r="K912" s="52"/>
    </row>
    <row r="913" spans="1:11" ht="15.75" customHeight="1" x14ac:dyDescent="0.25">
      <c r="A913" s="2">
        <v>788</v>
      </c>
      <c r="B913" s="2" t="s">
        <v>4753</v>
      </c>
      <c r="C913" s="52">
        <v>7</v>
      </c>
      <c r="D913" s="52">
        <v>7</v>
      </c>
      <c r="E913" s="52">
        <v>11</v>
      </c>
      <c r="F913" s="52">
        <v>9</v>
      </c>
      <c r="G913" s="52">
        <v>13</v>
      </c>
      <c r="H913" s="52">
        <v>8</v>
      </c>
      <c r="I913" s="52">
        <v>55</v>
      </c>
      <c r="J913" s="105">
        <v>9.1666666666666661</v>
      </c>
      <c r="K913" s="52"/>
    </row>
    <row r="914" spans="1:11" ht="15.75" customHeight="1" x14ac:dyDescent="0.25">
      <c r="A914" s="2">
        <v>789</v>
      </c>
      <c r="B914" s="2" t="s">
        <v>4754</v>
      </c>
      <c r="C914" s="52">
        <v>4</v>
      </c>
      <c r="D914" s="52">
        <v>2</v>
      </c>
      <c r="E914" s="52">
        <v>3</v>
      </c>
      <c r="F914" s="52">
        <v>2</v>
      </c>
      <c r="G914" s="52">
        <v>3</v>
      </c>
      <c r="H914" s="52">
        <v>3</v>
      </c>
      <c r="I914" s="52">
        <v>17</v>
      </c>
      <c r="J914" s="105">
        <v>2.8333333333333335</v>
      </c>
      <c r="K914" s="52"/>
    </row>
    <row r="915" spans="1:11" ht="15.75" customHeight="1" x14ac:dyDescent="0.25">
      <c r="A915" s="2">
        <v>790</v>
      </c>
      <c r="B915" s="2" t="s">
        <v>4755</v>
      </c>
      <c r="C915" s="52">
        <v>4</v>
      </c>
      <c r="D915" s="52">
        <v>2</v>
      </c>
      <c r="E915" s="52">
        <v>13</v>
      </c>
      <c r="F915" s="52">
        <v>2</v>
      </c>
      <c r="G915" s="52">
        <v>13</v>
      </c>
      <c r="H915" s="52">
        <v>3</v>
      </c>
      <c r="I915" s="52">
        <v>37</v>
      </c>
      <c r="J915" s="105">
        <v>6.166666666666667</v>
      </c>
      <c r="K915" s="52"/>
    </row>
    <row r="916" spans="1:11" ht="15.75" customHeight="1" x14ac:dyDescent="0.25">
      <c r="A916" s="2">
        <v>791</v>
      </c>
      <c r="B916" s="2" t="s">
        <v>4756</v>
      </c>
      <c r="C916" s="52">
        <v>13</v>
      </c>
      <c r="D916" s="52">
        <v>13</v>
      </c>
      <c r="E916" s="52">
        <v>10</v>
      </c>
      <c r="F916" s="52">
        <v>11</v>
      </c>
      <c r="G916" s="52">
        <v>8</v>
      </c>
      <c r="H916" s="52">
        <v>9</v>
      </c>
      <c r="I916" s="52">
        <v>64</v>
      </c>
      <c r="J916" s="105">
        <v>10.666666666666666</v>
      </c>
      <c r="K916" s="52"/>
    </row>
    <row r="917" spans="1:11" ht="15.75" customHeight="1" x14ac:dyDescent="0.25">
      <c r="A917" s="2">
        <v>792</v>
      </c>
      <c r="B917" s="2" t="s">
        <v>4757</v>
      </c>
      <c r="C917" s="52">
        <v>13</v>
      </c>
      <c r="D917" s="52">
        <v>11</v>
      </c>
      <c r="E917" s="52">
        <v>8</v>
      </c>
      <c r="F917" s="52">
        <v>13</v>
      </c>
      <c r="G917" s="52">
        <v>10</v>
      </c>
      <c r="H917" s="52">
        <v>9</v>
      </c>
      <c r="I917" s="52">
        <v>64</v>
      </c>
      <c r="J917" s="105">
        <v>10.666666666666666</v>
      </c>
      <c r="K917" s="52"/>
    </row>
    <row r="918" spans="1:11" ht="15.75" customHeight="1" x14ac:dyDescent="0.25">
      <c r="A918" s="2">
        <v>793</v>
      </c>
      <c r="B918" s="2" t="s">
        <v>4758</v>
      </c>
      <c r="C918" s="52">
        <v>10</v>
      </c>
      <c r="D918" s="52">
        <v>5</v>
      </c>
      <c r="E918" s="52">
        <v>4</v>
      </c>
      <c r="F918" s="52">
        <v>12</v>
      </c>
      <c r="G918" s="52">
        <v>13</v>
      </c>
      <c r="H918" s="52">
        <v>10</v>
      </c>
      <c r="I918" s="52">
        <v>54</v>
      </c>
      <c r="J918" s="105">
        <v>9</v>
      </c>
      <c r="K918" s="52"/>
    </row>
    <row r="919" spans="1:11" ht="15.75" customHeight="1" x14ac:dyDescent="0.25">
      <c r="A919" s="2">
        <v>794</v>
      </c>
      <c r="B919" s="2" t="s">
        <v>4759</v>
      </c>
      <c r="C919" s="52">
        <v>10</v>
      </c>
      <c r="D919" s="52">
        <v>13</v>
      </c>
      <c r="E919" s="52">
        <v>13</v>
      </c>
      <c r="F919" s="52">
        <v>5</v>
      </c>
      <c r="G919" s="52">
        <v>5</v>
      </c>
      <c r="H919" s="52">
        <v>7</v>
      </c>
      <c r="I919" s="52">
        <v>53</v>
      </c>
      <c r="J919" s="105">
        <v>8.8333333333333339</v>
      </c>
      <c r="K919" s="52"/>
    </row>
    <row r="920" spans="1:11" ht="15.75" customHeight="1" x14ac:dyDescent="0.25">
      <c r="A920" s="2">
        <v>795</v>
      </c>
      <c r="B920" s="2" t="s">
        <v>4760</v>
      </c>
      <c r="C920" s="52">
        <v>7</v>
      </c>
      <c r="D920" s="52">
        <v>13</v>
      </c>
      <c r="E920" s="52">
        <v>3</v>
      </c>
      <c r="F920" s="52">
        <v>13</v>
      </c>
      <c r="G920" s="52">
        <v>3</v>
      </c>
      <c r="H920" s="52">
        <v>15</v>
      </c>
      <c r="I920" s="52">
        <v>54</v>
      </c>
      <c r="J920" s="105">
        <v>9</v>
      </c>
      <c r="K920" s="52"/>
    </row>
    <row r="921" spans="1:11" ht="15.75" customHeight="1" x14ac:dyDescent="0.25">
      <c r="A921" s="2">
        <v>796</v>
      </c>
      <c r="B921" s="2" t="s">
        <v>4761</v>
      </c>
      <c r="C921" s="52">
        <v>8</v>
      </c>
      <c r="D921" s="52">
        <v>8</v>
      </c>
      <c r="E921" s="52">
        <v>7</v>
      </c>
      <c r="F921" s="52">
        <v>17</v>
      </c>
      <c r="G921" s="52">
        <v>7</v>
      </c>
      <c r="H921" s="52">
        <v>8</v>
      </c>
      <c r="I921" s="52">
        <v>55</v>
      </c>
      <c r="J921" s="105">
        <v>9.1666666666666661</v>
      </c>
      <c r="K921" s="52"/>
    </row>
    <row r="922" spans="1:11" ht="15.75" customHeight="1" x14ac:dyDescent="0.25">
      <c r="A922" s="2">
        <v>797</v>
      </c>
      <c r="B922" s="2" t="s">
        <v>4762</v>
      </c>
      <c r="C922" s="52">
        <v>9</v>
      </c>
      <c r="D922" s="52">
        <v>10</v>
      </c>
      <c r="E922" s="52">
        <v>10</v>
      </c>
      <c r="F922" s="52">
        <v>10</v>
      </c>
      <c r="G922" s="52">
        <v>10</v>
      </c>
      <c r="H922" s="52">
        <v>6</v>
      </c>
      <c r="I922" s="52">
        <v>55</v>
      </c>
      <c r="J922" s="105">
        <v>9.1666666666666661</v>
      </c>
      <c r="K922" s="52"/>
    </row>
    <row r="923" spans="1:11" ht="15.75" customHeight="1" x14ac:dyDescent="0.25">
      <c r="A923" s="2">
        <v>798</v>
      </c>
      <c r="B923" s="2" t="s">
        <v>4763</v>
      </c>
      <c r="C923" s="52">
        <v>5</v>
      </c>
      <c r="D923" s="52">
        <v>18</v>
      </c>
      <c r="E923" s="52">
        <v>13</v>
      </c>
      <c r="F923" s="52">
        <v>5</v>
      </c>
      <c r="G923" s="52">
        <v>3</v>
      </c>
      <c r="H923" s="52">
        <v>10</v>
      </c>
      <c r="I923" s="52">
        <v>54</v>
      </c>
      <c r="J923" s="105">
        <v>9</v>
      </c>
      <c r="K923" s="52"/>
    </row>
    <row r="924" spans="1:11" ht="15.75" customHeight="1" x14ac:dyDescent="0.25">
      <c r="A924" s="2">
        <v>799</v>
      </c>
      <c r="B924" s="2" t="s">
        <v>4764</v>
      </c>
      <c r="C924" s="52">
        <v>22</v>
      </c>
      <c r="D924" s="52">
        <v>10</v>
      </c>
      <c r="E924" s="52">
        <v>5</v>
      </c>
      <c r="F924" s="52">
        <v>9</v>
      </c>
      <c r="G924" s="52">
        <v>5</v>
      </c>
      <c r="H924" s="52">
        <v>4</v>
      </c>
      <c r="I924" s="52">
        <v>55</v>
      </c>
      <c r="J924" s="105">
        <v>9.1666666666666661</v>
      </c>
      <c r="K924" s="52"/>
    </row>
    <row r="925" spans="1:11" ht="15.75" customHeight="1" x14ac:dyDescent="0.25">
      <c r="A925" s="2">
        <v>800</v>
      </c>
      <c r="B925" s="2" t="s">
        <v>4765</v>
      </c>
      <c r="C925" s="52">
        <v>9</v>
      </c>
      <c r="D925" s="52">
        <v>10</v>
      </c>
      <c r="E925" s="52">
        <v>10</v>
      </c>
      <c r="F925" s="52">
        <v>12</v>
      </c>
      <c r="G925" s="52">
        <v>8</v>
      </c>
      <c r="H925" s="52">
        <v>7</v>
      </c>
      <c r="I925" s="52">
        <v>56</v>
      </c>
      <c r="J925" s="105">
        <v>9.3333333333333339</v>
      </c>
      <c r="K925" s="52"/>
    </row>
    <row r="926" spans="1:11" ht="15.75" customHeight="1" x14ac:dyDescent="0.25">
      <c r="A926" s="2">
        <v>800</v>
      </c>
      <c r="B926" s="2" t="s">
        <v>4766</v>
      </c>
      <c r="C926" s="52">
        <v>9</v>
      </c>
      <c r="D926" s="52">
        <v>15</v>
      </c>
      <c r="E926" s="52">
        <v>12</v>
      </c>
      <c r="F926" s="52">
        <v>11</v>
      </c>
      <c r="G926" s="52">
        <v>10</v>
      </c>
      <c r="H926" s="52">
        <v>7</v>
      </c>
      <c r="I926" s="52">
        <v>64</v>
      </c>
      <c r="J926" s="105">
        <v>10.666666666666666</v>
      </c>
      <c r="K926" s="52"/>
    </row>
    <row r="927" spans="1:11" ht="15.75" customHeight="1" x14ac:dyDescent="0.25">
      <c r="A927" s="2">
        <v>800</v>
      </c>
      <c r="B927" s="2" t="s">
        <v>4767</v>
      </c>
      <c r="C927" s="52">
        <v>9</v>
      </c>
      <c r="D927" s="52">
        <v>11</v>
      </c>
      <c r="E927" s="52">
        <v>10</v>
      </c>
      <c r="F927" s="52">
        <v>15</v>
      </c>
      <c r="G927" s="52">
        <v>12</v>
      </c>
      <c r="H927" s="52">
        <v>7</v>
      </c>
      <c r="I927" s="52">
        <v>64</v>
      </c>
      <c r="J927" s="105">
        <v>10.666666666666666</v>
      </c>
      <c r="K927" s="52"/>
    </row>
    <row r="928" spans="1:11" ht="15.75" customHeight="1" x14ac:dyDescent="0.25">
      <c r="A928" s="2">
        <v>800</v>
      </c>
      <c r="B928" s="2" t="s">
        <v>4768</v>
      </c>
      <c r="C928" s="52">
        <v>9</v>
      </c>
      <c r="D928" s="52">
        <v>16</v>
      </c>
      <c r="E928" s="52">
        <v>9</v>
      </c>
      <c r="F928" s="52">
        <v>16</v>
      </c>
      <c r="G928" s="52">
        <v>9</v>
      </c>
      <c r="H928" s="52">
        <v>12</v>
      </c>
      <c r="I928" s="52">
        <v>71</v>
      </c>
      <c r="J928" s="105">
        <v>11.833333333333334</v>
      </c>
      <c r="K928" s="52"/>
    </row>
    <row r="929" spans="1:11" ht="15.75" customHeight="1" x14ac:dyDescent="0.25">
      <c r="A929" s="2">
        <v>801</v>
      </c>
      <c r="B929" s="2" t="s">
        <v>4769</v>
      </c>
      <c r="C929" s="52">
        <v>8</v>
      </c>
      <c r="D929" s="52">
        <v>9</v>
      </c>
      <c r="E929" s="52">
        <v>11</v>
      </c>
      <c r="F929" s="52">
        <v>13</v>
      </c>
      <c r="G929" s="52">
        <v>11</v>
      </c>
      <c r="H929" s="52">
        <v>6</v>
      </c>
      <c r="I929" s="52">
        <v>58</v>
      </c>
      <c r="J929" s="105">
        <v>9.6666666666666661</v>
      </c>
      <c r="K929" s="52"/>
    </row>
    <row r="930" spans="1:11" ht="15.75" customHeight="1" x14ac:dyDescent="0.25">
      <c r="A930" s="2">
        <v>802</v>
      </c>
      <c r="B930" s="2" t="s">
        <v>4770</v>
      </c>
      <c r="C930" s="52">
        <v>9</v>
      </c>
      <c r="D930" s="52">
        <v>12</v>
      </c>
      <c r="E930" s="52">
        <v>8</v>
      </c>
      <c r="F930" s="52">
        <v>9</v>
      </c>
      <c r="G930" s="52">
        <v>9</v>
      </c>
      <c r="H930" s="52">
        <v>12</v>
      </c>
      <c r="I930" s="52">
        <v>59</v>
      </c>
      <c r="J930" s="105">
        <v>9.8333333333333339</v>
      </c>
      <c r="K930" s="52"/>
    </row>
    <row r="931" spans="1:11" ht="15.75" customHeight="1" x14ac:dyDescent="0.25">
      <c r="A931" s="2">
        <v>803</v>
      </c>
      <c r="B931" s="2" t="s">
        <v>4771</v>
      </c>
      <c r="C931" s="52">
        <v>6</v>
      </c>
      <c r="D931" s="52">
        <v>7</v>
      </c>
      <c r="E931" s="52">
        <v>6</v>
      </c>
      <c r="F931" s="52">
        <v>7</v>
      </c>
      <c r="G931" s="52">
        <v>6</v>
      </c>
      <c r="H931" s="52">
        <v>7</v>
      </c>
      <c r="I931" s="52">
        <v>39</v>
      </c>
      <c r="J931" s="105">
        <v>6.5</v>
      </c>
      <c r="K931" s="52"/>
    </row>
    <row r="932" spans="1:11" ht="15.75" customHeight="1" x14ac:dyDescent="0.25">
      <c r="A932" s="2">
        <v>804</v>
      </c>
      <c r="B932" s="2" t="s">
        <v>4772</v>
      </c>
      <c r="C932" s="52">
        <v>7</v>
      </c>
      <c r="D932" s="52">
        <v>7</v>
      </c>
      <c r="E932" s="52">
        <v>7</v>
      </c>
      <c r="F932" s="52">
        <v>12</v>
      </c>
      <c r="G932" s="52">
        <v>7</v>
      </c>
      <c r="H932" s="52">
        <v>12</v>
      </c>
      <c r="I932" s="52">
        <v>52</v>
      </c>
      <c r="J932" s="105">
        <v>8.6666666666666661</v>
      </c>
      <c r="K932" s="52"/>
    </row>
    <row r="933" spans="1:11" ht="15.75" customHeight="1" x14ac:dyDescent="0.25">
      <c r="A933" s="2">
        <v>805</v>
      </c>
      <c r="B933" s="2" t="s">
        <v>4773</v>
      </c>
      <c r="C933" s="52">
        <v>6</v>
      </c>
      <c r="D933" s="52">
        <v>13</v>
      </c>
      <c r="E933" s="52">
        <v>21</v>
      </c>
      <c r="F933" s="52">
        <v>5</v>
      </c>
      <c r="G933" s="52">
        <v>10</v>
      </c>
      <c r="H933" s="52">
        <v>1</v>
      </c>
      <c r="I933" s="52">
        <v>56</v>
      </c>
      <c r="J933" s="105">
        <v>9.3333333333333339</v>
      </c>
      <c r="K933" s="52"/>
    </row>
    <row r="934" spans="1:11" ht="15.75" customHeight="1" x14ac:dyDescent="0.25">
      <c r="A934" s="2">
        <v>806</v>
      </c>
      <c r="B934" s="2" t="s">
        <v>4774</v>
      </c>
      <c r="C934" s="52">
        <v>5</v>
      </c>
      <c r="D934" s="52">
        <v>12</v>
      </c>
      <c r="E934" s="52">
        <v>5</v>
      </c>
      <c r="F934" s="52">
        <v>15</v>
      </c>
      <c r="G934" s="52">
        <v>7</v>
      </c>
      <c r="H934" s="52">
        <v>10</v>
      </c>
      <c r="I934" s="52">
        <v>54</v>
      </c>
      <c r="J934" s="105">
        <v>9</v>
      </c>
      <c r="K934" s="52"/>
    </row>
    <row r="935" spans="1:11" ht="15.75" customHeight="1" x14ac:dyDescent="0.25">
      <c r="A935" s="2">
        <v>807</v>
      </c>
      <c r="B935" s="2" t="s">
        <v>4775</v>
      </c>
      <c r="C935" s="52">
        <v>8</v>
      </c>
      <c r="D935" s="52">
        <v>11</v>
      </c>
      <c r="E935" s="52">
        <v>7</v>
      </c>
      <c r="F935" s="52">
        <v>10</v>
      </c>
      <c r="G935" s="52">
        <v>8</v>
      </c>
      <c r="H935" s="52">
        <v>14</v>
      </c>
      <c r="I935" s="52">
        <v>58</v>
      </c>
      <c r="J935" s="105">
        <v>9.6666666666666661</v>
      </c>
      <c r="K935" s="52"/>
    </row>
    <row r="936" spans="1:11" ht="15.75" customHeight="1" x14ac:dyDescent="0.25">
      <c r="A936" s="2">
        <v>808</v>
      </c>
      <c r="B936" s="2" t="s">
        <v>4776</v>
      </c>
      <c r="C936" s="52">
        <v>4</v>
      </c>
      <c r="D936" s="52">
        <v>6</v>
      </c>
      <c r="E936" s="52">
        <v>6</v>
      </c>
      <c r="F936" s="52">
        <v>5</v>
      </c>
      <c r="G936" s="52">
        <v>3</v>
      </c>
      <c r="H936" s="52">
        <v>3</v>
      </c>
      <c r="I936" s="52">
        <v>27</v>
      </c>
      <c r="J936" s="105">
        <v>4.5</v>
      </c>
      <c r="K936" s="52"/>
    </row>
    <row r="937" spans="1:11" ht="15.75" customHeight="1" x14ac:dyDescent="0.25">
      <c r="A937" s="2">
        <v>809</v>
      </c>
      <c r="B937" s="2" t="s">
        <v>4777</v>
      </c>
      <c r="C937" s="52">
        <v>13</v>
      </c>
      <c r="D937" s="52">
        <v>14</v>
      </c>
      <c r="E937" s="52">
        <v>14</v>
      </c>
      <c r="F937" s="52">
        <v>8</v>
      </c>
      <c r="G937" s="52">
        <v>6</v>
      </c>
      <c r="H937" s="52">
        <v>3</v>
      </c>
      <c r="I937" s="52">
        <v>58</v>
      </c>
      <c r="J937" s="105">
        <v>9.6666666666666661</v>
      </c>
      <c r="K937" s="52"/>
    </row>
    <row r="938" spans="1:11" ht="15.75" customHeight="1" x14ac:dyDescent="0.25">
      <c r="A938" s="2">
        <v>810</v>
      </c>
      <c r="B938" s="2" t="s">
        <v>4778</v>
      </c>
      <c r="C938" s="52">
        <v>5</v>
      </c>
      <c r="D938" s="52">
        <v>6</v>
      </c>
      <c r="E938" s="52">
        <v>5</v>
      </c>
      <c r="F938" s="52">
        <v>4</v>
      </c>
      <c r="G938" s="52">
        <v>4</v>
      </c>
      <c r="H938" s="52">
        <v>6</v>
      </c>
      <c r="I938" s="52">
        <v>30</v>
      </c>
      <c r="J938" s="105">
        <v>5</v>
      </c>
      <c r="K938" s="52"/>
    </row>
    <row r="939" spans="1:11" ht="15.75" customHeight="1" x14ac:dyDescent="0.25">
      <c r="A939" s="2">
        <v>811</v>
      </c>
      <c r="B939" s="2" t="s">
        <v>4779</v>
      </c>
      <c r="C939" s="52">
        <v>7</v>
      </c>
      <c r="D939" s="52">
        <v>8</v>
      </c>
      <c r="E939" s="52">
        <v>7</v>
      </c>
      <c r="F939" s="52">
        <v>5</v>
      </c>
      <c r="G939" s="52">
        <v>6</v>
      </c>
      <c r="H939" s="52">
        <v>8</v>
      </c>
      <c r="I939" s="52">
        <v>41</v>
      </c>
      <c r="J939" s="105">
        <v>6.833333333333333</v>
      </c>
      <c r="K939" s="52"/>
    </row>
    <row r="940" spans="1:11" ht="15.75" customHeight="1" x14ac:dyDescent="0.25">
      <c r="A940" s="2">
        <v>812</v>
      </c>
      <c r="B940" s="2" t="s">
        <v>4780</v>
      </c>
      <c r="C940" s="52">
        <v>10</v>
      </c>
      <c r="D940" s="52">
        <v>12</v>
      </c>
      <c r="E940" s="52">
        <v>9</v>
      </c>
      <c r="F940" s="52">
        <v>6</v>
      </c>
      <c r="G940" s="52">
        <v>7</v>
      </c>
      <c r="H940" s="52">
        <v>8</v>
      </c>
      <c r="I940" s="52">
        <v>52</v>
      </c>
      <c r="J940" s="105">
        <v>8.6666666666666661</v>
      </c>
      <c r="K940" s="52"/>
    </row>
    <row r="941" spans="1:11" ht="15.75" customHeight="1" x14ac:dyDescent="0.25">
      <c r="A941" s="2">
        <v>813</v>
      </c>
      <c r="B941" s="2" t="s">
        <v>4781</v>
      </c>
      <c r="C941" s="52">
        <v>5</v>
      </c>
      <c r="D941" s="52">
        <v>7</v>
      </c>
      <c r="E941" s="52">
        <v>4</v>
      </c>
      <c r="F941" s="52">
        <v>4</v>
      </c>
      <c r="G941" s="52">
        <v>4</v>
      </c>
      <c r="H941" s="52">
        <v>6</v>
      </c>
      <c r="I941" s="52">
        <v>30</v>
      </c>
      <c r="J941" s="105">
        <v>5</v>
      </c>
      <c r="K941" s="52"/>
    </row>
    <row r="942" spans="1:11" ht="15.75" customHeight="1" x14ac:dyDescent="0.25">
      <c r="A942" s="2">
        <v>814</v>
      </c>
      <c r="B942" s="2" t="s">
        <v>4782</v>
      </c>
      <c r="C942" s="52">
        <v>6</v>
      </c>
      <c r="D942" s="52">
        <v>8</v>
      </c>
      <c r="E942" s="52">
        <v>6</v>
      </c>
      <c r="F942" s="52">
        <v>5</v>
      </c>
      <c r="G942" s="52">
        <v>6</v>
      </c>
      <c r="H942" s="52">
        <v>9</v>
      </c>
      <c r="I942" s="52">
        <v>40</v>
      </c>
      <c r="J942" s="105">
        <v>6.666666666666667</v>
      </c>
      <c r="K942" s="52"/>
    </row>
    <row r="943" spans="1:11" ht="15.75" customHeight="1" x14ac:dyDescent="0.25">
      <c r="A943" s="2">
        <v>815</v>
      </c>
      <c r="B943" s="2" t="s">
        <v>4783</v>
      </c>
      <c r="C943" s="52">
        <v>8</v>
      </c>
      <c r="D943" s="52">
        <v>11</v>
      </c>
      <c r="E943" s="52">
        <v>7</v>
      </c>
      <c r="F943" s="52">
        <v>6</v>
      </c>
      <c r="G943" s="52">
        <v>7</v>
      </c>
      <c r="H943" s="52">
        <v>11</v>
      </c>
      <c r="I943" s="52">
        <v>50</v>
      </c>
      <c r="J943" s="105">
        <v>8.3333333333333339</v>
      </c>
      <c r="K943" s="52"/>
    </row>
    <row r="944" spans="1:11" ht="15.75" customHeight="1" x14ac:dyDescent="0.25">
      <c r="A944" s="2">
        <v>816</v>
      </c>
      <c r="B944" s="2" t="s">
        <v>4784</v>
      </c>
      <c r="C944" s="52">
        <v>5</v>
      </c>
      <c r="D944" s="52">
        <v>4</v>
      </c>
      <c r="E944" s="52">
        <v>4</v>
      </c>
      <c r="F944" s="52">
        <v>7</v>
      </c>
      <c r="G944" s="52">
        <v>4</v>
      </c>
      <c r="H944" s="52">
        <v>7</v>
      </c>
      <c r="I944" s="52">
        <v>31</v>
      </c>
      <c r="J944" s="105">
        <v>5.166666666666667</v>
      </c>
      <c r="K944" s="52"/>
    </row>
    <row r="945" spans="1:11" ht="15.75" customHeight="1" x14ac:dyDescent="0.25">
      <c r="A945" s="2">
        <v>817</v>
      </c>
      <c r="B945" s="2" t="s">
        <v>4785</v>
      </c>
      <c r="C945" s="52">
        <v>6</v>
      </c>
      <c r="D945" s="52">
        <v>6</v>
      </c>
      <c r="E945" s="52">
        <v>5</v>
      </c>
      <c r="F945" s="52">
        <v>9</v>
      </c>
      <c r="G945" s="52">
        <v>5</v>
      </c>
      <c r="H945" s="52">
        <v>9</v>
      </c>
      <c r="I945" s="52">
        <v>40</v>
      </c>
      <c r="J945" s="105">
        <v>6.666666666666667</v>
      </c>
      <c r="K945" s="52"/>
    </row>
    <row r="946" spans="1:11" ht="15.75" customHeight="1" x14ac:dyDescent="0.25">
      <c r="A946" s="2">
        <v>818</v>
      </c>
      <c r="B946" s="2" t="s">
        <v>4786</v>
      </c>
      <c r="C946" s="52">
        <v>7</v>
      </c>
      <c r="D946" s="52">
        <v>8</v>
      </c>
      <c r="E946" s="52">
        <v>6</v>
      </c>
      <c r="F946" s="52">
        <v>12</v>
      </c>
      <c r="G946" s="52">
        <v>6</v>
      </c>
      <c r="H946" s="52">
        <v>12</v>
      </c>
      <c r="I946" s="52">
        <v>51</v>
      </c>
      <c r="J946" s="105">
        <v>8.5</v>
      </c>
      <c r="K946" s="52"/>
    </row>
    <row r="947" spans="1:11" ht="15.75" customHeight="1" x14ac:dyDescent="0.25">
      <c r="A947" s="2">
        <v>819</v>
      </c>
      <c r="B947" s="2" t="s">
        <v>4787</v>
      </c>
      <c r="C947" s="52">
        <v>7</v>
      </c>
      <c r="D947" s="52">
        <v>5</v>
      </c>
      <c r="E947" s="52">
        <v>5</v>
      </c>
      <c r="F947" s="52">
        <v>3</v>
      </c>
      <c r="G947" s="52">
        <v>3</v>
      </c>
      <c r="H947" s="52">
        <v>2</v>
      </c>
      <c r="I947" s="52">
        <v>25</v>
      </c>
      <c r="J947" s="105">
        <v>4.166666666666667</v>
      </c>
      <c r="K947" s="52"/>
    </row>
    <row r="948" spans="1:11" ht="15.75" customHeight="1" x14ac:dyDescent="0.25">
      <c r="A948" s="2">
        <v>820</v>
      </c>
      <c r="B948" s="2" t="s">
        <v>4788</v>
      </c>
      <c r="C948" s="52">
        <v>12</v>
      </c>
      <c r="D948" s="52">
        <v>9</v>
      </c>
      <c r="E948" s="52">
        <v>9</v>
      </c>
      <c r="F948" s="52">
        <v>5</v>
      </c>
      <c r="G948" s="52">
        <v>7</v>
      </c>
      <c r="H948" s="52">
        <v>2</v>
      </c>
      <c r="I948" s="52">
        <v>44</v>
      </c>
      <c r="J948" s="105">
        <v>7.333333333333333</v>
      </c>
      <c r="K948" s="52"/>
    </row>
    <row r="949" spans="1:11" ht="15.75" customHeight="1" x14ac:dyDescent="0.25">
      <c r="A949" s="2">
        <v>821</v>
      </c>
      <c r="B949" s="2" t="s">
        <v>4789</v>
      </c>
      <c r="C949" s="52">
        <v>3</v>
      </c>
      <c r="D949" s="52">
        <v>4</v>
      </c>
      <c r="E949" s="52">
        <v>3</v>
      </c>
      <c r="F949" s="52">
        <v>3</v>
      </c>
      <c r="G949" s="52">
        <v>3</v>
      </c>
      <c r="H949" s="52">
        <v>5</v>
      </c>
      <c r="I949" s="52">
        <v>21</v>
      </c>
      <c r="J949" s="105">
        <v>3.5</v>
      </c>
      <c r="K949" s="52"/>
    </row>
    <row r="950" spans="1:11" ht="15.75" customHeight="1" x14ac:dyDescent="0.25">
      <c r="A950" s="2">
        <v>822</v>
      </c>
      <c r="B950" s="2" t="s">
        <v>4790</v>
      </c>
      <c r="C950" s="52">
        <v>6</v>
      </c>
      <c r="D950" s="52">
        <v>6</v>
      </c>
      <c r="E950" s="52">
        <v>5</v>
      </c>
      <c r="F950" s="52">
        <v>4</v>
      </c>
      <c r="G950" s="52">
        <v>5</v>
      </c>
      <c r="H950" s="52">
        <v>7</v>
      </c>
      <c r="I950" s="52">
        <v>33</v>
      </c>
      <c r="J950" s="105">
        <v>5.5</v>
      </c>
      <c r="K950" s="52"/>
    </row>
    <row r="951" spans="1:11" ht="15.75" customHeight="1" x14ac:dyDescent="0.25">
      <c r="A951" s="2">
        <v>823</v>
      </c>
      <c r="B951" s="2" t="s">
        <v>4791</v>
      </c>
      <c r="C951" s="52">
        <v>9</v>
      </c>
      <c r="D951" s="52">
        <v>8</v>
      </c>
      <c r="E951" s="52">
        <v>10</v>
      </c>
      <c r="F951" s="52">
        <v>5</v>
      </c>
      <c r="G951" s="52">
        <v>8</v>
      </c>
      <c r="H951" s="52">
        <v>6</v>
      </c>
      <c r="I951" s="52">
        <v>46</v>
      </c>
      <c r="J951" s="105">
        <v>7.666666666666667</v>
      </c>
      <c r="K951" s="52"/>
    </row>
    <row r="952" spans="1:11" ht="15.75" customHeight="1" x14ac:dyDescent="0.25">
      <c r="A952" s="2">
        <v>824</v>
      </c>
      <c r="B952" s="2" t="s">
        <v>4792</v>
      </c>
      <c r="C952" s="52">
        <v>2</v>
      </c>
      <c r="D952" s="52">
        <v>2</v>
      </c>
      <c r="E952" s="52">
        <v>2</v>
      </c>
      <c r="F952" s="52">
        <v>2</v>
      </c>
      <c r="G952" s="52">
        <v>4</v>
      </c>
      <c r="H952" s="52">
        <v>4</v>
      </c>
      <c r="I952" s="52">
        <v>16</v>
      </c>
      <c r="J952" s="105">
        <v>2.6666666666666665</v>
      </c>
      <c r="K952" s="52"/>
    </row>
    <row r="953" spans="1:11" ht="15.75" customHeight="1" x14ac:dyDescent="0.25">
      <c r="A953" s="2">
        <v>825</v>
      </c>
      <c r="B953" s="2" t="s">
        <v>4793</v>
      </c>
      <c r="C953" s="52">
        <v>5</v>
      </c>
      <c r="D953" s="52">
        <v>3</v>
      </c>
      <c r="E953" s="52">
        <v>8</v>
      </c>
      <c r="F953" s="52">
        <v>5</v>
      </c>
      <c r="G953" s="52">
        <v>9</v>
      </c>
      <c r="H953" s="52">
        <v>3</v>
      </c>
      <c r="I953" s="52">
        <v>33</v>
      </c>
      <c r="J953" s="105">
        <v>5.5</v>
      </c>
      <c r="K953" s="52"/>
    </row>
    <row r="954" spans="1:11" ht="15.75" customHeight="1" x14ac:dyDescent="0.25">
      <c r="A954" s="2">
        <v>826</v>
      </c>
      <c r="B954" s="2" t="s">
        <v>4794</v>
      </c>
      <c r="C954" s="52">
        <v>6</v>
      </c>
      <c r="D954" s="52">
        <v>4</v>
      </c>
      <c r="E954" s="52">
        <v>11</v>
      </c>
      <c r="F954" s="52">
        <v>8</v>
      </c>
      <c r="G954" s="52">
        <v>12</v>
      </c>
      <c r="H954" s="52">
        <v>9</v>
      </c>
      <c r="I954" s="52">
        <v>50</v>
      </c>
      <c r="J954" s="105">
        <v>8.3333333333333339</v>
      </c>
      <c r="K954" s="52"/>
    </row>
    <row r="955" spans="1:11" ht="15.75" customHeight="1" x14ac:dyDescent="0.25">
      <c r="A955" s="2">
        <v>827</v>
      </c>
      <c r="B955" s="2" t="s">
        <v>4795</v>
      </c>
      <c r="C955" s="52">
        <v>4</v>
      </c>
      <c r="D955" s="52">
        <v>2</v>
      </c>
      <c r="E955" s="52">
        <v>2</v>
      </c>
      <c r="F955" s="52">
        <v>4</v>
      </c>
      <c r="G955" s="52">
        <v>5</v>
      </c>
      <c r="H955" s="52">
        <v>5</v>
      </c>
      <c r="I955" s="52">
        <v>22</v>
      </c>
      <c r="J955" s="105">
        <v>3.6666666666666665</v>
      </c>
      <c r="K955" s="52"/>
    </row>
    <row r="956" spans="1:11" ht="15.75" customHeight="1" x14ac:dyDescent="0.25">
      <c r="A956" s="2">
        <v>828</v>
      </c>
      <c r="B956" s="2" t="s">
        <v>4796</v>
      </c>
      <c r="C956" s="52">
        <v>7</v>
      </c>
      <c r="D956" s="52">
        <v>5</v>
      </c>
      <c r="E956" s="52">
        <v>5</v>
      </c>
      <c r="F956" s="52">
        <v>8</v>
      </c>
      <c r="G956" s="52">
        <v>9</v>
      </c>
      <c r="H956" s="52">
        <v>9</v>
      </c>
      <c r="I956" s="52">
        <v>43</v>
      </c>
      <c r="J956" s="105">
        <v>7.166666666666667</v>
      </c>
      <c r="K956" s="52"/>
    </row>
    <row r="957" spans="1:11" ht="15.75" customHeight="1" x14ac:dyDescent="0.25">
      <c r="A957" s="2">
        <v>829</v>
      </c>
      <c r="B957" s="2" t="s">
        <v>4797</v>
      </c>
      <c r="C957" s="52">
        <v>4</v>
      </c>
      <c r="D957" s="52">
        <v>4</v>
      </c>
      <c r="E957" s="52">
        <v>6</v>
      </c>
      <c r="F957" s="52">
        <v>4</v>
      </c>
      <c r="G957" s="52">
        <v>6</v>
      </c>
      <c r="H957" s="52">
        <v>1</v>
      </c>
      <c r="I957" s="52">
        <v>25</v>
      </c>
      <c r="J957" s="105">
        <v>4.166666666666667</v>
      </c>
      <c r="K957" s="52"/>
    </row>
    <row r="958" spans="1:11" ht="15.75" customHeight="1" x14ac:dyDescent="0.25">
      <c r="A958" s="2">
        <v>830</v>
      </c>
      <c r="B958" s="2" t="s">
        <v>4798</v>
      </c>
      <c r="C958" s="52">
        <v>6</v>
      </c>
      <c r="D958" s="52">
        <v>5</v>
      </c>
      <c r="E958" s="52">
        <v>9</v>
      </c>
      <c r="F958" s="52">
        <v>8</v>
      </c>
      <c r="G958" s="52">
        <v>12</v>
      </c>
      <c r="H958" s="52">
        <v>6</v>
      </c>
      <c r="I958" s="52">
        <v>46</v>
      </c>
      <c r="J958" s="105">
        <v>7.666666666666667</v>
      </c>
      <c r="K958" s="52"/>
    </row>
    <row r="959" spans="1:11" ht="15.75" customHeight="1" x14ac:dyDescent="0.25">
      <c r="A959" s="2">
        <v>831</v>
      </c>
      <c r="B959" s="2" t="s">
        <v>4799</v>
      </c>
      <c r="C959" s="52">
        <v>4</v>
      </c>
      <c r="D959" s="52">
        <v>4</v>
      </c>
      <c r="E959" s="52">
        <v>5</v>
      </c>
      <c r="F959" s="52">
        <v>4</v>
      </c>
      <c r="G959" s="52">
        <v>4</v>
      </c>
      <c r="H959" s="52">
        <v>4</v>
      </c>
      <c r="I959" s="52">
        <v>25</v>
      </c>
      <c r="J959" s="105">
        <v>4.166666666666667</v>
      </c>
      <c r="K959" s="52"/>
    </row>
    <row r="960" spans="1:11" ht="15.75" customHeight="1" x14ac:dyDescent="0.25">
      <c r="A960" s="2">
        <v>832</v>
      </c>
      <c r="B960" s="2" t="s">
        <v>4800</v>
      </c>
      <c r="C960" s="52">
        <v>7</v>
      </c>
      <c r="D960" s="52">
        <v>8</v>
      </c>
      <c r="E960" s="52">
        <v>10</v>
      </c>
      <c r="F960" s="52">
        <v>6</v>
      </c>
      <c r="G960" s="52">
        <v>9</v>
      </c>
      <c r="H960" s="52">
        <v>8</v>
      </c>
      <c r="I960" s="52">
        <v>48</v>
      </c>
      <c r="J960" s="105">
        <v>8</v>
      </c>
      <c r="K960" s="52"/>
    </row>
    <row r="961" spans="1:11" ht="15.75" customHeight="1" x14ac:dyDescent="0.25">
      <c r="A961" s="2">
        <v>833</v>
      </c>
      <c r="B961" s="2" t="s">
        <v>4801</v>
      </c>
      <c r="C961" s="52">
        <v>5</v>
      </c>
      <c r="D961" s="52">
        <v>6</v>
      </c>
      <c r="E961" s="52">
        <v>5</v>
      </c>
      <c r="F961" s="52">
        <v>3</v>
      </c>
      <c r="G961" s="52">
        <v>3</v>
      </c>
      <c r="H961" s="52">
        <v>4</v>
      </c>
      <c r="I961" s="52">
        <v>26</v>
      </c>
      <c r="J961" s="105">
        <v>4.333333333333333</v>
      </c>
      <c r="K961" s="52"/>
    </row>
    <row r="962" spans="1:11" ht="15.75" customHeight="1" x14ac:dyDescent="0.25">
      <c r="A962" s="2">
        <v>834</v>
      </c>
      <c r="B962" s="2" t="s">
        <v>4802</v>
      </c>
      <c r="C962" s="52">
        <v>9</v>
      </c>
      <c r="D962" s="52">
        <v>11</v>
      </c>
      <c r="E962" s="52">
        <v>9</v>
      </c>
      <c r="F962" s="52">
        <v>4</v>
      </c>
      <c r="G962" s="52">
        <v>6</v>
      </c>
      <c r="H962" s="52">
        <v>7</v>
      </c>
      <c r="I962" s="52">
        <v>46</v>
      </c>
      <c r="J962" s="105">
        <v>7.666666666666667</v>
      </c>
      <c r="K962" s="52"/>
    </row>
    <row r="963" spans="1:11" ht="15.75" customHeight="1" x14ac:dyDescent="0.25">
      <c r="A963" s="2">
        <v>835</v>
      </c>
      <c r="B963" s="2" t="s">
        <v>4803</v>
      </c>
      <c r="C963" s="52">
        <v>5</v>
      </c>
      <c r="D963" s="52">
        <v>4</v>
      </c>
      <c r="E963" s="52">
        <v>5</v>
      </c>
      <c r="F963" s="52">
        <v>4</v>
      </c>
      <c r="G963" s="52">
        <v>5</v>
      </c>
      <c r="H963" s="52">
        <v>2</v>
      </c>
      <c r="I963" s="52">
        <v>25</v>
      </c>
      <c r="J963" s="105">
        <v>4.166666666666667</v>
      </c>
      <c r="K963" s="52"/>
    </row>
    <row r="964" spans="1:11" ht="15.75" customHeight="1" x14ac:dyDescent="0.25">
      <c r="A964" s="2">
        <v>836</v>
      </c>
      <c r="B964" s="2" t="s">
        <v>4804</v>
      </c>
      <c r="C964" s="52">
        <v>6</v>
      </c>
      <c r="D964" s="52">
        <v>9</v>
      </c>
      <c r="E964" s="52">
        <v>6</v>
      </c>
      <c r="F964" s="52">
        <v>9</v>
      </c>
      <c r="G964" s="52">
        <v>6</v>
      </c>
      <c r="H964" s="52">
        <v>12</v>
      </c>
      <c r="I964" s="52">
        <v>48</v>
      </c>
      <c r="J964" s="105">
        <v>8</v>
      </c>
      <c r="K964" s="52"/>
    </row>
    <row r="965" spans="1:11" ht="15.75" customHeight="1" x14ac:dyDescent="0.25">
      <c r="A965" s="2">
        <v>837</v>
      </c>
      <c r="B965" s="2" t="s">
        <v>4805</v>
      </c>
      <c r="C965" s="52">
        <v>3</v>
      </c>
      <c r="D965" s="52">
        <v>4</v>
      </c>
      <c r="E965" s="52">
        <v>5</v>
      </c>
      <c r="F965" s="52">
        <v>4</v>
      </c>
      <c r="G965" s="52">
        <v>5</v>
      </c>
      <c r="H965" s="52">
        <v>3</v>
      </c>
      <c r="I965" s="52">
        <v>24</v>
      </c>
      <c r="J965" s="105">
        <v>4</v>
      </c>
      <c r="K965" s="52"/>
    </row>
    <row r="966" spans="1:11" ht="15.75" customHeight="1" x14ac:dyDescent="0.25">
      <c r="A966" s="2">
        <v>838</v>
      </c>
      <c r="B966" s="2" t="s">
        <v>4806</v>
      </c>
      <c r="C966" s="52">
        <v>8</v>
      </c>
      <c r="D966" s="52">
        <v>6</v>
      </c>
      <c r="E966" s="52">
        <v>9</v>
      </c>
      <c r="F966" s="52">
        <v>6</v>
      </c>
      <c r="G966" s="52">
        <v>7</v>
      </c>
      <c r="H966" s="52">
        <v>5</v>
      </c>
      <c r="I966" s="52">
        <v>41</v>
      </c>
      <c r="J966" s="105">
        <v>6.833333333333333</v>
      </c>
      <c r="K966" s="52"/>
    </row>
    <row r="967" spans="1:11" ht="15.75" customHeight="1" x14ac:dyDescent="0.25">
      <c r="A967" s="2">
        <v>839</v>
      </c>
      <c r="B967" s="2" t="s">
        <v>4807</v>
      </c>
      <c r="C967" s="52">
        <v>11</v>
      </c>
      <c r="D967" s="52">
        <v>8</v>
      </c>
      <c r="E967" s="52">
        <v>12</v>
      </c>
      <c r="F967" s="52">
        <v>8</v>
      </c>
      <c r="G967" s="52">
        <v>9</v>
      </c>
      <c r="H967" s="52">
        <v>3</v>
      </c>
      <c r="I967" s="52">
        <v>51</v>
      </c>
      <c r="J967" s="105">
        <v>8.5</v>
      </c>
      <c r="K967" s="52"/>
    </row>
    <row r="968" spans="1:11" ht="15.75" customHeight="1" x14ac:dyDescent="0.25">
      <c r="A968" s="2">
        <v>840</v>
      </c>
      <c r="B968" s="2" t="s">
        <v>4808</v>
      </c>
      <c r="C968" s="52">
        <v>4</v>
      </c>
      <c r="D968" s="52">
        <v>4</v>
      </c>
      <c r="E968" s="52">
        <v>8</v>
      </c>
      <c r="F968" s="52">
        <v>4</v>
      </c>
      <c r="G968" s="52">
        <v>4</v>
      </c>
      <c r="H968" s="52">
        <v>2</v>
      </c>
      <c r="I968" s="52">
        <v>26</v>
      </c>
      <c r="J968" s="105">
        <v>4.333333333333333</v>
      </c>
      <c r="K968" s="52"/>
    </row>
    <row r="969" spans="1:11" ht="15.75" customHeight="1" x14ac:dyDescent="0.25">
      <c r="A969" s="2">
        <v>841</v>
      </c>
      <c r="B969" s="2" t="s">
        <v>4809</v>
      </c>
      <c r="C969" s="52">
        <v>7</v>
      </c>
      <c r="D969" s="52">
        <v>11</v>
      </c>
      <c r="E969" s="52">
        <v>8</v>
      </c>
      <c r="F969" s="52">
        <v>9</v>
      </c>
      <c r="G969" s="52">
        <v>6</v>
      </c>
      <c r="H969" s="52">
        <v>7</v>
      </c>
      <c r="I969" s="52">
        <v>48</v>
      </c>
      <c r="J969" s="105">
        <v>8</v>
      </c>
      <c r="K969" s="52"/>
    </row>
    <row r="970" spans="1:11" ht="15.75" customHeight="1" x14ac:dyDescent="0.25">
      <c r="A970" s="2">
        <v>842</v>
      </c>
      <c r="B970" s="2" t="s">
        <v>4810</v>
      </c>
      <c r="C970" s="52">
        <v>11</v>
      </c>
      <c r="D970" s="52">
        <v>8</v>
      </c>
      <c r="E970" s="52">
        <v>8</v>
      </c>
      <c r="F970" s="52">
        <v>10</v>
      </c>
      <c r="G970" s="52">
        <v>8</v>
      </c>
      <c r="H970" s="52">
        <v>3</v>
      </c>
      <c r="I970" s="52">
        <v>48</v>
      </c>
      <c r="J970" s="105">
        <v>8</v>
      </c>
      <c r="K970" s="52"/>
    </row>
    <row r="971" spans="1:11" ht="15.75" customHeight="1" x14ac:dyDescent="0.25">
      <c r="A971" s="2">
        <v>843</v>
      </c>
      <c r="B971" s="2" t="s">
        <v>4811</v>
      </c>
      <c r="C971" s="52">
        <v>5</v>
      </c>
      <c r="D971" s="52">
        <v>5</v>
      </c>
      <c r="E971" s="52">
        <v>7</v>
      </c>
      <c r="F971" s="52">
        <v>3</v>
      </c>
      <c r="G971" s="52">
        <v>5</v>
      </c>
      <c r="H971" s="52">
        <v>4</v>
      </c>
      <c r="I971" s="52">
        <v>29</v>
      </c>
      <c r="J971" s="105">
        <v>4.833333333333333</v>
      </c>
      <c r="K971" s="52"/>
    </row>
    <row r="972" spans="1:11" ht="15.75" customHeight="1" x14ac:dyDescent="0.25">
      <c r="A972" s="2">
        <v>844</v>
      </c>
      <c r="B972" s="2" t="s">
        <v>4812</v>
      </c>
      <c r="C972" s="52">
        <v>7</v>
      </c>
      <c r="D972" s="52">
        <v>10</v>
      </c>
      <c r="E972" s="52">
        <v>12</v>
      </c>
      <c r="F972" s="52">
        <v>6</v>
      </c>
      <c r="G972" s="52">
        <v>7</v>
      </c>
      <c r="H972" s="52">
        <v>7</v>
      </c>
      <c r="I972" s="52">
        <v>49</v>
      </c>
      <c r="J972" s="105">
        <v>8.1666666666666661</v>
      </c>
      <c r="K972" s="52"/>
    </row>
    <row r="973" spans="1:11" ht="15.75" customHeight="1" x14ac:dyDescent="0.25">
      <c r="A973" s="2">
        <v>845</v>
      </c>
      <c r="B973" s="2" t="s">
        <v>4813</v>
      </c>
      <c r="C973" s="52">
        <v>7</v>
      </c>
      <c r="D973" s="52">
        <v>8</v>
      </c>
      <c r="E973" s="52">
        <v>5</v>
      </c>
      <c r="F973" s="52">
        <v>8</v>
      </c>
      <c r="G973" s="52">
        <v>9</v>
      </c>
      <c r="H973" s="52">
        <v>8</v>
      </c>
      <c r="I973" s="52">
        <v>45</v>
      </c>
      <c r="J973" s="105">
        <v>7.5</v>
      </c>
      <c r="K973" s="52"/>
    </row>
    <row r="974" spans="1:11" ht="15.75" customHeight="1" x14ac:dyDescent="0.25">
      <c r="A974" s="2">
        <v>846</v>
      </c>
      <c r="B974" s="2" t="s">
        <v>4814</v>
      </c>
      <c r="C974" s="52">
        <v>4</v>
      </c>
      <c r="D974" s="52">
        <v>6</v>
      </c>
      <c r="E974" s="52">
        <v>4</v>
      </c>
      <c r="F974" s="52">
        <v>4</v>
      </c>
      <c r="G974" s="52">
        <v>3</v>
      </c>
      <c r="H974" s="52">
        <v>6</v>
      </c>
      <c r="I974" s="52">
        <v>27</v>
      </c>
      <c r="J974" s="105">
        <v>4.5</v>
      </c>
      <c r="K974" s="52"/>
    </row>
    <row r="975" spans="1:11" ht="15.75" customHeight="1" x14ac:dyDescent="0.25">
      <c r="A975" s="2">
        <v>847</v>
      </c>
      <c r="B975" s="2" t="s">
        <v>4815</v>
      </c>
      <c r="C975" s="52">
        <v>6</v>
      </c>
      <c r="D975" s="52">
        <v>12</v>
      </c>
      <c r="E975" s="52">
        <v>6</v>
      </c>
      <c r="F975" s="52">
        <v>6</v>
      </c>
      <c r="G975" s="52">
        <v>5</v>
      </c>
      <c r="H975" s="52">
        <v>13</v>
      </c>
      <c r="I975" s="52">
        <v>48</v>
      </c>
      <c r="J975" s="105">
        <v>8</v>
      </c>
      <c r="K975" s="52"/>
    </row>
    <row r="976" spans="1:11" ht="15.75" customHeight="1" x14ac:dyDescent="0.25">
      <c r="A976" s="2">
        <v>848</v>
      </c>
      <c r="B976" s="2" t="s">
        <v>4816</v>
      </c>
      <c r="C976" s="52">
        <v>4</v>
      </c>
      <c r="D976" s="52">
        <v>3</v>
      </c>
      <c r="E976" s="52">
        <v>3</v>
      </c>
      <c r="F976" s="52">
        <v>5</v>
      </c>
      <c r="G976" s="52">
        <v>3</v>
      </c>
      <c r="H976" s="52">
        <v>4</v>
      </c>
      <c r="I976" s="52">
        <v>22</v>
      </c>
      <c r="J976" s="105">
        <v>3.6666666666666665</v>
      </c>
      <c r="K976" s="52"/>
    </row>
    <row r="977" spans="1:11" ht="15.75" customHeight="1" x14ac:dyDescent="0.25">
      <c r="A977" s="2">
        <v>849</v>
      </c>
      <c r="B977" s="2" t="s">
        <v>4817</v>
      </c>
      <c r="C977" s="52">
        <v>7</v>
      </c>
      <c r="D977" s="52">
        <v>9</v>
      </c>
      <c r="E977" s="52">
        <v>7</v>
      </c>
      <c r="F977" s="52">
        <v>11</v>
      </c>
      <c r="G977" s="52">
        <v>7</v>
      </c>
      <c r="H977" s="52">
        <v>7</v>
      </c>
      <c r="I977" s="52">
        <v>48</v>
      </c>
      <c r="J977" s="105">
        <v>8</v>
      </c>
      <c r="K977" s="52"/>
    </row>
    <row r="978" spans="1:11" ht="15.75" customHeight="1" x14ac:dyDescent="0.25">
      <c r="A978" s="2">
        <v>849</v>
      </c>
      <c r="B978" s="2" t="s">
        <v>4818</v>
      </c>
      <c r="C978" s="52">
        <v>7</v>
      </c>
      <c r="D978" s="52">
        <v>9</v>
      </c>
      <c r="E978" s="52">
        <v>7</v>
      </c>
      <c r="F978" s="52">
        <v>11</v>
      </c>
      <c r="G978" s="52">
        <v>7</v>
      </c>
      <c r="H978" s="52">
        <v>7</v>
      </c>
      <c r="I978" s="52">
        <v>48</v>
      </c>
      <c r="J978" s="105">
        <v>8</v>
      </c>
      <c r="K978" s="52"/>
    </row>
    <row r="979" spans="1:11" ht="15.75" customHeight="1" x14ac:dyDescent="0.25">
      <c r="A979" s="2">
        <v>850</v>
      </c>
      <c r="B979" s="2" t="s">
        <v>4819</v>
      </c>
      <c r="C979" s="52">
        <v>5</v>
      </c>
      <c r="D979" s="52">
        <v>6</v>
      </c>
      <c r="E979" s="52">
        <v>4</v>
      </c>
      <c r="F979" s="52">
        <v>5</v>
      </c>
      <c r="G979" s="52">
        <v>5</v>
      </c>
      <c r="H979" s="52">
        <v>4</v>
      </c>
      <c r="I979" s="52">
        <v>29</v>
      </c>
      <c r="J979" s="105">
        <v>4.833333333333333</v>
      </c>
      <c r="K979" s="52"/>
    </row>
    <row r="980" spans="1:11" ht="15.75" customHeight="1" x14ac:dyDescent="0.25">
      <c r="A980" s="2">
        <v>851</v>
      </c>
      <c r="B980" s="2" t="s">
        <v>4820</v>
      </c>
      <c r="C980" s="52">
        <v>10</v>
      </c>
      <c r="D980" s="52">
        <v>11</v>
      </c>
      <c r="E980" s="52">
        <v>6</v>
      </c>
      <c r="F980" s="52">
        <v>9</v>
      </c>
      <c r="G980" s="52">
        <v>9</v>
      </c>
      <c r="H980" s="52">
        <v>6</v>
      </c>
      <c r="I980" s="52">
        <v>51</v>
      </c>
      <c r="J980" s="105">
        <v>8.5</v>
      </c>
      <c r="K980" s="52"/>
    </row>
    <row r="981" spans="1:11" ht="15.75" customHeight="1" x14ac:dyDescent="0.25">
      <c r="A981" s="2">
        <v>852</v>
      </c>
      <c r="B981" s="2" t="s">
        <v>4821</v>
      </c>
      <c r="C981" s="52">
        <v>5</v>
      </c>
      <c r="D981" s="52">
        <v>6</v>
      </c>
      <c r="E981" s="52">
        <v>6</v>
      </c>
      <c r="F981" s="52">
        <v>5</v>
      </c>
      <c r="G981" s="52">
        <v>5</v>
      </c>
      <c r="H981" s="52">
        <v>3</v>
      </c>
      <c r="I981" s="52">
        <v>30</v>
      </c>
      <c r="J981" s="105">
        <v>5</v>
      </c>
      <c r="K981" s="52"/>
    </row>
    <row r="982" spans="1:11" ht="15.75" customHeight="1" x14ac:dyDescent="0.25">
      <c r="A982" s="2">
        <v>853</v>
      </c>
      <c r="B982" s="2" t="s">
        <v>4822</v>
      </c>
      <c r="C982" s="52">
        <v>8</v>
      </c>
      <c r="D982" s="52">
        <v>11</v>
      </c>
      <c r="E982" s="52">
        <v>9</v>
      </c>
      <c r="F982" s="52">
        <v>7</v>
      </c>
      <c r="G982" s="52">
        <v>8</v>
      </c>
      <c r="H982" s="52">
        <v>4</v>
      </c>
      <c r="I982" s="52">
        <v>47</v>
      </c>
      <c r="J982" s="105">
        <v>7.833333333333333</v>
      </c>
      <c r="K982" s="52"/>
    </row>
    <row r="983" spans="1:11" ht="15.75" customHeight="1" x14ac:dyDescent="0.25">
      <c r="A983" s="2">
        <v>854</v>
      </c>
      <c r="B983" s="2" t="s">
        <v>4823</v>
      </c>
      <c r="C983" s="52">
        <v>4</v>
      </c>
      <c r="D983" s="52">
        <v>4</v>
      </c>
      <c r="E983" s="52">
        <v>4</v>
      </c>
      <c r="F983" s="52">
        <v>7</v>
      </c>
      <c r="G983" s="52">
        <v>5</v>
      </c>
      <c r="H983" s="52">
        <v>5</v>
      </c>
      <c r="I983" s="52">
        <v>29</v>
      </c>
      <c r="J983" s="105">
        <v>4.833333333333333</v>
      </c>
      <c r="K983" s="52"/>
    </row>
    <row r="984" spans="1:11" ht="15.75" customHeight="1" x14ac:dyDescent="0.25">
      <c r="A984" s="2">
        <v>855</v>
      </c>
      <c r="B984" s="2" t="s">
        <v>4824</v>
      </c>
      <c r="C984" s="52">
        <v>6</v>
      </c>
      <c r="D984" s="52">
        <v>6</v>
      </c>
      <c r="E984" s="52">
        <v>6</v>
      </c>
      <c r="F984" s="52">
        <v>13</v>
      </c>
      <c r="G984" s="52">
        <v>11</v>
      </c>
      <c r="H984" s="52">
        <v>7</v>
      </c>
      <c r="I984" s="52">
        <v>49</v>
      </c>
      <c r="J984" s="105">
        <v>8.1666666666666661</v>
      </c>
      <c r="K984" s="52"/>
    </row>
    <row r="985" spans="1:11" ht="15.75" customHeight="1" x14ac:dyDescent="0.25">
      <c r="A985" s="2">
        <v>856</v>
      </c>
      <c r="B985" s="2" t="s">
        <v>4825</v>
      </c>
      <c r="C985" s="52">
        <v>4</v>
      </c>
      <c r="D985" s="52">
        <v>3</v>
      </c>
      <c r="E985" s="52">
        <v>4</v>
      </c>
      <c r="F985" s="52">
        <v>5</v>
      </c>
      <c r="G985" s="52">
        <v>5</v>
      </c>
      <c r="H985" s="52">
        <v>3</v>
      </c>
      <c r="I985" s="52">
        <v>24</v>
      </c>
      <c r="J985" s="105">
        <v>4</v>
      </c>
      <c r="K985" s="52"/>
    </row>
    <row r="986" spans="1:11" ht="15.75" customHeight="1" x14ac:dyDescent="0.25">
      <c r="A986" s="2">
        <v>857</v>
      </c>
      <c r="B986" s="2" t="s">
        <v>4826</v>
      </c>
      <c r="C986" s="52">
        <v>5</v>
      </c>
      <c r="D986" s="52">
        <v>4</v>
      </c>
      <c r="E986" s="52">
        <v>6</v>
      </c>
      <c r="F986" s="52">
        <v>8</v>
      </c>
      <c r="G986" s="52">
        <v>7</v>
      </c>
      <c r="H986" s="52">
        <v>4</v>
      </c>
      <c r="I986" s="52">
        <v>34</v>
      </c>
      <c r="J986" s="105">
        <v>5.666666666666667</v>
      </c>
      <c r="K986" s="52"/>
    </row>
    <row r="987" spans="1:11" ht="15.75" customHeight="1" x14ac:dyDescent="0.25">
      <c r="A987" s="2">
        <v>858</v>
      </c>
      <c r="B987" s="2" t="s">
        <v>4827</v>
      </c>
      <c r="C987" s="52">
        <v>5</v>
      </c>
      <c r="D987" s="52">
        <v>9</v>
      </c>
      <c r="E987" s="52">
        <v>9</v>
      </c>
      <c r="F987" s="52">
        <v>13</v>
      </c>
      <c r="G987" s="52">
        <v>10</v>
      </c>
      <c r="H987" s="52">
        <v>2</v>
      </c>
      <c r="I987" s="52">
        <v>48</v>
      </c>
      <c r="J987" s="105">
        <v>8</v>
      </c>
      <c r="K987" s="52"/>
    </row>
    <row r="988" spans="1:11" ht="15.75" customHeight="1" x14ac:dyDescent="0.25">
      <c r="A988" s="2">
        <v>859</v>
      </c>
      <c r="B988" s="2" t="s">
        <v>4828</v>
      </c>
      <c r="C988" s="52">
        <v>4</v>
      </c>
      <c r="D988" s="52">
        <v>4</v>
      </c>
      <c r="E988" s="52">
        <v>3</v>
      </c>
      <c r="F988" s="52">
        <v>5</v>
      </c>
      <c r="G988" s="52">
        <v>4</v>
      </c>
      <c r="H988" s="52">
        <v>5</v>
      </c>
      <c r="I988" s="52">
        <v>25</v>
      </c>
      <c r="J988" s="105">
        <v>4.166666666666667</v>
      </c>
      <c r="K988" s="52"/>
    </row>
    <row r="989" spans="1:11" ht="15.75" customHeight="1" x14ac:dyDescent="0.25">
      <c r="A989" s="2">
        <v>860</v>
      </c>
      <c r="B989" s="2" t="s">
        <v>4829</v>
      </c>
      <c r="C989" s="52">
        <v>6</v>
      </c>
      <c r="D989" s="52">
        <v>6</v>
      </c>
      <c r="E989" s="52">
        <v>4</v>
      </c>
      <c r="F989" s="52">
        <v>7</v>
      </c>
      <c r="G989" s="52">
        <v>5</v>
      </c>
      <c r="H989" s="52">
        <v>7</v>
      </c>
      <c r="I989" s="52">
        <v>35</v>
      </c>
      <c r="J989" s="105">
        <v>5.833333333333333</v>
      </c>
      <c r="K989" s="52"/>
    </row>
    <row r="990" spans="1:11" ht="15.75" customHeight="1" x14ac:dyDescent="0.25">
      <c r="A990" s="2">
        <v>861</v>
      </c>
      <c r="B990" s="2" t="s">
        <v>4830</v>
      </c>
      <c r="C990" s="52">
        <v>9</v>
      </c>
      <c r="D990" s="52">
        <v>12</v>
      </c>
      <c r="E990" s="52">
        <v>6</v>
      </c>
      <c r="F990" s="52">
        <v>9</v>
      </c>
      <c r="G990" s="52">
        <v>7</v>
      </c>
      <c r="H990" s="52">
        <v>6</v>
      </c>
      <c r="I990" s="52">
        <v>49</v>
      </c>
      <c r="J990" s="105">
        <v>8.1666666666666661</v>
      </c>
      <c r="K990" s="52"/>
    </row>
    <row r="991" spans="1:11" ht="15.75" customHeight="1" x14ac:dyDescent="0.25">
      <c r="A991" s="2">
        <v>862</v>
      </c>
      <c r="B991" s="2" t="s">
        <v>4831</v>
      </c>
      <c r="C991" s="52">
        <v>9</v>
      </c>
      <c r="D991" s="52">
        <v>9</v>
      </c>
      <c r="E991" s="52">
        <v>10</v>
      </c>
      <c r="F991" s="52">
        <v>6</v>
      </c>
      <c r="G991" s="52">
        <v>8</v>
      </c>
      <c r="H991" s="52">
        <v>9</v>
      </c>
      <c r="I991" s="52">
        <v>51</v>
      </c>
      <c r="J991" s="105">
        <v>8.5</v>
      </c>
      <c r="K991" s="52"/>
    </row>
    <row r="992" spans="1:11" ht="15.75" customHeight="1" x14ac:dyDescent="0.25">
      <c r="A992" s="2">
        <v>863</v>
      </c>
      <c r="B992" s="2" t="s">
        <v>4832</v>
      </c>
      <c r="C992" s="52">
        <v>7</v>
      </c>
      <c r="D992" s="52">
        <v>11</v>
      </c>
      <c r="E992" s="52">
        <v>10</v>
      </c>
      <c r="F992" s="52">
        <v>5</v>
      </c>
      <c r="G992" s="52">
        <v>6</v>
      </c>
      <c r="H992" s="52">
        <v>5</v>
      </c>
      <c r="I992" s="52">
        <v>44</v>
      </c>
      <c r="J992" s="105">
        <v>7.333333333333333</v>
      </c>
      <c r="K992" s="52"/>
    </row>
    <row r="993" spans="1:11" ht="15.75" customHeight="1" x14ac:dyDescent="0.25">
      <c r="A993" s="2">
        <v>864</v>
      </c>
      <c r="B993" s="2" t="s">
        <v>4833</v>
      </c>
      <c r="C993" s="52">
        <v>6</v>
      </c>
      <c r="D993" s="52">
        <v>9</v>
      </c>
      <c r="E993" s="52">
        <v>5</v>
      </c>
      <c r="F993" s="52">
        <v>14</v>
      </c>
      <c r="G993" s="52">
        <v>13</v>
      </c>
      <c r="H993" s="52">
        <v>3</v>
      </c>
      <c r="I993" s="52">
        <v>50</v>
      </c>
      <c r="J993" s="105">
        <v>8.3333333333333339</v>
      </c>
      <c r="K993" s="52"/>
    </row>
    <row r="994" spans="1:11" ht="15.75" customHeight="1" x14ac:dyDescent="0.25">
      <c r="A994" s="2">
        <v>865</v>
      </c>
      <c r="B994" s="2" t="s">
        <v>4834</v>
      </c>
      <c r="C994" s="52">
        <v>6</v>
      </c>
      <c r="D994" s="52">
        <v>13</v>
      </c>
      <c r="E994" s="52">
        <v>9</v>
      </c>
      <c r="F994" s="52">
        <v>6</v>
      </c>
      <c r="G994" s="52">
        <v>8</v>
      </c>
      <c r="H994" s="52">
        <v>6</v>
      </c>
      <c r="I994" s="52">
        <v>48</v>
      </c>
      <c r="J994" s="105">
        <v>8</v>
      </c>
      <c r="K994" s="52"/>
    </row>
    <row r="995" spans="1:11" ht="15.75" customHeight="1" x14ac:dyDescent="0.25">
      <c r="A995" s="2">
        <v>866</v>
      </c>
      <c r="B995" s="2" t="s">
        <v>4835</v>
      </c>
      <c r="C995" s="52">
        <v>8</v>
      </c>
      <c r="D995" s="52">
        <v>8</v>
      </c>
      <c r="E995" s="52">
        <v>7</v>
      </c>
      <c r="F995" s="52">
        <v>11</v>
      </c>
      <c r="G995" s="52">
        <v>10</v>
      </c>
      <c r="H995" s="52">
        <v>7</v>
      </c>
      <c r="I995" s="52">
        <v>51</v>
      </c>
      <c r="J995" s="105">
        <v>8.5</v>
      </c>
      <c r="K995" s="52"/>
    </row>
    <row r="996" spans="1:11" ht="15.75" customHeight="1" x14ac:dyDescent="0.25">
      <c r="A996" s="2">
        <v>867</v>
      </c>
      <c r="B996" s="2" t="s">
        <v>4836</v>
      </c>
      <c r="C996" s="52">
        <v>5</v>
      </c>
      <c r="D996" s="52">
        <v>9</v>
      </c>
      <c r="E996" s="52">
        <v>14</v>
      </c>
      <c r="F996" s="52">
        <v>5</v>
      </c>
      <c r="G996" s="52">
        <v>10</v>
      </c>
      <c r="H996" s="52">
        <v>3</v>
      </c>
      <c r="I996" s="52">
        <v>46</v>
      </c>
      <c r="J996" s="105">
        <v>7.666666666666667</v>
      </c>
      <c r="K996" s="52"/>
    </row>
    <row r="997" spans="1:11" ht="15.75" customHeight="1" x14ac:dyDescent="0.25">
      <c r="A997" s="2">
        <v>868</v>
      </c>
      <c r="B997" s="2" t="s">
        <v>4837</v>
      </c>
      <c r="C997" s="52">
        <v>4</v>
      </c>
      <c r="D997" s="52">
        <v>4</v>
      </c>
      <c r="E997" s="52">
        <v>4</v>
      </c>
      <c r="F997" s="52">
        <v>5</v>
      </c>
      <c r="G997" s="52">
        <v>6</v>
      </c>
      <c r="H997" s="52">
        <v>3</v>
      </c>
      <c r="I997" s="52">
        <v>26</v>
      </c>
      <c r="J997" s="105">
        <v>4.333333333333333</v>
      </c>
      <c r="K997" s="52"/>
    </row>
    <row r="998" spans="1:11" ht="15.75" customHeight="1" x14ac:dyDescent="0.25">
      <c r="A998" s="2">
        <v>869</v>
      </c>
      <c r="B998" s="2" t="s">
        <v>4838</v>
      </c>
      <c r="C998" s="52">
        <v>6</v>
      </c>
      <c r="D998" s="52">
        <v>6</v>
      </c>
      <c r="E998" s="52">
        <v>7</v>
      </c>
      <c r="F998" s="52">
        <v>11</v>
      </c>
      <c r="G998" s="52">
        <v>12</v>
      </c>
      <c r="H998" s="52">
        <v>6</v>
      </c>
      <c r="I998" s="52">
        <v>48</v>
      </c>
      <c r="J998" s="105">
        <v>8</v>
      </c>
      <c r="K998" s="52"/>
    </row>
    <row r="999" spans="1:11" ht="15.75" customHeight="1" x14ac:dyDescent="0.25">
      <c r="A999" s="2">
        <v>870</v>
      </c>
      <c r="B999" s="2" t="s">
        <v>4839</v>
      </c>
      <c r="C999" s="52">
        <v>6</v>
      </c>
      <c r="D999" s="52">
        <v>10</v>
      </c>
      <c r="E999" s="52">
        <v>10</v>
      </c>
      <c r="F999" s="52">
        <v>7</v>
      </c>
      <c r="G999" s="52">
        <v>6</v>
      </c>
      <c r="H999" s="52">
        <v>7</v>
      </c>
      <c r="I999" s="52">
        <v>46</v>
      </c>
      <c r="J999" s="105">
        <v>7.666666666666667</v>
      </c>
      <c r="K999" s="52"/>
    </row>
    <row r="1000" spans="1:11" ht="15.75" customHeight="1" x14ac:dyDescent="0.25">
      <c r="A1000" s="2">
        <v>871</v>
      </c>
      <c r="B1000" s="2" t="s">
        <v>4840</v>
      </c>
      <c r="C1000" s="52">
        <v>4</v>
      </c>
      <c r="D1000" s="52">
        <v>10</v>
      </c>
      <c r="E1000" s="52">
        <v>9</v>
      </c>
      <c r="F1000" s="52">
        <v>9</v>
      </c>
      <c r="G1000" s="52">
        <v>8</v>
      </c>
      <c r="H1000" s="52">
        <v>1</v>
      </c>
      <c r="I1000" s="52">
        <v>41</v>
      </c>
      <c r="J1000" s="105">
        <v>6.833333333333333</v>
      </c>
      <c r="K1000" s="52"/>
    </row>
    <row r="1001" spans="1:11" ht="15.75" customHeight="1" x14ac:dyDescent="0.25">
      <c r="A1001" s="2">
        <v>872</v>
      </c>
      <c r="B1001" s="2" t="s">
        <v>4841</v>
      </c>
      <c r="C1001" s="52">
        <v>3</v>
      </c>
      <c r="D1001" s="52">
        <v>2</v>
      </c>
      <c r="E1001" s="52">
        <v>3</v>
      </c>
      <c r="F1001" s="52">
        <v>4</v>
      </c>
      <c r="G1001" s="52">
        <v>3</v>
      </c>
      <c r="H1001" s="52">
        <v>2</v>
      </c>
      <c r="I1001" s="52">
        <v>17</v>
      </c>
      <c r="J1001" s="105">
        <v>2.8333333333333335</v>
      </c>
      <c r="K1001" s="52"/>
    </row>
    <row r="1002" spans="1:11" ht="15.75" customHeight="1" x14ac:dyDescent="0.25">
      <c r="A1002" s="2">
        <v>873</v>
      </c>
      <c r="B1002" s="2" t="s">
        <v>4842</v>
      </c>
      <c r="C1002" s="52">
        <v>7</v>
      </c>
      <c r="D1002" s="52">
        <v>6</v>
      </c>
      <c r="E1002" s="52">
        <v>6</v>
      </c>
      <c r="F1002" s="52">
        <v>12</v>
      </c>
      <c r="G1002" s="52">
        <v>9</v>
      </c>
      <c r="H1002" s="52">
        <v>6</v>
      </c>
      <c r="I1002" s="52">
        <v>46</v>
      </c>
      <c r="J1002" s="105">
        <v>7.666666666666667</v>
      </c>
      <c r="K1002" s="52"/>
    </row>
    <row r="1003" spans="1:11" ht="15.75" customHeight="1" x14ac:dyDescent="0.25">
      <c r="A1003" s="2">
        <v>874</v>
      </c>
      <c r="B1003" s="2" t="s">
        <v>4843</v>
      </c>
      <c r="C1003" s="52">
        <v>10</v>
      </c>
      <c r="D1003" s="52">
        <v>12</v>
      </c>
      <c r="E1003" s="52">
        <v>13</v>
      </c>
      <c r="F1003" s="52">
        <v>2</v>
      </c>
      <c r="G1003" s="52">
        <v>2</v>
      </c>
      <c r="H1003" s="52">
        <v>7</v>
      </c>
      <c r="I1003" s="52">
        <v>46</v>
      </c>
      <c r="J1003" s="105">
        <v>7.666666666666667</v>
      </c>
      <c r="K1003" s="52"/>
    </row>
    <row r="1004" spans="1:11" ht="15.75" customHeight="1" x14ac:dyDescent="0.25">
      <c r="A1004" s="2">
        <v>875</v>
      </c>
      <c r="B1004" s="2" t="s">
        <v>4844</v>
      </c>
      <c r="C1004" s="52">
        <v>7</v>
      </c>
      <c r="D1004" s="52">
        <v>8</v>
      </c>
      <c r="E1004" s="52">
        <v>11</v>
      </c>
      <c r="F1004" s="52">
        <v>6</v>
      </c>
      <c r="G1004" s="52">
        <v>9</v>
      </c>
      <c r="H1004" s="52">
        <v>5</v>
      </c>
      <c r="I1004" s="52">
        <v>46</v>
      </c>
      <c r="J1004" s="105">
        <v>7.666666666666667</v>
      </c>
      <c r="K1004" s="52"/>
    </row>
    <row r="1005" spans="1:11" ht="15.75" customHeight="1" x14ac:dyDescent="0.25">
      <c r="A1005" s="2">
        <v>875</v>
      </c>
      <c r="B1005" s="2" t="s">
        <v>4845</v>
      </c>
      <c r="C1005" s="52">
        <v>7</v>
      </c>
      <c r="D1005" s="52">
        <v>8</v>
      </c>
      <c r="E1005" s="52">
        <v>7</v>
      </c>
      <c r="F1005" s="52">
        <v>6</v>
      </c>
      <c r="G1005" s="52">
        <v>5</v>
      </c>
      <c r="H1005" s="52">
        <v>13</v>
      </c>
      <c r="I1005" s="52">
        <v>46</v>
      </c>
      <c r="J1005" s="105">
        <v>7.666666666666667</v>
      </c>
      <c r="K1005" s="52"/>
    </row>
    <row r="1006" spans="1:11" ht="15.75" customHeight="1" x14ac:dyDescent="0.25">
      <c r="A1006" s="2">
        <v>876</v>
      </c>
      <c r="B1006" s="2" t="s">
        <v>4846</v>
      </c>
      <c r="C1006" s="52">
        <v>6</v>
      </c>
      <c r="D1006" s="52">
        <v>6</v>
      </c>
      <c r="E1006" s="52">
        <v>5</v>
      </c>
      <c r="F1006" s="52">
        <v>10</v>
      </c>
      <c r="G1006" s="52">
        <v>9</v>
      </c>
      <c r="H1006" s="52">
        <v>9</v>
      </c>
      <c r="I1006" s="52">
        <v>45</v>
      </c>
      <c r="J1006" s="105">
        <v>7.5</v>
      </c>
      <c r="K1006" s="52"/>
    </row>
    <row r="1007" spans="1:11" ht="15.75" customHeight="1" x14ac:dyDescent="0.25">
      <c r="A1007" s="2">
        <v>876</v>
      </c>
      <c r="B1007" s="2" t="s">
        <v>4847</v>
      </c>
      <c r="C1007" s="52">
        <v>7</v>
      </c>
      <c r="D1007" s="52">
        <v>5</v>
      </c>
      <c r="E1007" s="52">
        <v>6</v>
      </c>
      <c r="F1007" s="52">
        <v>9</v>
      </c>
      <c r="G1007" s="52">
        <v>10</v>
      </c>
      <c r="H1007" s="52">
        <v>8</v>
      </c>
      <c r="I1007" s="52">
        <v>45</v>
      </c>
      <c r="J1007" s="105">
        <v>7.5</v>
      </c>
      <c r="K1007" s="52"/>
    </row>
    <row r="1008" spans="1:11" ht="15.75" customHeight="1" x14ac:dyDescent="0.25">
      <c r="A1008" s="2">
        <v>877</v>
      </c>
      <c r="B1008" s="2" t="s">
        <v>4848</v>
      </c>
      <c r="C1008" s="52">
        <v>5</v>
      </c>
      <c r="D1008" s="52">
        <v>9</v>
      </c>
      <c r="E1008" s="52">
        <v>5</v>
      </c>
      <c r="F1008" s="52">
        <v>7</v>
      </c>
      <c r="G1008" s="52">
        <v>5</v>
      </c>
      <c r="H1008" s="52">
        <v>9</v>
      </c>
      <c r="I1008" s="52">
        <v>40</v>
      </c>
      <c r="J1008" s="105">
        <v>6.666666666666667</v>
      </c>
      <c r="K1008" s="52"/>
    </row>
    <row r="1009" spans="1:11" ht="15.75" customHeight="1" x14ac:dyDescent="0.25">
      <c r="A1009" s="2">
        <v>878</v>
      </c>
      <c r="B1009" s="2" t="s">
        <v>4849</v>
      </c>
      <c r="C1009" s="52">
        <v>7</v>
      </c>
      <c r="D1009" s="52">
        <v>8</v>
      </c>
      <c r="E1009" s="52">
        <v>4</v>
      </c>
      <c r="F1009" s="52">
        <v>4</v>
      </c>
      <c r="G1009" s="52">
        <v>4</v>
      </c>
      <c r="H1009" s="52">
        <v>4</v>
      </c>
      <c r="I1009" s="52">
        <v>31</v>
      </c>
      <c r="J1009" s="105">
        <v>5.166666666666667</v>
      </c>
      <c r="K1009" s="52"/>
    </row>
    <row r="1010" spans="1:11" ht="15.75" customHeight="1" x14ac:dyDescent="0.25">
      <c r="A1010" s="2">
        <v>879</v>
      </c>
      <c r="B1010" s="2" t="s">
        <v>4850</v>
      </c>
      <c r="C1010" s="52">
        <v>12</v>
      </c>
      <c r="D1010" s="52">
        <v>13</v>
      </c>
      <c r="E1010" s="52">
        <v>6</v>
      </c>
      <c r="F1010" s="52">
        <v>8</v>
      </c>
      <c r="G1010" s="52">
        <v>6</v>
      </c>
      <c r="H1010" s="52">
        <v>3</v>
      </c>
      <c r="I1010" s="52">
        <v>48</v>
      </c>
      <c r="J1010" s="105">
        <v>8</v>
      </c>
      <c r="K1010" s="52"/>
    </row>
    <row r="1011" spans="1:11" ht="15.75" customHeight="1" x14ac:dyDescent="0.25">
      <c r="A1011" s="2">
        <v>880</v>
      </c>
      <c r="B1011" s="2" t="s">
        <v>4851</v>
      </c>
      <c r="C1011" s="52">
        <v>9</v>
      </c>
      <c r="D1011" s="52">
        <v>10</v>
      </c>
      <c r="E1011" s="52">
        <v>9</v>
      </c>
      <c r="F1011" s="52">
        <v>8</v>
      </c>
      <c r="G1011" s="52">
        <v>7</v>
      </c>
      <c r="H1011" s="52">
        <v>7</v>
      </c>
      <c r="I1011" s="52">
        <v>50</v>
      </c>
      <c r="J1011" s="105">
        <v>8.3333333333333339</v>
      </c>
      <c r="K1011" s="52"/>
    </row>
    <row r="1012" spans="1:11" ht="15.75" customHeight="1" x14ac:dyDescent="0.25">
      <c r="A1012" s="2">
        <v>881</v>
      </c>
      <c r="B1012" s="2" t="s">
        <v>4852</v>
      </c>
      <c r="C1012" s="52">
        <v>9</v>
      </c>
      <c r="D1012" s="52">
        <v>10</v>
      </c>
      <c r="E1012" s="52">
        <v>9</v>
      </c>
      <c r="F1012" s="52">
        <v>9</v>
      </c>
      <c r="G1012" s="52">
        <v>8</v>
      </c>
      <c r="H1012" s="52">
        <v>5</v>
      </c>
      <c r="I1012" s="52">
        <v>50</v>
      </c>
      <c r="J1012" s="105">
        <v>8.3333333333333339</v>
      </c>
      <c r="K1012" s="52"/>
    </row>
    <row r="1013" spans="1:11" ht="15.75" customHeight="1" x14ac:dyDescent="0.25">
      <c r="A1013" s="2">
        <v>882</v>
      </c>
      <c r="B1013" s="2" t="s">
        <v>4853</v>
      </c>
      <c r="C1013" s="52">
        <v>9</v>
      </c>
      <c r="D1013" s="52">
        <v>9</v>
      </c>
      <c r="E1013" s="52">
        <v>10</v>
      </c>
      <c r="F1013" s="52">
        <v>7</v>
      </c>
      <c r="G1013" s="52">
        <v>8</v>
      </c>
      <c r="H1013" s="52">
        <v>7</v>
      </c>
      <c r="I1013" s="52">
        <v>50</v>
      </c>
      <c r="J1013" s="105">
        <v>8.3333333333333339</v>
      </c>
      <c r="K1013" s="52"/>
    </row>
    <row r="1014" spans="1:11" ht="15.75" customHeight="1" x14ac:dyDescent="0.25">
      <c r="A1014" s="2">
        <v>883</v>
      </c>
      <c r="B1014" s="2" t="s">
        <v>4854</v>
      </c>
      <c r="C1014" s="52">
        <v>9</v>
      </c>
      <c r="D1014" s="52">
        <v>9</v>
      </c>
      <c r="E1014" s="52">
        <v>10</v>
      </c>
      <c r="F1014" s="52">
        <v>8</v>
      </c>
      <c r="G1014" s="52">
        <v>9</v>
      </c>
      <c r="H1014" s="52">
        <v>5</v>
      </c>
      <c r="I1014" s="52">
        <v>50</v>
      </c>
      <c r="J1014" s="105">
        <v>8.3333333333333339</v>
      </c>
      <c r="K1014" s="52"/>
    </row>
    <row r="1015" spans="1:11" ht="15.75" customHeight="1" x14ac:dyDescent="0.25">
      <c r="A1015" s="2">
        <v>884</v>
      </c>
      <c r="B1015" s="2" t="s">
        <v>4855</v>
      </c>
      <c r="C1015" s="52">
        <v>7</v>
      </c>
      <c r="D1015" s="52">
        <v>9</v>
      </c>
      <c r="E1015" s="52">
        <v>11</v>
      </c>
      <c r="F1015" s="52">
        <v>12</v>
      </c>
      <c r="G1015" s="52">
        <v>5</v>
      </c>
      <c r="H1015" s="52">
        <v>8</v>
      </c>
      <c r="I1015" s="52">
        <v>52</v>
      </c>
      <c r="J1015" s="105">
        <v>8.6666666666666661</v>
      </c>
      <c r="K1015" s="52"/>
    </row>
    <row r="1016" spans="1:11" ht="15.75" customHeight="1" x14ac:dyDescent="0.25">
      <c r="A1016" s="2">
        <v>885</v>
      </c>
      <c r="B1016" s="2" t="s">
        <v>4856</v>
      </c>
      <c r="C1016" s="52">
        <v>2</v>
      </c>
      <c r="D1016" s="52">
        <v>6</v>
      </c>
      <c r="E1016" s="52">
        <v>3</v>
      </c>
      <c r="F1016" s="52">
        <v>4</v>
      </c>
      <c r="G1016" s="52">
        <v>3</v>
      </c>
      <c r="H1016" s="52">
        <v>8</v>
      </c>
      <c r="I1016" s="52">
        <v>26</v>
      </c>
      <c r="J1016" s="105">
        <v>4.333333333333333</v>
      </c>
      <c r="K1016" s="52"/>
    </row>
    <row r="1017" spans="1:11" ht="15.75" customHeight="1" x14ac:dyDescent="0.25">
      <c r="A1017" s="2">
        <v>886</v>
      </c>
      <c r="B1017" s="2" t="s">
        <v>4857</v>
      </c>
      <c r="C1017" s="52">
        <v>6</v>
      </c>
      <c r="D1017" s="52">
        <v>8</v>
      </c>
      <c r="E1017" s="52">
        <v>5</v>
      </c>
      <c r="F1017" s="52">
        <v>6</v>
      </c>
      <c r="G1017" s="52">
        <v>5</v>
      </c>
      <c r="H1017" s="52">
        <v>10</v>
      </c>
      <c r="I1017" s="52">
        <v>40</v>
      </c>
      <c r="J1017" s="105">
        <v>6.666666666666667</v>
      </c>
      <c r="K1017" s="52"/>
    </row>
    <row r="1018" spans="1:11" ht="15.75" customHeight="1" x14ac:dyDescent="0.25">
      <c r="A1018" s="2">
        <v>887</v>
      </c>
      <c r="B1018" s="2" t="s">
        <v>4858</v>
      </c>
      <c r="C1018" s="52">
        <v>8</v>
      </c>
      <c r="D1018" s="52">
        <v>12</v>
      </c>
      <c r="E1018" s="52">
        <v>7</v>
      </c>
      <c r="F1018" s="52">
        <v>10</v>
      </c>
      <c r="G1018" s="52">
        <v>7</v>
      </c>
      <c r="H1018" s="52">
        <v>14</v>
      </c>
      <c r="I1018" s="52">
        <v>58</v>
      </c>
      <c r="J1018" s="105">
        <v>9.6666666666666661</v>
      </c>
      <c r="K1018" s="52"/>
    </row>
    <row r="1019" spans="1:11" ht="15.75" customHeight="1" x14ac:dyDescent="0.25">
      <c r="A1019" s="2">
        <v>888</v>
      </c>
      <c r="B1019" s="2" t="s">
        <v>4859</v>
      </c>
      <c r="C1019" s="52">
        <v>9</v>
      </c>
      <c r="D1019" s="52">
        <v>13</v>
      </c>
      <c r="E1019" s="52">
        <v>11</v>
      </c>
      <c r="F1019" s="52">
        <v>8</v>
      </c>
      <c r="G1019" s="52">
        <v>11</v>
      </c>
      <c r="H1019" s="52">
        <v>13</v>
      </c>
      <c r="I1019" s="52">
        <v>65</v>
      </c>
      <c r="J1019" s="105">
        <v>10.833333333333334</v>
      </c>
      <c r="K1019" s="52"/>
    </row>
    <row r="1020" spans="1:11" ht="15.75" customHeight="1" x14ac:dyDescent="0.25">
      <c r="A1020" s="2">
        <v>888</v>
      </c>
      <c r="B1020" s="2" t="s">
        <v>4860</v>
      </c>
      <c r="C1020" s="52">
        <v>9</v>
      </c>
      <c r="D1020" s="52">
        <v>17</v>
      </c>
      <c r="E1020" s="52">
        <v>11</v>
      </c>
      <c r="F1020" s="52">
        <v>8</v>
      </c>
      <c r="G1020" s="52">
        <v>11</v>
      </c>
      <c r="H1020" s="52">
        <v>14</v>
      </c>
      <c r="I1020" s="52">
        <v>70</v>
      </c>
      <c r="J1020" s="105">
        <v>11.666666666666666</v>
      </c>
      <c r="K1020" s="52"/>
    </row>
    <row r="1021" spans="1:11" ht="15.75" customHeight="1" x14ac:dyDescent="0.25">
      <c r="A1021" s="2">
        <v>889</v>
      </c>
      <c r="B1021" s="2" t="s">
        <v>4861</v>
      </c>
      <c r="C1021" s="52">
        <v>9</v>
      </c>
      <c r="D1021" s="52">
        <v>13</v>
      </c>
      <c r="E1021" s="52">
        <v>11</v>
      </c>
      <c r="F1021" s="52">
        <v>8</v>
      </c>
      <c r="G1021" s="52">
        <v>11</v>
      </c>
      <c r="H1021" s="52">
        <v>13</v>
      </c>
      <c r="I1021" s="52">
        <v>65</v>
      </c>
      <c r="J1021" s="105">
        <v>10.833333333333334</v>
      </c>
      <c r="K1021" s="52"/>
    </row>
    <row r="1022" spans="1:11" ht="15.75" customHeight="1" x14ac:dyDescent="0.25">
      <c r="A1022" s="2">
        <v>889</v>
      </c>
      <c r="B1022" s="2" t="s">
        <v>4862</v>
      </c>
      <c r="C1022" s="52">
        <v>9</v>
      </c>
      <c r="D1022" s="52">
        <v>13</v>
      </c>
      <c r="E1022" s="52">
        <v>14</v>
      </c>
      <c r="F1022" s="52">
        <v>8</v>
      </c>
      <c r="G1022" s="52">
        <v>14</v>
      </c>
      <c r="H1022" s="52">
        <v>12</v>
      </c>
      <c r="I1022" s="52">
        <v>70</v>
      </c>
      <c r="J1022" s="105">
        <v>11.666666666666666</v>
      </c>
      <c r="K1022" s="52"/>
    </row>
    <row r="1023" spans="1:11" ht="15.75" customHeight="1" x14ac:dyDescent="0.25">
      <c r="A1023" s="2">
        <v>890</v>
      </c>
      <c r="B1023" s="2" t="s">
        <v>4863</v>
      </c>
      <c r="C1023" s="52">
        <v>14</v>
      </c>
      <c r="D1023" s="52">
        <v>8</v>
      </c>
      <c r="E1023" s="52">
        <v>9</v>
      </c>
      <c r="F1023" s="52">
        <v>14</v>
      </c>
      <c r="G1023" s="52">
        <v>9</v>
      </c>
      <c r="H1023" s="52">
        <v>13</v>
      </c>
      <c r="I1023" s="52">
        <v>67</v>
      </c>
      <c r="J1023" s="105">
        <v>11.166666666666666</v>
      </c>
      <c r="K1023" s="52"/>
    </row>
    <row r="1024" spans="1:11" ht="15.75" customHeight="1" x14ac:dyDescent="0.25">
      <c r="A1024" s="2">
        <v>890</v>
      </c>
      <c r="B1024" s="2" t="s">
        <v>4864</v>
      </c>
      <c r="C1024" s="52">
        <v>25</v>
      </c>
      <c r="D1024" s="52">
        <v>11</v>
      </c>
      <c r="E1024" s="52">
        <v>25</v>
      </c>
      <c r="F1024" s="52">
        <v>12</v>
      </c>
      <c r="G1024" s="52">
        <v>25</v>
      </c>
      <c r="H1024" s="52">
        <v>13</v>
      </c>
      <c r="I1024" s="52">
        <v>111</v>
      </c>
      <c r="J1024" s="105">
        <v>18.5</v>
      </c>
      <c r="K1024" s="52"/>
    </row>
    <row r="1025" spans="1:11" ht="15.75" customHeight="1" x14ac:dyDescent="0.25">
      <c r="A1025" s="2">
        <v>891</v>
      </c>
      <c r="B1025" s="2" t="s">
        <v>4865</v>
      </c>
      <c r="C1025" s="52">
        <v>6</v>
      </c>
      <c r="D1025" s="52">
        <v>9</v>
      </c>
      <c r="E1025" s="52">
        <v>6</v>
      </c>
      <c r="F1025" s="52">
        <v>5</v>
      </c>
      <c r="G1025" s="52">
        <v>5</v>
      </c>
      <c r="H1025" s="52">
        <v>7</v>
      </c>
      <c r="I1025" s="52">
        <v>38</v>
      </c>
      <c r="J1025" s="105">
        <v>6.333333333333333</v>
      </c>
      <c r="K1025" s="52"/>
    </row>
    <row r="1026" spans="1:11" ht="15.75" customHeight="1" x14ac:dyDescent="0.25">
      <c r="A1026" s="2">
        <v>892</v>
      </c>
      <c r="B1026" s="2" t="s">
        <v>4866</v>
      </c>
      <c r="C1026" s="52">
        <v>10</v>
      </c>
      <c r="D1026" s="52">
        <v>13</v>
      </c>
      <c r="E1026" s="52">
        <v>10</v>
      </c>
      <c r="F1026" s="52">
        <v>6</v>
      </c>
      <c r="G1026" s="52">
        <v>6</v>
      </c>
      <c r="H1026" s="52">
        <v>9</v>
      </c>
      <c r="I1026" s="52">
        <v>54</v>
      </c>
      <c r="J1026" s="105">
        <v>9</v>
      </c>
      <c r="K1026" s="52"/>
    </row>
    <row r="1027" spans="1:11" ht="15.75" customHeight="1" x14ac:dyDescent="0.25">
      <c r="A1027" s="2">
        <v>892</v>
      </c>
      <c r="B1027" s="2" t="s">
        <v>4867</v>
      </c>
      <c r="C1027" s="52">
        <v>10</v>
      </c>
      <c r="D1027" s="52">
        <v>13</v>
      </c>
      <c r="E1027" s="52">
        <v>10</v>
      </c>
      <c r="F1027" s="52">
        <v>6</v>
      </c>
      <c r="G1027" s="52">
        <v>6</v>
      </c>
      <c r="H1027" s="52">
        <v>9</v>
      </c>
      <c r="I1027" s="52">
        <v>54</v>
      </c>
      <c r="J1027" s="105">
        <v>9</v>
      </c>
      <c r="K1027" s="52"/>
    </row>
    <row r="1028" spans="1:11" ht="15.75" customHeight="1" x14ac:dyDescent="0.25">
      <c r="A1028" s="2">
        <v>893</v>
      </c>
      <c r="B1028" s="2" t="s">
        <v>4868</v>
      </c>
      <c r="C1028" s="52">
        <v>10</v>
      </c>
      <c r="D1028" s="52">
        <v>12</v>
      </c>
      <c r="E1028" s="52">
        <v>10</v>
      </c>
      <c r="F1028" s="52">
        <v>7</v>
      </c>
      <c r="G1028" s="52">
        <v>9</v>
      </c>
      <c r="H1028" s="52">
        <v>10</v>
      </c>
      <c r="I1028" s="52">
        <v>58</v>
      </c>
      <c r="J1028" s="105">
        <v>9.6666666666666661</v>
      </c>
      <c r="K1028" s="52"/>
    </row>
    <row r="1029" spans="1:11" ht="15.75" customHeight="1" x14ac:dyDescent="0.25">
      <c r="A1029" s="2">
        <v>894</v>
      </c>
      <c r="B1029" s="2" t="s">
        <v>4869</v>
      </c>
      <c r="C1029" s="52">
        <v>8</v>
      </c>
      <c r="D1029" s="52">
        <v>10</v>
      </c>
      <c r="E1029" s="52">
        <v>5</v>
      </c>
      <c r="F1029" s="52">
        <v>10</v>
      </c>
      <c r="G1029" s="52">
        <v>5</v>
      </c>
      <c r="H1029" s="52">
        <v>20</v>
      </c>
      <c r="I1029" s="52">
        <v>58</v>
      </c>
      <c r="J1029" s="105">
        <v>9.6666666666666661</v>
      </c>
      <c r="K1029" s="52"/>
    </row>
    <row r="1030" spans="1:11" ht="15.75" customHeight="1" x14ac:dyDescent="0.25">
      <c r="A1030" s="2">
        <v>895</v>
      </c>
      <c r="B1030" s="2" t="s">
        <v>4870</v>
      </c>
      <c r="C1030" s="52">
        <v>20</v>
      </c>
      <c r="D1030" s="52">
        <v>10</v>
      </c>
      <c r="E1030" s="52">
        <v>5</v>
      </c>
      <c r="F1030" s="52">
        <v>10</v>
      </c>
      <c r="G1030" s="52">
        <v>5</v>
      </c>
      <c r="H1030" s="52">
        <v>8</v>
      </c>
      <c r="I1030" s="52">
        <v>58</v>
      </c>
      <c r="J1030" s="105">
        <v>9.6666666666666661</v>
      </c>
      <c r="K1030" s="52"/>
    </row>
    <row r="1031" spans="1:11" ht="15.75" customHeight="1" x14ac:dyDescent="0.25">
      <c r="A1031" s="2">
        <v>896</v>
      </c>
      <c r="B1031" s="2" t="s">
        <v>4871</v>
      </c>
      <c r="C1031" s="52">
        <v>10</v>
      </c>
      <c r="D1031" s="52">
        <v>14</v>
      </c>
      <c r="E1031" s="52">
        <v>13</v>
      </c>
      <c r="F1031" s="52">
        <v>6</v>
      </c>
      <c r="G1031" s="52">
        <v>11</v>
      </c>
      <c r="H1031" s="52">
        <v>3</v>
      </c>
      <c r="I1031" s="52">
        <v>57</v>
      </c>
      <c r="J1031" s="105">
        <v>9.5</v>
      </c>
      <c r="K1031" s="52"/>
    </row>
    <row r="1032" spans="1:11" ht="15.75" customHeight="1" x14ac:dyDescent="0.25">
      <c r="A1032" s="2">
        <v>897</v>
      </c>
      <c r="B1032" s="2" t="s">
        <v>4872</v>
      </c>
      <c r="C1032" s="52">
        <v>10</v>
      </c>
      <c r="D1032" s="52">
        <v>6</v>
      </c>
      <c r="E1032" s="52">
        <v>6</v>
      </c>
      <c r="F1032" s="52">
        <v>14</v>
      </c>
      <c r="G1032" s="52">
        <v>8</v>
      </c>
      <c r="H1032" s="52">
        <v>13</v>
      </c>
      <c r="I1032" s="52">
        <v>57</v>
      </c>
      <c r="J1032" s="105">
        <v>9.5</v>
      </c>
      <c r="K1032" s="52"/>
    </row>
    <row r="1033" spans="1:11" ht="15.75" customHeight="1" x14ac:dyDescent="0.25">
      <c r="A1033" s="2">
        <v>898</v>
      </c>
      <c r="B1033" s="2" t="s">
        <v>4873</v>
      </c>
      <c r="C1033" s="52">
        <v>10</v>
      </c>
      <c r="D1033" s="52">
        <v>8</v>
      </c>
      <c r="E1033" s="52">
        <v>8</v>
      </c>
      <c r="F1033" s="52">
        <v>8</v>
      </c>
      <c r="G1033" s="52">
        <v>8</v>
      </c>
      <c r="H1033" s="52">
        <v>8</v>
      </c>
      <c r="I1033" s="52">
        <v>50</v>
      </c>
      <c r="J1033" s="105">
        <v>8.3333333333333339</v>
      </c>
      <c r="K1033" s="52"/>
    </row>
    <row r="1034" spans="1:11" ht="15.75" customHeight="1" x14ac:dyDescent="0.25">
      <c r="A1034" s="2">
        <v>898</v>
      </c>
      <c r="B1034" s="2" t="s">
        <v>4874</v>
      </c>
      <c r="C1034" s="52">
        <v>10</v>
      </c>
      <c r="D1034" s="52">
        <v>16</v>
      </c>
      <c r="E1034" s="52">
        <v>15</v>
      </c>
      <c r="F1034" s="52">
        <v>8</v>
      </c>
      <c r="G1034" s="52">
        <v>13</v>
      </c>
      <c r="H1034" s="52">
        <v>5</v>
      </c>
      <c r="I1034" s="52">
        <v>67</v>
      </c>
      <c r="J1034" s="105">
        <v>11.166666666666666</v>
      </c>
      <c r="K1034" s="52"/>
    </row>
    <row r="1035" spans="1:11" ht="15.75" customHeight="1" x14ac:dyDescent="0.25">
      <c r="A1035" s="2">
        <v>898</v>
      </c>
      <c r="B1035" s="2" t="s">
        <v>4875</v>
      </c>
      <c r="C1035" s="52">
        <v>10</v>
      </c>
      <c r="D1035" s="52">
        <v>8</v>
      </c>
      <c r="E1035" s="52">
        <v>8</v>
      </c>
      <c r="F1035" s="52">
        <v>16</v>
      </c>
      <c r="G1035" s="52">
        <v>10</v>
      </c>
      <c r="H1035" s="52">
        <v>15</v>
      </c>
      <c r="I1035" s="52">
        <v>67</v>
      </c>
      <c r="J1035" s="105">
        <v>11.166666666666666</v>
      </c>
      <c r="K1035" s="52"/>
    </row>
    <row r="1036" spans="1:11" ht="15.75" customHeight="1" x14ac:dyDescent="0.25">
      <c r="A1036" s="170">
        <v>899</v>
      </c>
      <c r="B1036" s="170" t="s">
        <v>4876</v>
      </c>
      <c r="C1036" s="52">
        <v>10</v>
      </c>
      <c r="D1036" s="52">
        <v>10</v>
      </c>
      <c r="E1036" s="170">
        <v>7</v>
      </c>
      <c r="F1036" s="170">
        <v>10</v>
      </c>
      <c r="G1036" s="170">
        <v>7</v>
      </c>
      <c r="H1036" s="170">
        <v>6</v>
      </c>
      <c r="I1036" s="170">
        <v>50</v>
      </c>
      <c r="J1036" s="105">
        <f t="shared" ref="J1036:J1168" si="0">I1036/6</f>
        <v>8.3333333333333339</v>
      </c>
      <c r="K1036" s="52"/>
    </row>
    <row r="1037" spans="1:11" ht="15.75" customHeight="1" x14ac:dyDescent="0.25">
      <c r="A1037" s="170">
        <v>900</v>
      </c>
      <c r="B1037" s="170" t="s">
        <v>4877</v>
      </c>
      <c r="C1037" s="170">
        <v>7</v>
      </c>
      <c r="D1037" s="170">
        <v>13</v>
      </c>
      <c r="E1037" s="170">
        <v>9</v>
      </c>
      <c r="F1037" s="170">
        <v>4</v>
      </c>
      <c r="G1037" s="170">
        <v>7</v>
      </c>
      <c r="H1037" s="170">
        <v>8</v>
      </c>
      <c r="I1037" s="170">
        <v>48</v>
      </c>
      <c r="J1037" s="105">
        <f t="shared" si="0"/>
        <v>8</v>
      </c>
      <c r="K1037" s="52"/>
    </row>
    <row r="1038" spans="1:11" ht="15.75" customHeight="1" x14ac:dyDescent="0.25">
      <c r="A1038" s="170">
        <v>901</v>
      </c>
      <c r="B1038" s="170" t="s">
        <v>4878</v>
      </c>
      <c r="C1038" s="170">
        <v>13</v>
      </c>
      <c r="D1038" s="170">
        <v>14</v>
      </c>
      <c r="E1038" s="170">
        <v>10</v>
      </c>
      <c r="F1038" s="170">
        <v>4</v>
      </c>
      <c r="G1038" s="170">
        <v>8</v>
      </c>
      <c r="H1038" s="170">
        <v>5</v>
      </c>
      <c r="I1038" s="170">
        <v>54</v>
      </c>
      <c r="J1038" s="105">
        <f t="shared" si="0"/>
        <v>9</v>
      </c>
      <c r="K1038" s="52"/>
    </row>
    <row r="1039" spans="1:11" ht="15.75" customHeight="1" x14ac:dyDescent="0.25">
      <c r="A1039" s="170">
        <v>902</v>
      </c>
      <c r="B1039" s="170" t="s">
        <v>4879</v>
      </c>
      <c r="C1039" s="170">
        <v>12</v>
      </c>
      <c r="D1039" s="170">
        <v>11</v>
      </c>
      <c r="E1039" s="170">
        <v>6</v>
      </c>
      <c r="F1039" s="170">
        <v>8</v>
      </c>
      <c r="G1039" s="170">
        <v>7</v>
      </c>
      <c r="H1039" s="170">
        <v>7</v>
      </c>
      <c r="I1039" s="170">
        <v>51</v>
      </c>
      <c r="J1039" s="105">
        <f t="shared" si="0"/>
        <v>8.5</v>
      </c>
      <c r="K1039" s="52"/>
    </row>
    <row r="1040" spans="1:11" ht="15.75" customHeight="1" x14ac:dyDescent="0.25">
      <c r="A1040" s="170">
        <v>902</v>
      </c>
      <c r="B1040" s="170" t="s">
        <v>4880</v>
      </c>
      <c r="C1040" s="170">
        <v>12</v>
      </c>
      <c r="D1040" s="170">
        <v>9</v>
      </c>
      <c r="E1040" s="170">
        <v>6</v>
      </c>
      <c r="F1040" s="170">
        <v>10</v>
      </c>
      <c r="G1040" s="170">
        <v>7</v>
      </c>
      <c r="H1040" s="170">
        <v>7</v>
      </c>
      <c r="I1040" s="170">
        <v>51</v>
      </c>
      <c r="J1040" s="105">
        <f t="shared" si="0"/>
        <v>8.5</v>
      </c>
      <c r="K1040" s="52"/>
    </row>
    <row r="1041" spans="1:11" ht="15.75" customHeight="1" x14ac:dyDescent="0.25">
      <c r="A1041" s="170">
        <v>903</v>
      </c>
      <c r="B1041" s="170" t="s">
        <v>4881</v>
      </c>
      <c r="C1041" s="170">
        <v>8</v>
      </c>
      <c r="D1041" s="170">
        <v>13</v>
      </c>
      <c r="E1041" s="170">
        <v>6</v>
      </c>
      <c r="F1041" s="170">
        <v>4</v>
      </c>
      <c r="G1041" s="170">
        <v>8</v>
      </c>
      <c r="H1041" s="170">
        <v>12</v>
      </c>
      <c r="I1041" s="170">
        <v>51</v>
      </c>
      <c r="J1041" s="105">
        <f t="shared" si="0"/>
        <v>8.5</v>
      </c>
      <c r="K1041" s="52"/>
    </row>
    <row r="1042" spans="1:11" ht="15.75" customHeight="1" x14ac:dyDescent="0.25">
      <c r="A1042" s="170">
        <v>904</v>
      </c>
      <c r="B1042" s="170" t="s">
        <v>4882</v>
      </c>
      <c r="C1042" s="170">
        <v>8</v>
      </c>
      <c r="D1042" s="170">
        <v>11</v>
      </c>
      <c r="E1042" s="170">
        <v>9</v>
      </c>
      <c r="F1042" s="170">
        <v>6</v>
      </c>
      <c r="G1042" s="170">
        <v>6</v>
      </c>
      <c r="H1042" s="170">
        <v>8</v>
      </c>
      <c r="I1042" s="170">
        <v>48</v>
      </c>
      <c r="J1042" s="105">
        <f t="shared" si="0"/>
        <v>8</v>
      </c>
      <c r="K1042" s="52"/>
    </row>
    <row r="1043" spans="1:11" ht="15.75" customHeight="1" x14ac:dyDescent="0.25">
      <c r="A1043" s="170">
        <v>905</v>
      </c>
      <c r="B1043" s="170" t="s">
        <v>4883</v>
      </c>
      <c r="C1043" s="170">
        <v>7</v>
      </c>
      <c r="D1043" s="170">
        <v>11</v>
      </c>
      <c r="E1043" s="170">
        <v>7</v>
      </c>
      <c r="F1043" s="170">
        <v>13</v>
      </c>
      <c r="G1043" s="170">
        <v>8</v>
      </c>
      <c r="H1043" s="170">
        <v>10</v>
      </c>
      <c r="I1043" s="170">
        <v>56</v>
      </c>
      <c r="J1043" s="105">
        <f t="shared" si="0"/>
        <v>9.3333333333333339</v>
      </c>
      <c r="K1043" s="52"/>
    </row>
    <row r="1044" spans="1:11" ht="15.75" customHeight="1" x14ac:dyDescent="0.25">
      <c r="A1044" s="170">
        <v>905</v>
      </c>
      <c r="B1044" s="170" t="s">
        <v>4884</v>
      </c>
      <c r="C1044" s="170">
        <v>7</v>
      </c>
      <c r="D1044" s="170">
        <v>11</v>
      </c>
      <c r="E1044" s="170">
        <v>11</v>
      </c>
      <c r="F1044" s="170">
        <v>13</v>
      </c>
      <c r="G1044" s="170">
        <v>10</v>
      </c>
      <c r="H1044" s="170">
        <v>4</v>
      </c>
      <c r="I1044" s="170">
        <v>56</v>
      </c>
      <c r="J1044" s="105">
        <f t="shared" si="0"/>
        <v>9.3333333333333339</v>
      </c>
      <c r="K1044" s="52"/>
    </row>
    <row r="1045" spans="1:11" ht="15.75" customHeight="1" x14ac:dyDescent="0.25">
      <c r="A1045" s="170">
        <v>906</v>
      </c>
      <c r="B1045" s="170" t="s">
        <v>4885</v>
      </c>
      <c r="C1045" s="170">
        <v>4</v>
      </c>
      <c r="D1045" s="170">
        <v>6</v>
      </c>
      <c r="E1045" s="170">
        <v>5</v>
      </c>
      <c r="F1045" s="170">
        <v>4</v>
      </c>
      <c r="G1045" s="170">
        <v>4</v>
      </c>
      <c r="H1045" s="170">
        <v>6</v>
      </c>
      <c r="I1045" s="170">
        <v>29</v>
      </c>
      <c r="J1045" s="105">
        <f t="shared" si="0"/>
        <v>4.833333333333333</v>
      </c>
      <c r="K1045" s="52"/>
    </row>
    <row r="1046" spans="1:11" ht="15.75" customHeight="1" x14ac:dyDescent="0.25">
      <c r="A1046" s="170">
        <v>907</v>
      </c>
      <c r="B1046" s="170" t="s">
        <v>4886</v>
      </c>
      <c r="C1046" s="170">
        <v>6</v>
      </c>
      <c r="D1046" s="170">
        <v>8</v>
      </c>
      <c r="E1046" s="170">
        <v>6</v>
      </c>
      <c r="F1046" s="170">
        <v>6</v>
      </c>
      <c r="G1046" s="170">
        <v>6</v>
      </c>
      <c r="H1046" s="170">
        <v>8</v>
      </c>
      <c r="I1046" s="170">
        <v>40</v>
      </c>
      <c r="J1046" s="105">
        <f t="shared" si="0"/>
        <v>6.666666666666667</v>
      </c>
      <c r="K1046" s="52"/>
    </row>
    <row r="1047" spans="1:11" ht="15.75" customHeight="1" x14ac:dyDescent="0.25">
      <c r="A1047" s="170">
        <v>908</v>
      </c>
      <c r="B1047" s="170" t="s">
        <v>4887</v>
      </c>
      <c r="C1047" s="170">
        <v>7</v>
      </c>
      <c r="D1047" s="170">
        <v>11</v>
      </c>
      <c r="E1047" s="170">
        <v>7</v>
      </c>
      <c r="F1047" s="170">
        <v>8</v>
      </c>
      <c r="G1047" s="170">
        <v>7</v>
      </c>
      <c r="H1047" s="170">
        <v>12</v>
      </c>
      <c r="I1047" s="170">
        <v>52</v>
      </c>
      <c r="J1047" s="105">
        <f t="shared" si="0"/>
        <v>8.6666666666666661</v>
      </c>
      <c r="K1047" s="52"/>
    </row>
    <row r="1048" spans="1:11" ht="15.75" customHeight="1" x14ac:dyDescent="0.25">
      <c r="A1048" s="170">
        <v>909</v>
      </c>
      <c r="B1048" s="170" t="s">
        <v>4888</v>
      </c>
      <c r="C1048" s="170">
        <v>6</v>
      </c>
      <c r="D1048" s="170">
        <v>4</v>
      </c>
      <c r="E1048" s="170">
        <v>5</v>
      </c>
      <c r="F1048" s="170">
        <v>6</v>
      </c>
      <c r="G1048" s="170">
        <v>4</v>
      </c>
      <c r="H1048" s="170">
        <v>3</v>
      </c>
      <c r="I1048" s="170">
        <v>28</v>
      </c>
      <c r="J1048" s="105">
        <f t="shared" si="0"/>
        <v>4.666666666666667</v>
      </c>
      <c r="K1048" s="52"/>
    </row>
    <row r="1049" spans="1:11" ht="15.75" customHeight="1" x14ac:dyDescent="0.25">
      <c r="A1049" s="170">
        <v>910</v>
      </c>
      <c r="B1049" s="170" t="s">
        <v>4889</v>
      </c>
      <c r="C1049" s="170">
        <v>8</v>
      </c>
      <c r="D1049" s="170">
        <v>5</v>
      </c>
      <c r="E1049" s="170">
        <v>7</v>
      </c>
      <c r="F1049" s="170">
        <v>9</v>
      </c>
      <c r="G1049" s="170">
        <v>5</v>
      </c>
      <c r="H1049" s="170">
        <v>4</v>
      </c>
      <c r="I1049" s="170">
        <v>38</v>
      </c>
      <c r="J1049" s="105">
        <f t="shared" si="0"/>
        <v>6.333333333333333</v>
      </c>
      <c r="K1049" s="52"/>
    </row>
    <row r="1050" spans="1:11" ht="15.75" customHeight="1" x14ac:dyDescent="0.25">
      <c r="A1050" s="170">
        <v>911</v>
      </c>
      <c r="B1050" s="170" t="s">
        <v>4890</v>
      </c>
      <c r="C1050" s="170">
        <v>10</v>
      </c>
      <c r="D1050" s="170">
        <v>7</v>
      </c>
      <c r="E1050" s="170">
        <v>10</v>
      </c>
      <c r="F1050" s="170">
        <v>11</v>
      </c>
      <c r="G1050" s="170">
        <v>7</v>
      </c>
      <c r="H1050" s="170">
        <v>6</v>
      </c>
      <c r="I1050" s="170">
        <v>51</v>
      </c>
      <c r="J1050" s="105">
        <f t="shared" si="0"/>
        <v>8.5</v>
      </c>
      <c r="K1050" s="52"/>
    </row>
    <row r="1051" spans="1:11" ht="15.75" customHeight="1" x14ac:dyDescent="0.25">
      <c r="A1051" s="170">
        <v>912</v>
      </c>
      <c r="B1051" s="170" t="s">
        <v>4891</v>
      </c>
      <c r="C1051" s="170">
        <v>5</v>
      </c>
      <c r="D1051" s="170">
        <v>6</v>
      </c>
      <c r="E1051" s="170">
        <v>4</v>
      </c>
      <c r="F1051" s="170">
        <v>5</v>
      </c>
      <c r="G1051" s="170">
        <v>4</v>
      </c>
      <c r="H1051" s="170">
        <v>5</v>
      </c>
      <c r="I1051" s="170">
        <v>29</v>
      </c>
      <c r="J1051" s="105">
        <f t="shared" si="0"/>
        <v>4.833333333333333</v>
      </c>
      <c r="K1051" s="52"/>
    </row>
    <row r="1052" spans="1:11" ht="15.75" customHeight="1" x14ac:dyDescent="0.25">
      <c r="A1052" s="170">
        <v>913</v>
      </c>
      <c r="B1052" s="170" t="s">
        <v>4892</v>
      </c>
      <c r="C1052" s="170">
        <v>7</v>
      </c>
      <c r="D1052" s="170">
        <v>8</v>
      </c>
      <c r="E1052" s="170">
        <v>6</v>
      </c>
      <c r="F1052" s="170">
        <v>6</v>
      </c>
      <c r="G1052" s="170">
        <v>6</v>
      </c>
      <c r="H1052" s="170">
        <v>6</v>
      </c>
      <c r="I1052" s="170">
        <v>39</v>
      </c>
      <c r="J1052" s="105">
        <f t="shared" si="0"/>
        <v>6.5</v>
      </c>
      <c r="K1052" s="52"/>
    </row>
    <row r="1053" spans="1:11" ht="15.75" customHeight="1" x14ac:dyDescent="0.25">
      <c r="A1053" s="170">
        <v>914</v>
      </c>
      <c r="B1053" s="170" t="s">
        <v>4893</v>
      </c>
      <c r="C1053" s="170">
        <v>8</v>
      </c>
      <c r="D1053" s="170">
        <v>12</v>
      </c>
      <c r="E1053" s="170">
        <v>8</v>
      </c>
      <c r="F1053" s="170">
        <v>8</v>
      </c>
      <c r="G1053" s="170">
        <v>7</v>
      </c>
      <c r="H1053" s="170">
        <v>8</v>
      </c>
      <c r="I1053" s="170">
        <v>51</v>
      </c>
      <c r="J1053" s="105">
        <f t="shared" si="0"/>
        <v>8.5</v>
      </c>
      <c r="K1053" s="52"/>
    </row>
    <row r="1054" spans="1:11" ht="15.75" customHeight="1" x14ac:dyDescent="0.25">
      <c r="A1054" s="170">
        <v>915</v>
      </c>
      <c r="B1054" s="170" t="s">
        <v>4894</v>
      </c>
      <c r="C1054" s="170">
        <v>5</v>
      </c>
      <c r="D1054" s="170">
        <v>4</v>
      </c>
      <c r="E1054" s="170">
        <v>4</v>
      </c>
      <c r="F1054" s="170">
        <v>3</v>
      </c>
      <c r="G1054" s="170">
        <v>4</v>
      </c>
      <c r="H1054" s="170">
        <v>3</v>
      </c>
      <c r="I1054" s="170">
        <v>23</v>
      </c>
      <c r="J1054" s="105">
        <f t="shared" si="0"/>
        <v>3.8333333333333335</v>
      </c>
      <c r="K1054" s="52"/>
    </row>
    <row r="1055" spans="1:11" ht="15.75" customHeight="1" x14ac:dyDescent="0.25">
      <c r="A1055" s="170">
        <v>916</v>
      </c>
      <c r="B1055" s="170" t="s">
        <v>4895</v>
      </c>
      <c r="C1055" s="170">
        <v>11</v>
      </c>
      <c r="D1055" s="170">
        <v>10</v>
      </c>
      <c r="E1055" s="170">
        <v>7</v>
      </c>
      <c r="F1055" s="170">
        <v>5</v>
      </c>
      <c r="G1055" s="170">
        <v>8</v>
      </c>
      <c r="H1055" s="170">
        <v>6</v>
      </c>
      <c r="I1055" s="170">
        <v>47</v>
      </c>
      <c r="J1055" s="105">
        <f t="shared" si="0"/>
        <v>7.833333333333333</v>
      </c>
      <c r="K1055" s="52"/>
    </row>
    <row r="1056" spans="1:11" ht="15.75" customHeight="1" x14ac:dyDescent="0.25">
      <c r="A1056" s="170">
        <v>916</v>
      </c>
      <c r="B1056" s="170" t="s">
        <v>4896</v>
      </c>
      <c r="C1056" s="170">
        <v>11</v>
      </c>
      <c r="D1056" s="170">
        <v>9</v>
      </c>
      <c r="E1056" s="170">
        <v>7</v>
      </c>
      <c r="F1056" s="170">
        <v>5</v>
      </c>
      <c r="G1056" s="170">
        <v>9</v>
      </c>
      <c r="H1056" s="170">
        <v>6</v>
      </c>
      <c r="I1056" s="170">
        <v>47</v>
      </c>
      <c r="J1056" s="105">
        <f t="shared" si="0"/>
        <v>7.833333333333333</v>
      </c>
      <c r="K1056" s="52"/>
    </row>
    <row r="1057" spans="1:11" ht="15.75" customHeight="1" x14ac:dyDescent="0.25">
      <c r="A1057" s="170">
        <v>917</v>
      </c>
      <c r="B1057" s="170" t="s">
        <v>4897</v>
      </c>
      <c r="C1057" s="170">
        <v>3</v>
      </c>
      <c r="D1057" s="170">
        <v>4</v>
      </c>
      <c r="E1057" s="170">
        <v>4</v>
      </c>
      <c r="F1057" s="170">
        <v>2</v>
      </c>
      <c r="G1057" s="170">
        <v>4</v>
      </c>
      <c r="H1057" s="170">
        <v>2</v>
      </c>
      <c r="I1057" s="170">
        <v>19</v>
      </c>
      <c r="J1057" s="105">
        <f t="shared" si="0"/>
        <v>3.1666666666666665</v>
      </c>
      <c r="K1057" s="52"/>
    </row>
    <row r="1058" spans="1:11" ht="15.75" customHeight="1" x14ac:dyDescent="0.25">
      <c r="A1058" s="170">
        <v>918</v>
      </c>
      <c r="B1058" s="170" t="s">
        <v>4898</v>
      </c>
      <c r="C1058" s="170">
        <v>6</v>
      </c>
      <c r="D1058" s="170">
        <v>7</v>
      </c>
      <c r="E1058" s="170">
        <v>9</v>
      </c>
      <c r="F1058" s="170">
        <v>5</v>
      </c>
      <c r="G1058" s="170">
        <v>8</v>
      </c>
      <c r="H1058" s="170">
        <v>3</v>
      </c>
      <c r="I1058" s="170">
        <v>38</v>
      </c>
      <c r="J1058" s="105">
        <f t="shared" si="0"/>
        <v>6.333333333333333</v>
      </c>
      <c r="K1058" s="52"/>
    </row>
    <row r="1059" spans="1:11" ht="15.75" customHeight="1" x14ac:dyDescent="0.25">
      <c r="A1059" s="170">
        <v>919</v>
      </c>
      <c r="B1059" s="170" t="s">
        <v>4899</v>
      </c>
      <c r="C1059" s="170">
        <v>3</v>
      </c>
      <c r="D1059" s="170">
        <v>4</v>
      </c>
      <c r="E1059" s="170">
        <v>4</v>
      </c>
      <c r="F1059" s="170">
        <v>2</v>
      </c>
      <c r="G1059" s="170">
        <v>2</v>
      </c>
      <c r="H1059" s="170">
        <v>4</v>
      </c>
      <c r="I1059" s="170">
        <v>19</v>
      </c>
      <c r="J1059" s="105">
        <f t="shared" si="0"/>
        <v>3.1666666666666665</v>
      </c>
      <c r="K1059" s="52"/>
    </row>
    <row r="1060" spans="1:11" ht="15.75" customHeight="1" x14ac:dyDescent="0.25">
      <c r="A1060" s="170">
        <v>920</v>
      </c>
      <c r="B1060" s="170" t="s">
        <v>4900</v>
      </c>
      <c r="C1060" s="170">
        <v>7</v>
      </c>
      <c r="D1060" s="170">
        <v>10</v>
      </c>
      <c r="E1060" s="170">
        <v>7</v>
      </c>
      <c r="F1060" s="170">
        <v>5</v>
      </c>
      <c r="G1060" s="170">
        <v>5</v>
      </c>
      <c r="H1060" s="170">
        <v>9</v>
      </c>
      <c r="I1060" s="170">
        <v>43</v>
      </c>
      <c r="J1060" s="105">
        <f t="shared" si="0"/>
        <v>7.166666666666667</v>
      </c>
      <c r="K1060" s="52"/>
    </row>
    <row r="1061" spans="1:11" ht="15.75" customHeight="1" x14ac:dyDescent="0.25">
      <c r="A1061" s="170">
        <v>921</v>
      </c>
      <c r="B1061" s="170" t="s">
        <v>4901</v>
      </c>
      <c r="C1061" s="170">
        <v>4</v>
      </c>
      <c r="D1061" s="170">
        <v>5</v>
      </c>
      <c r="E1061" s="170">
        <v>2</v>
      </c>
      <c r="F1061" s="170">
        <v>4</v>
      </c>
      <c r="G1061" s="170">
        <v>2</v>
      </c>
      <c r="H1061" s="170">
        <v>6</v>
      </c>
      <c r="I1061" s="170">
        <v>23</v>
      </c>
      <c r="J1061" s="105">
        <f t="shared" si="0"/>
        <v>3.8333333333333335</v>
      </c>
      <c r="K1061" s="52"/>
    </row>
    <row r="1062" spans="1:11" ht="15.75" customHeight="1" x14ac:dyDescent="0.25">
      <c r="A1062" s="170">
        <v>922</v>
      </c>
      <c r="B1062" s="170" t="s">
        <v>4902</v>
      </c>
      <c r="C1062" s="170">
        <v>6</v>
      </c>
      <c r="D1062" s="170">
        <v>7</v>
      </c>
      <c r="E1062" s="170">
        <v>4</v>
      </c>
      <c r="F1062" s="170">
        <v>5</v>
      </c>
      <c r="G1062" s="170">
        <v>4</v>
      </c>
      <c r="H1062" s="170">
        <v>8</v>
      </c>
      <c r="I1062" s="170">
        <v>34</v>
      </c>
      <c r="J1062" s="105">
        <f t="shared" si="0"/>
        <v>5.666666666666667</v>
      </c>
      <c r="K1062" s="52"/>
    </row>
    <row r="1063" spans="1:11" ht="15.75" customHeight="1" x14ac:dyDescent="0.25">
      <c r="A1063" s="170">
        <v>923</v>
      </c>
      <c r="B1063" s="170" t="s">
        <v>4903</v>
      </c>
      <c r="C1063" s="170">
        <v>7</v>
      </c>
      <c r="D1063" s="170">
        <v>11</v>
      </c>
      <c r="E1063" s="170">
        <v>7</v>
      </c>
      <c r="F1063" s="170">
        <v>7</v>
      </c>
      <c r="G1063" s="170">
        <v>6</v>
      </c>
      <c r="H1063" s="170">
        <v>10</v>
      </c>
      <c r="I1063" s="170">
        <v>48</v>
      </c>
      <c r="J1063" s="105">
        <f t="shared" si="0"/>
        <v>8</v>
      </c>
      <c r="K1063" s="52"/>
    </row>
    <row r="1064" spans="1:11" ht="15.75" customHeight="1" x14ac:dyDescent="0.25">
      <c r="A1064" s="170">
        <v>924</v>
      </c>
      <c r="B1064" s="170" t="s">
        <v>4904</v>
      </c>
      <c r="C1064" s="170">
        <v>5</v>
      </c>
      <c r="D1064" s="170">
        <v>5</v>
      </c>
      <c r="E1064" s="170">
        <v>4</v>
      </c>
      <c r="F1064" s="170">
        <v>4</v>
      </c>
      <c r="G1064" s="170">
        <v>4</v>
      </c>
      <c r="H1064" s="170">
        <v>7</v>
      </c>
      <c r="I1064" s="170">
        <v>29</v>
      </c>
      <c r="J1064" s="105">
        <f t="shared" si="0"/>
        <v>4.833333333333333</v>
      </c>
      <c r="K1064" s="52"/>
    </row>
    <row r="1065" spans="1:11" ht="15.75" customHeight="1" x14ac:dyDescent="0.25">
      <c r="A1065" s="170">
        <v>925</v>
      </c>
      <c r="B1065" s="170" t="s">
        <v>4905</v>
      </c>
      <c r="C1065" s="170">
        <v>7</v>
      </c>
      <c r="D1065" s="170">
        <v>7</v>
      </c>
      <c r="E1065" s="170">
        <v>7</v>
      </c>
      <c r="F1065" s="170">
        <v>6</v>
      </c>
      <c r="G1065" s="170">
        <v>7</v>
      </c>
      <c r="H1065" s="170">
        <v>11</v>
      </c>
      <c r="I1065" s="170">
        <v>45</v>
      </c>
      <c r="J1065" s="105">
        <f t="shared" si="0"/>
        <v>7.5</v>
      </c>
      <c r="K1065" s="52"/>
    </row>
    <row r="1066" spans="1:11" ht="15.75" customHeight="1" x14ac:dyDescent="0.25">
      <c r="A1066" s="170">
        <v>926</v>
      </c>
      <c r="B1066" s="170" t="s">
        <v>4906</v>
      </c>
      <c r="C1066" s="170">
        <v>3</v>
      </c>
      <c r="D1066" s="170">
        <v>5</v>
      </c>
      <c r="E1066" s="170">
        <v>7</v>
      </c>
      <c r="F1066" s="170">
        <v>3</v>
      </c>
      <c r="G1066" s="170">
        <v>5</v>
      </c>
      <c r="H1066" s="170">
        <v>6</v>
      </c>
      <c r="I1066" s="170">
        <v>29</v>
      </c>
      <c r="J1066" s="105">
        <f t="shared" si="0"/>
        <v>4.833333333333333</v>
      </c>
      <c r="K1066" s="52"/>
    </row>
    <row r="1067" spans="1:11" ht="15.75" customHeight="1" x14ac:dyDescent="0.25">
      <c r="A1067" s="170">
        <v>927</v>
      </c>
      <c r="B1067" s="170" t="s">
        <v>4907</v>
      </c>
      <c r="C1067" s="170">
        <v>5</v>
      </c>
      <c r="D1067" s="170">
        <v>8</v>
      </c>
      <c r="E1067" s="170">
        <v>11</v>
      </c>
      <c r="F1067" s="170">
        <v>5</v>
      </c>
      <c r="G1067" s="170">
        <v>8</v>
      </c>
      <c r="H1067" s="170">
        <v>9</v>
      </c>
      <c r="I1067" s="170">
        <v>46</v>
      </c>
      <c r="J1067" s="105">
        <f t="shared" si="0"/>
        <v>7.666666666666667</v>
      </c>
      <c r="K1067" s="52"/>
    </row>
    <row r="1068" spans="1:11" ht="15.75" customHeight="1" x14ac:dyDescent="0.25">
      <c r="A1068" s="170">
        <v>928</v>
      </c>
      <c r="B1068" s="170" t="s">
        <v>4908</v>
      </c>
      <c r="C1068" s="170">
        <v>4</v>
      </c>
      <c r="D1068" s="170">
        <v>3</v>
      </c>
      <c r="E1068" s="170">
        <v>4</v>
      </c>
      <c r="F1068" s="170">
        <v>5</v>
      </c>
      <c r="G1068" s="170">
        <v>5</v>
      </c>
      <c r="H1068" s="170">
        <v>3</v>
      </c>
      <c r="I1068" s="170">
        <v>24</v>
      </c>
      <c r="J1068" s="105">
        <f t="shared" si="0"/>
        <v>4</v>
      </c>
      <c r="K1068" s="52"/>
    </row>
    <row r="1069" spans="1:11" ht="15.75" customHeight="1" x14ac:dyDescent="0.25">
      <c r="A1069" s="170">
        <v>929</v>
      </c>
      <c r="B1069" s="170" t="s">
        <v>4909</v>
      </c>
      <c r="C1069" s="170">
        <v>5</v>
      </c>
      <c r="D1069" s="170">
        <v>5</v>
      </c>
      <c r="E1069" s="170">
        <v>6</v>
      </c>
      <c r="F1069" s="170">
        <v>7</v>
      </c>
      <c r="G1069" s="170">
        <v>7</v>
      </c>
      <c r="H1069" s="170">
        <v>3</v>
      </c>
      <c r="I1069" s="170">
        <v>33</v>
      </c>
      <c r="J1069" s="105">
        <f t="shared" si="0"/>
        <v>5.5</v>
      </c>
      <c r="K1069" s="52"/>
    </row>
    <row r="1070" spans="1:11" ht="15.75" customHeight="1" x14ac:dyDescent="0.25">
      <c r="A1070" s="170">
        <v>930</v>
      </c>
      <c r="B1070" s="170" t="s">
        <v>4910</v>
      </c>
      <c r="C1070" s="170">
        <v>7</v>
      </c>
      <c r="D1070" s="170">
        <v>6</v>
      </c>
      <c r="E1070" s="170">
        <v>9</v>
      </c>
      <c r="F1070" s="170">
        <v>12</v>
      </c>
      <c r="G1070" s="170">
        <v>10</v>
      </c>
      <c r="H1070" s="170">
        <v>3</v>
      </c>
      <c r="I1070" s="170">
        <v>47</v>
      </c>
      <c r="J1070" s="105">
        <f t="shared" si="0"/>
        <v>7.833333333333333</v>
      </c>
      <c r="K1070" s="52"/>
    </row>
    <row r="1071" spans="1:11" ht="15.75" customHeight="1" x14ac:dyDescent="0.25">
      <c r="A1071" s="170">
        <v>931</v>
      </c>
      <c r="B1071" s="170" t="s">
        <v>4911</v>
      </c>
      <c r="C1071" s="170">
        <v>8</v>
      </c>
      <c r="D1071" s="170">
        <v>9</v>
      </c>
      <c r="E1071" s="170">
        <v>5</v>
      </c>
      <c r="F1071" s="170">
        <v>4</v>
      </c>
      <c r="G1071" s="170">
        <v>5</v>
      </c>
      <c r="H1071" s="170">
        <v>9</v>
      </c>
      <c r="I1071" s="170">
        <v>40</v>
      </c>
      <c r="J1071" s="105">
        <f t="shared" si="0"/>
        <v>6.666666666666667</v>
      </c>
      <c r="K1071" s="52"/>
    </row>
    <row r="1072" spans="1:11" ht="15.75" customHeight="1" x14ac:dyDescent="0.25">
      <c r="A1072" s="170">
        <v>932</v>
      </c>
      <c r="B1072" s="170" t="s">
        <v>4912</v>
      </c>
      <c r="C1072" s="170">
        <v>5</v>
      </c>
      <c r="D1072" s="170">
        <v>5</v>
      </c>
      <c r="E1072" s="170">
        <v>7</v>
      </c>
      <c r="F1072" s="170">
        <v>3</v>
      </c>
      <c r="G1072" s="170">
        <v>3</v>
      </c>
      <c r="H1072" s="170">
        <v>2</v>
      </c>
      <c r="I1072" s="170">
        <v>25</v>
      </c>
      <c r="J1072" s="105">
        <f t="shared" si="0"/>
        <v>4.166666666666667</v>
      </c>
      <c r="K1072" s="52"/>
    </row>
    <row r="1073" spans="1:11" ht="15.75" customHeight="1" x14ac:dyDescent="0.25">
      <c r="A1073" s="170">
        <v>933</v>
      </c>
      <c r="B1073" s="170" t="s">
        <v>4913</v>
      </c>
      <c r="C1073" s="170">
        <v>6</v>
      </c>
      <c r="D1073" s="170">
        <v>6</v>
      </c>
      <c r="E1073" s="170">
        <v>10</v>
      </c>
      <c r="F1073" s="170">
        <v>3</v>
      </c>
      <c r="G1073" s="170">
        <v>6</v>
      </c>
      <c r="H1073" s="170">
        <v>3</v>
      </c>
      <c r="I1073" s="170">
        <v>34</v>
      </c>
      <c r="J1073" s="105">
        <f t="shared" si="0"/>
        <v>5.666666666666667</v>
      </c>
      <c r="K1073" s="52"/>
    </row>
    <row r="1074" spans="1:11" ht="15.75" customHeight="1" x14ac:dyDescent="0.25">
      <c r="A1074" s="170">
        <v>934</v>
      </c>
      <c r="B1074" s="170" t="s">
        <v>4914</v>
      </c>
      <c r="C1074" s="170">
        <v>10</v>
      </c>
      <c r="D1074" s="170">
        <v>10</v>
      </c>
      <c r="E1074" s="170">
        <v>13</v>
      </c>
      <c r="F1074" s="170">
        <v>4</v>
      </c>
      <c r="G1074" s="170">
        <v>9</v>
      </c>
      <c r="H1074" s="170">
        <v>3</v>
      </c>
      <c r="I1074" s="170">
        <v>49</v>
      </c>
      <c r="J1074" s="105">
        <f t="shared" si="0"/>
        <v>8.1666666666666661</v>
      </c>
      <c r="K1074" s="52"/>
    </row>
    <row r="1075" spans="1:11" ht="15.75" customHeight="1" x14ac:dyDescent="0.25">
      <c r="A1075" s="170">
        <v>935</v>
      </c>
      <c r="B1075" s="170" t="s">
        <v>4915</v>
      </c>
      <c r="C1075" s="170">
        <v>4</v>
      </c>
      <c r="D1075" s="170">
        <v>5</v>
      </c>
      <c r="E1075" s="170">
        <v>4</v>
      </c>
      <c r="F1075" s="170">
        <v>5</v>
      </c>
      <c r="G1075" s="170">
        <v>4</v>
      </c>
      <c r="H1075" s="170">
        <v>3</v>
      </c>
      <c r="I1075" s="170">
        <v>25</v>
      </c>
      <c r="J1075" s="105">
        <f t="shared" si="0"/>
        <v>4.166666666666667</v>
      </c>
      <c r="K1075" s="52"/>
    </row>
    <row r="1076" spans="1:11" ht="15.75" customHeight="1" x14ac:dyDescent="0.25">
      <c r="A1076" s="170">
        <v>936</v>
      </c>
      <c r="B1076" s="170" t="s">
        <v>4916</v>
      </c>
      <c r="C1076" s="170">
        <v>8</v>
      </c>
      <c r="D1076" s="170">
        <v>6</v>
      </c>
      <c r="E1076" s="170">
        <v>10</v>
      </c>
      <c r="F1076" s="170">
        <v>12</v>
      </c>
      <c r="G1076" s="170">
        <v>8</v>
      </c>
      <c r="H1076" s="170">
        <v>7</v>
      </c>
      <c r="I1076" s="170">
        <v>51</v>
      </c>
      <c r="J1076" s="105">
        <f t="shared" si="0"/>
        <v>8.5</v>
      </c>
      <c r="K1076" s="52"/>
    </row>
    <row r="1077" spans="1:11" ht="15.75" customHeight="1" x14ac:dyDescent="0.25">
      <c r="A1077" s="170">
        <v>937</v>
      </c>
      <c r="B1077" s="170" t="s">
        <v>4917</v>
      </c>
      <c r="C1077" s="170">
        <v>7</v>
      </c>
      <c r="D1077" s="170">
        <v>12</v>
      </c>
      <c r="E1077" s="170">
        <v>8</v>
      </c>
      <c r="F1077" s="170">
        <v>6</v>
      </c>
      <c r="G1077" s="170">
        <v>10</v>
      </c>
      <c r="H1077" s="170">
        <v>8</v>
      </c>
      <c r="I1077" s="170">
        <v>51</v>
      </c>
      <c r="J1077" s="105">
        <f t="shared" si="0"/>
        <v>8.5</v>
      </c>
      <c r="K1077" s="52"/>
    </row>
    <row r="1078" spans="1:11" ht="15.75" customHeight="1" x14ac:dyDescent="0.25">
      <c r="A1078" s="170">
        <v>938</v>
      </c>
      <c r="B1078" s="170" t="s">
        <v>4918</v>
      </c>
      <c r="C1078" s="170">
        <v>6</v>
      </c>
      <c r="D1078" s="170">
        <v>3</v>
      </c>
      <c r="E1078" s="170">
        <v>4</v>
      </c>
      <c r="F1078" s="170">
        <v>5</v>
      </c>
      <c r="G1078" s="170">
        <v>3</v>
      </c>
      <c r="H1078" s="170">
        <v>4</v>
      </c>
      <c r="I1078" s="170">
        <v>25</v>
      </c>
      <c r="J1078" s="105">
        <f t="shared" si="0"/>
        <v>4.166666666666667</v>
      </c>
      <c r="K1078" s="52"/>
    </row>
    <row r="1079" spans="1:11" ht="15.75" customHeight="1" x14ac:dyDescent="0.25">
      <c r="A1079" s="170">
        <v>939</v>
      </c>
      <c r="B1079" s="170" t="s">
        <v>4919</v>
      </c>
      <c r="C1079" s="170">
        <v>10</v>
      </c>
      <c r="D1079" s="170">
        <v>6</v>
      </c>
      <c r="E1079" s="170">
        <v>9</v>
      </c>
      <c r="F1079" s="170">
        <v>10</v>
      </c>
      <c r="G1079" s="170">
        <v>8</v>
      </c>
      <c r="H1079" s="170">
        <v>4</v>
      </c>
      <c r="I1079" s="170">
        <v>47</v>
      </c>
      <c r="J1079" s="105">
        <f t="shared" si="0"/>
        <v>7.833333333333333</v>
      </c>
      <c r="K1079" s="52"/>
    </row>
    <row r="1080" spans="1:11" ht="15.75" customHeight="1" x14ac:dyDescent="0.25">
      <c r="A1080" s="170">
        <v>940</v>
      </c>
      <c r="B1080" s="170" t="s">
        <v>4920</v>
      </c>
      <c r="C1080" s="170">
        <v>4</v>
      </c>
      <c r="D1080" s="170">
        <v>4</v>
      </c>
      <c r="E1080" s="170">
        <v>3</v>
      </c>
      <c r="F1080" s="170">
        <v>5</v>
      </c>
      <c r="G1080" s="170">
        <v>4</v>
      </c>
      <c r="H1080" s="170">
        <v>7</v>
      </c>
      <c r="I1080" s="170">
        <v>27</v>
      </c>
      <c r="J1080" s="105">
        <f t="shared" si="0"/>
        <v>4.5</v>
      </c>
      <c r="K1080" s="52"/>
    </row>
    <row r="1081" spans="1:11" ht="15.75" customHeight="1" x14ac:dyDescent="0.25">
      <c r="A1081" s="170">
        <v>941</v>
      </c>
      <c r="B1081" s="170" t="s">
        <v>4921</v>
      </c>
      <c r="C1081" s="170">
        <v>7</v>
      </c>
      <c r="D1081" s="170">
        <v>7</v>
      </c>
      <c r="E1081" s="170">
        <v>6</v>
      </c>
      <c r="F1081" s="170">
        <v>10</v>
      </c>
      <c r="G1081" s="170">
        <v>6</v>
      </c>
      <c r="H1081" s="170">
        <v>12</v>
      </c>
      <c r="I1081" s="170">
        <v>48</v>
      </c>
      <c r="J1081" s="105">
        <f t="shared" si="0"/>
        <v>8</v>
      </c>
      <c r="K1081" s="52"/>
    </row>
    <row r="1082" spans="1:11" ht="15.75" customHeight="1" x14ac:dyDescent="0.25">
      <c r="A1082" s="170">
        <v>942</v>
      </c>
      <c r="B1082" s="170" t="s">
        <v>4922</v>
      </c>
      <c r="C1082" s="170">
        <v>6</v>
      </c>
      <c r="D1082" s="170">
        <v>7</v>
      </c>
      <c r="E1082" s="170">
        <v>6</v>
      </c>
      <c r="F1082" s="170">
        <v>4</v>
      </c>
      <c r="G1082" s="170">
        <v>5</v>
      </c>
      <c r="H1082" s="170">
        <v>5</v>
      </c>
      <c r="I1082" s="170">
        <v>33</v>
      </c>
      <c r="J1082" s="105">
        <f t="shared" si="0"/>
        <v>5.5</v>
      </c>
      <c r="K1082" s="52"/>
    </row>
    <row r="1083" spans="1:11" ht="15.75" customHeight="1" x14ac:dyDescent="0.25">
      <c r="A1083" s="170">
        <v>943</v>
      </c>
      <c r="B1083" s="170" t="s">
        <v>4923</v>
      </c>
      <c r="C1083" s="170">
        <v>8</v>
      </c>
      <c r="D1083" s="170">
        <v>12</v>
      </c>
      <c r="E1083" s="170">
        <v>9</v>
      </c>
      <c r="F1083" s="170">
        <v>6</v>
      </c>
      <c r="G1083" s="170">
        <v>7</v>
      </c>
      <c r="H1083" s="170">
        <v>8</v>
      </c>
      <c r="I1083" s="170">
        <v>50</v>
      </c>
      <c r="J1083" s="105">
        <f t="shared" si="0"/>
        <v>8.3333333333333339</v>
      </c>
      <c r="K1083" s="52"/>
    </row>
    <row r="1084" spans="1:11" ht="15.75" customHeight="1" x14ac:dyDescent="0.25">
      <c r="A1084" s="170">
        <v>944</v>
      </c>
      <c r="B1084" s="170" t="s">
        <v>4924</v>
      </c>
      <c r="C1084" s="170">
        <v>4</v>
      </c>
      <c r="D1084" s="170">
        <v>6</v>
      </c>
      <c r="E1084" s="170">
        <v>3</v>
      </c>
      <c r="F1084" s="170">
        <v>4</v>
      </c>
      <c r="G1084" s="170">
        <v>3</v>
      </c>
      <c r="H1084" s="170">
        <v>7</v>
      </c>
      <c r="I1084" s="170">
        <v>27</v>
      </c>
      <c r="J1084" s="105">
        <f t="shared" si="0"/>
        <v>4.5</v>
      </c>
      <c r="K1084" s="52"/>
    </row>
    <row r="1085" spans="1:11" ht="15.75" customHeight="1" x14ac:dyDescent="0.25">
      <c r="A1085" s="170">
        <v>945</v>
      </c>
      <c r="B1085" s="170" t="s">
        <v>4925</v>
      </c>
      <c r="C1085" s="170">
        <v>6</v>
      </c>
      <c r="D1085" s="170">
        <v>9</v>
      </c>
      <c r="E1085" s="170">
        <v>6</v>
      </c>
      <c r="F1085" s="170">
        <v>8</v>
      </c>
      <c r="G1085" s="170">
        <v>7</v>
      </c>
      <c r="H1085" s="170">
        <v>11</v>
      </c>
      <c r="I1085" s="170">
        <v>47</v>
      </c>
      <c r="J1085" s="105">
        <f t="shared" si="0"/>
        <v>7.833333333333333</v>
      </c>
      <c r="K1085" s="52"/>
    </row>
    <row r="1086" spans="1:11" ht="15.75" customHeight="1" x14ac:dyDescent="0.25">
      <c r="A1086" s="170">
        <v>946</v>
      </c>
      <c r="B1086" s="170" t="s">
        <v>4926</v>
      </c>
      <c r="C1086" s="170">
        <v>4</v>
      </c>
      <c r="D1086" s="170">
        <v>6</v>
      </c>
      <c r="E1086" s="170">
        <v>3</v>
      </c>
      <c r="F1086" s="170">
        <v>4</v>
      </c>
      <c r="G1086" s="170">
        <v>3</v>
      </c>
      <c r="H1086" s="170">
        <v>6</v>
      </c>
      <c r="I1086" s="170">
        <v>26</v>
      </c>
      <c r="J1086" s="105">
        <f t="shared" si="0"/>
        <v>4.333333333333333</v>
      </c>
      <c r="K1086" s="52"/>
    </row>
    <row r="1087" spans="1:11" ht="15.75" customHeight="1" x14ac:dyDescent="0.25">
      <c r="A1087" s="170">
        <v>947</v>
      </c>
      <c r="B1087" s="170" t="s">
        <v>4927</v>
      </c>
      <c r="C1087" s="170">
        <v>5</v>
      </c>
      <c r="D1087" s="170">
        <v>11</v>
      </c>
      <c r="E1087" s="170">
        <v>7</v>
      </c>
      <c r="F1087" s="170">
        <v>8</v>
      </c>
      <c r="G1087" s="170">
        <v>7</v>
      </c>
      <c r="H1087" s="170">
        <v>9</v>
      </c>
      <c r="I1087" s="170">
        <v>47</v>
      </c>
      <c r="J1087" s="105">
        <f t="shared" si="0"/>
        <v>7.833333333333333</v>
      </c>
      <c r="K1087" s="52"/>
    </row>
    <row r="1088" spans="1:11" ht="15.75" customHeight="1" x14ac:dyDescent="0.25">
      <c r="A1088" s="170">
        <v>948</v>
      </c>
      <c r="B1088" s="170" t="s">
        <v>4928</v>
      </c>
      <c r="C1088" s="170">
        <v>4</v>
      </c>
      <c r="D1088" s="170">
        <v>4</v>
      </c>
      <c r="E1088" s="170">
        <v>3</v>
      </c>
      <c r="F1088" s="170">
        <v>5</v>
      </c>
      <c r="G1088" s="170">
        <v>10</v>
      </c>
      <c r="H1088" s="170">
        <v>7</v>
      </c>
      <c r="I1088" s="170">
        <v>33</v>
      </c>
      <c r="J1088" s="105">
        <f t="shared" si="0"/>
        <v>5.5</v>
      </c>
      <c r="K1088" s="52"/>
    </row>
    <row r="1089" spans="1:11" ht="15.75" customHeight="1" x14ac:dyDescent="0.25">
      <c r="A1089" s="170">
        <v>949</v>
      </c>
      <c r="B1089" s="170" t="s">
        <v>4929</v>
      </c>
      <c r="C1089" s="170">
        <v>8</v>
      </c>
      <c r="D1089" s="170">
        <v>7</v>
      </c>
      <c r="E1089" s="170">
        <v>6</v>
      </c>
      <c r="F1089" s="170">
        <v>8</v>
      </c>
      <c r="G1089" s="170">
        <v>12</v>
      </c>
      <c r="H1089" s="170">
        <v>10</v>
      </c>
      <c r="I1089" s="170">
        <v>51</v>
      </c>
      <c r="J1089" s="105">
        <f t="shared" si="0"/>
        <v>8.5</v>
      </c>
      <c r="K1089" s="52"/>
    </row>
    <row r="1090" spans="1:11" ht="15.75" customHeight="1" x14ac:dyDescent="0.25">
      <c r="A1090" s="170">
        <v>950</v>
      </c>
      <c r="B1090" s="170" t="s">
        <v>4930</v>
      </c>
      <c r="C1090" s="170">
        <v>7</v>
      </c>
      <c r="D1090" s="170">
        <v>10</v>
      </c>
      <c r="E1090" s="170">
        <v>11</v>
      </c>
      <c r="F1090" s="170">
        <v>3</v>
      </c>
      <c r="G1090" s="170">
        <v>5</v>
      </c>
      <c r="H1090" s="170">
        <v>7</v>
      </c>
      <c r="I1090" s="170">
        <v>43</v>
      </c>
      <c r="J1090" s="105">
        <f t="shared" si="0"/>
        <v>7.166666666666667</v>
      </c>
      <c r="K1090" s="52"/>
    </row>
    <row r="1091" spans="1:11" ht="15.75" customHeight="1" x14ac:dyDescent="0.25">
      <c r="A1091" s="170">
        <v>951</v>
      </c>
      <c r="B1091" s="170" t="s">
        <v>4931</v>
      </c>
      <c r="C1091" s="170">
        <v>5</v>
      </c>
      <c r="D1091" s="170">
        <v>6</v>
      </c>
      <c r="E1091" s="170">
        <v>4</v>
      </c>
      <c r="F1091" s="170">
        <v>6</v>
      </c>
      <c r="G1091" s="170">
        <v>4</v>
      </c>
      <c r="H1091" s="170">
        <v>5</v>
      </c>
      <c r="I1091" s="170">
        <v>30</v>
      </c>
      <c r="J1091" s="105">
        <f t="shared" si="0"/>
        <v>5</v>
      </c>
      <c r="K1091" s="52"/>
    </row>
    <row r="1092" spans="1:11" ht="15.75" customHeight="1" x14ac:dyDescent="0.25">
      <c r="A1092" s="170">
        <v>952</v>
      </c>
      <c r="B1092" s="170" t="s">
        <v>4932</v>
      </c>
      <c r="C1092" s="170">
        <v>6</v>
      </c>
      <c r="D1092" s="170">
        <v>10</v>
      </c>
      <c r="E1092" s="170">
        <v>6</v>
      </c>
      <c r="F1092" s="170">
        <v>10</v>
      </c>
      <c r="G1092" s="170">
        <v>6</v>
      </c>
      <c r="H1092" s="170">
        <v>7</v>
      </c>
      <c r="I1092" s="170">
        <v>45</v>
      </c>
      <c r="J1092" s="105">
        <f t="shared" si="0"/>
        <v>7.5</v>
      </c>
      <c r="K1092" s="52"/>
    </row>
    <row r="1093" spans="1:11" ht="15.75" customHeight="1" x14ac:dyDescent="0.25">
      <c r="A1093" s="170">
        <v>953</v>
      </c>
      <c r="B1093" s="170" t="s">
        <v>4933</v>
      </c>
      <c r="C1093" s="170">
        <v>4</v>
      </c>
      <c r="D1093" s="170">
        <v>5</v>
      </c>
      <c r="E1093" s="170">
        <v>6</v>
      </c>
      <c r="F1093" s="170">
        <v>3</v>
      </c>
      <c r="G1093" s="170">
        <v>5</v>
      </c>
      <c r="H1093" s="170">
        <v>3</v>
      </c>
      <c r="I1093" s="170">
        <v>26</v>
      </c>
      <c r="J1093" s="105">
        <f t="shared" si="0"/>
        <v>4.333333333333333</v>
      </c>
      <c r="K1093" s="52"/>
    </row>
    <row r="1094" spans="1:11" ht="15.75" customHeight="1" x14ac:dyDescent="0.25">
      <c r="A1094" s="170">
        <v>954</v>
      </c>
      <c r="B1094" s="170" t="s">
        <v>4934</v>
      </c>
      <c r="C1094" s="170">
        <v>7</v>
      </c>
      <c r="D1094" s="170">
        <v>5</v>
      </c>
      <c r="E1094" s="170">
        <v>8</v>
      </c>
      <c r="F1094" s="170">
        <v>11</v>
      </c>
      <c r="G1094" s="170">
        <v>10</v>
      </c>
      <c r="H1094" s="170">
        <v>4</v>
      </c>
      <c r="I1094" s="170">
        <v>45</v>
      </c>
      <c r="J1094" s="105">
        <f t="shared" si="0"/>
        <v>7.5</v>
      </c>
      <c r="K1094" s="52"/>
    </row>
    <row r="1095" spans="1:11" ht="15.75" customHeight="1" x14ac:dyDescent="0.25">
      <c r="A1095" s="170">
        <v>955</v>
      </c>
      <c r="B1095" s="170" t="s">
        <v>4935</v>
      </c>
      <c r="C1095" s="170">
        <v>3</v>
      </c>
      <c r="D1095" s="170">
        <v>3</v>
      </c>
      <c r="E1095" s="170">
        <v>3</v>
      </c>
      <c r="F1095" s="170">
        <v>5</v>
      </c>
      <c r="G1095" s="170">
        <v>3</v>
      </c>
      <c r="H1095" s="170">
        <v>7</v>
      </c>
      <c r="I1095" s="170">
        <v>24</v>
      </c>
      <c r="J1095" s="105">
        <f t="shared" si="0"/>
        <v>4</v>
      </c>
      <c r="K1095" s="52"/>
    </row>
    <row r="1096" spans="1:11" ht="15.75" customHeight="1" x14ac:dyDescent="0.25">
      <c r="A1096" s="170">
        <v>956</v>
      </c>
      <c r="B1096" s="170" t="s">
        <v>4936</v>
      </c>
      <c r="C1096" s="170">
        <v>9</v>
      </c>
      <c r="D1096" s="170">
        <v>6</v>
      </c>
      <c r="E1096" s="170">
        <v>6</v>
      </c>
      <c r="F1096" s="170">
        <v>10</v>
      </c>
      <c r="G1096" s="170">
        <v>6</v>
      </c>
      <c r="H1096" s="170">
        <v>10</v>
      </c>
      <c r="I1096" s="170">
        <v>47</v>
      </c>
      <c r="J1096" s="105">
        <f t="shared" si="0"/>
        <v>7.833333333333333</v>
      </c>
      <c r="K1096" s="52"/>
    </row>
    <row r="1097" spans="1:11" ht="15.75" customHeight="1" x14ac:dyDescent="0.25">
      <c r="A1097" s="170">
        <v>957</v>
      </c>
      <c r="B1097" s="170" t="s">
        <v>4937</v>
      </c>
      <c r="C1097" s="170">
        <v>5</v>
      </c>
      <c r="D1097" s="170">
        <v>4</v>
      </c>
      <c r="E1097" s="170">
        <v>4</v>
      </c>
      <c r="F1097" s="170">
        <v>3</v>
      </c>
      <c r="G1097" s="170">
        <v>6</v>
      </c>
      <c r="H1097" s="170">
        <v>5</v>
      </c>
      <c r="I1097" s="170">
        <v>27</v>
      </c>
      <c r="J1097" s="105">
        <f t="shared" si="0"/>
        <v>4.5</v>
      </c>
      <c r="K1097" s="52"/>
    </row>
    <row r="1098" spans="1:11" ht="15.75" customHeight="1" x14ac:dyDescent="0.25">
      <c r="A1098" s="170">
        <v>958</v>
      </c>
      <c r="B1098" s="170" t="s">
        <v>4938</v>
      </c>
      <c r="C1098" s="170">
        <v>6</v>
      </c>
      <c r="D1098" s="170">
        <v>5</v>
      </c>
      <c r="E1098" s="170">
        <v>5</v>
      </c>
      <c r="F1098" s="170">
        <v>4</v>
      </c>
      <c r="G1098" s="170">
        <v>8</v>
      </c>
      <c r="H1098" s="170">
        <v>7</v>
      </c>
      <c r="I1098" s="170">
        <v>35</v>
      </c>
      <c r="J1098" s="105">
        <f t="shared" si="0"/>
        <v>5.833333333333333</v>
      </c>
      <c r="K1098" s="52"/>
    </row>
    <row r="1099" spans="1:11" ht="15.75" customHeight="1" x14ac:dyDescent="0.25">
      <c r="A1099" s="170">
        <v>959</v>
      </c>
      <c r="B1099" s="170" t="s">
        <v>4939</v>
      </c>
      <c r="C1099" s="170">
        <v>8</v>
      </c>
      <c r="D1099" s="170">
        <v>7</v>
      </c>
      <c r="E1099" s="170">
        <v>7</v>
      </c>
      <c r="F1099" s="170">
        <v>7</v>
      </c>
      <c r="G1099" s="170">
        <v>10</v>
      </c>
      <c r="H1099" s="170">
        <v>9</v>
      </c>
      <c r="I1099" s="170">
        <v>48</v>
      </c>
      <c r="J1099" s="105">
        <f t="shared" si="0"/>
        <v>8</v>
      </c>
      <c r="K1099" s="52"/>
    </row>
    <row r="1100" spans="1:11" ht="15.75" customHeight="1" x14ac:dyDescent="0.25">
      <c r="A1100" s="170">
        <v>960</v>
      </c>
      <c r="B1100" s="170" t="s">
        <v>4940</v>
      </c>
      <c r="C1100" s="170">
        <v>1</v>
      </c>
      <c r="D1100" s="170">
        <v>5</v>
      </c>
      <c r="E1100" s="170">
        <v>2</v>
      </c>
      <c r="F1100" s="170">
        <v>3</v>
      </c>
      <c r="G1100" s="170">
        <v>2</v>
      </c>
      <c r="H1100" s="170">
        <v>9</v>
      </c>
      <c r="I1100" s="170">
        <v>22</v>
      </c>
      <c r="J1100" s="105">
        <f t="shared" si="0"/>
        <v>3.6666666666666665</v>
      </c>
      <c r="K1100" s="52"/>
    </row>
    <row r="1101" spans="1:11" ht="15.75" customHeight="1" x14ac:dyDescent="0.25">
      <c r="A1101" s="170">
        <v>961</v>
      </c>
      <c r="B1101" s="170" t="s">
        <v>4941</v>
      </c>
      <c r="C1101" s="170">
        <v>3</v>
      </c>
      <c r="D1101" s="170">
        <v>10</v>
      </c>
      <c r="E1101" s="170">
        <v>5</v>
      </c>
      <c r="F1101" s="170">
        <v>5</v>
      </c>
      <c r="G1101" s="170">
        <v>7</v>
      </c>
      <c r="H1101" s="170">
        <v>12</v>
      </c>
      <c r="I1101" s="170">
        <v>42</v>
      </c>
      <c r="J1101" s="105">
        <f t="shared" si="0"/>
        <v>7</v>
      </c>
      <c r="K1101" s="52"/>
    </row>
    <row r="1102" spans="1:11" ht="15.75" customHeight="1" x14ac:dyDescent="0.25">
      <c r="A1102" s="170">
        <v>962</v>
      </c>
      <c r="B1102" s="170" t="s">
        <v>4942</v>
      </c>
      <c r="C1102" s="170">
        <v>7</v>
      </c>
      <c r="D1102" s="170">
        <v>10</v>
      </c>
      <c r="E1102" s="170">
        <v>8</v>
      </c>
      <c r="F1102" s="170">
        <v>6</v>
      </c>
      <c r="G1102" s="170">
        <v>8</v>
      </c>
      <c r="H1102" s="170">
        <v>8</v>
      </c>
      <c r="I1102" s="170">
        <v>47</v>
      </c>
      <c r="J1102" s="105">
        <f t="shared" si="0"/>
        <v>7.833333333333333</v>
      </c>
      <c r="K1102" s="52"/>
    </row>
    <row r="1103" spans="1:11" ht="15.75" customHeight="1" x14ac:dyDescent="0.25">
      <c r="A1103" s="170">
        <v>963</v>
      </c>
      <c r="B1103" s="170" t="s">
        <v>4943</v>
      </c>
      <c r="C1103" s="170">
        <v>7</v>
      </c>
      <c r="D1103" s="170">
        <v>4</v>
      </c>
      <c r="E1103" s="170">
        <v>4</v>
      </c>
      <c r="F1103" s="170">
        <v>4</v>
      </c>
      <c r="G1103" s="170">
        <v>4</v>
      </c>
      <c r="H1103" s="170">
        <v>7</v>
      </c>
      <c r="I1103" s="170">
        <v>30</v>
      </c>
      <c r="J1103" s="105">
        <f t="shared" si="0"/>
        <v>5</v>
      </c>
      <c r="K1103" s="52"/>
    </row>
    <row r="1104" spans="1:11" ht="15.75" customHeight="1" x14ac:dyDescent="0.25">
      <c r="A1104" s="170">
        <v>964</v>
      </c>
      <c r="B1104" s="170" t="s">
        <v>4944</v>
      </c>
      <c r="C1104" s="170">
        <v>10</v>
      </c>
      <c r="D1104" s="170">
        <v>7</v>
      </c>
      <c r="E1104" s="170">
        <v>7</v>
      </c>
      <c r="F1104" s="170">
        <v>5</v>
      </c>
      <c r="G1104" s="170">
        <v>6</v>
      </c>
      <c r="H1104" s="170">
        <v>10</v>
      </c>
      <c r="I1104" s="170">
        <v>45</v>
      </c>
      <c r="J1104" s="105">
        <f t="shared" si="0"/>
        <v>7.5</v>
      </c>
      <c r="K1104" s="52"/>
    </row>
    <row r="1105" spans="1:11" ht="15.75" customHeight="1" x14ac:dyDescent="0.25">
      <c r="A1105" s="170">
        <v>964</v>
      </c>
      <c r="B1105" s="170" t="s">
        <v>4945</v>
      </c>
      <c r="C1105" s="170">
        <v>10</v>
      </c>
      <c r="D1105" s="170">
        <v>16</v>
      </c>
      <c r="E1105" s="170">
        <v>9</v>
      </c>
      <c r="F1105" s="170">
        <v>10</v>
      </c>
      <c r="G1105" s="170">
        <v>8</v>
      </c>
      <c r="H1105" s="170">
        <v>10</v>
      </c>
      <c r="I1105" s="170">
        <v>63</v>
      </c>
      <c r="J1105" s="105">
        <f t="shared" si="0"/>
        <v>10.5</v>
      </c>
      <c r="K1105" s="52"/>
    </row>
    <row r="1106" spans="1:11" ht="15.75" customHeight="1" x14ac:dyDescent="0.25">
      <c r="A1106" s="170">
        <v>965</v>
      </c>
      <c r="B1106" s="170" t="s">
        <v>4946</v>
      </c>
      <c r="C1106" s="170">
        <v>4</v>
      </c>
      <c r="D1106" s="170">
        <v>7</v>
      </c>
      <c r="E1106" s="170">
        <v>6</v>
      </c>
      <c r="F1106" s="170">
        <v>3</v>
      </c>
      <c r="G1106" s="170">
        <v>4</v>
      </c>
      <c r="H1106" s="170">
        <v>4</v>
      </c>
      <c r="I1106" s="170">
        <v>28</v>
      </c>
      <c r="J1106" s="105">
        <f t="shared" si="0"/>
        <v>4.666666666666667</v>
      </c>
      <c r="K1106" s="52"/>
    </row>
    <row r="1107" spans="1:11" ht="15.75" customHeight="1" x14ac:dyDescent="0.25">
      <c r="A1107" s="170">
        <v>966</v>
      </c>
      <c r="B1107" s="170" t="s">
        <v>4947</v>
      </c>
      <c r="C1107" s="170">
        <v>8</v>
      </c>
      <c r="D1107" s="170">
        <v>11</v>
      </c>
      <c r="E1107" s="170">
        <v>9</v>
      </c>
      <c r="F1107" s="170">
        <v>5</v>
      </c>
      <c r="G1107" s="170">
        <v>6</v>
      </c>
      <c r="H1107" s="170">
        <v>9</v>
      </c>
      <c r="I1107" s="170">
        <v>48</v>
      </c>
      <c r="J1107" s="105">
        <f t="shared" si="0"/>
        <v>8</v>
      </c>
      <c r="K1107" s="52"/>
    </row>
    <row r="1108" spans="1:11" ht="15.75" customHeight="1" x14ac:dyDescent="0.25">
      <c r="A1108" s="170">
        <v>967</v>
      </c>
      <c r="B1108" s="170" t="s">
        <v>4948</v>
      </c>
      <c r="C1108" s="170">
        <v>7</v>
      </c>
      <c r="D1108" s="170">
        <v>9</v>
      </c>
      <c r="E1108" s="170">
        <v>6</v>
      </c>
      <c r="F1108" s="170">
        <v>8</v>
      </c>
      <c r="G1108" s="170">
        <v>6</v>
      </c>
      <c r="H1108" s="170">
        <v>12</v>
      </c>
      <c r="I1108" s="170">
        <v>48</v>
      </c>
      <c r="J1108" s="105">
        <f t="shared" si="0"/>
        <v>8</v>
      </c>
      <c r="K1108" s="52"/>
    </row>
    <row r="1109" spans="1:11" ht="15.75" customHeight="1" x14ac:dyDescent="0.25">
      <c r="A1109" s="170">
        <v>968</v>
      </c>
      <c r="B1109" s="170" t="s">
        <v>4949</v>
      </c>
      <c r="C1109" s="170">
        <v>7</v>
      </c>
      <c r="D1109" s="170">
        <v>8</v>
      </c>
      <c r="E1109" s="170">
        <v>14</v>
      </c>
      <c r="F1109" s="170">
        <v>6</v>
      </c>
      <c r="G1109" s="170">
        <v>5</v>
      </c>
      <c r="H1109" s="170">
        <v>6</v>
      </c>
      <c r="I1109" s="170">
        <v>46</v>
      </c>
      <c r="J1109" s="105">
        <f t="shared" si="0"/>
        <v>7.666666666666667</v>
      </c>
      <c r="K1109" s="52"/>
    </row>
    <row r="1110" spans="1:11" ht="15.75" customHeight="1" x14ac:dyDescent="0.25">
      <c r="A1110" s="170">
        <v>969</v>
      </c>
      <c r="B1110" s="170" t="s">
        <v>4950</v>
      </c>
      <c r="C1110" s="170">
        <v>4</v>
      </c>
      <c r="D1110" s="170">
        <v>3</v>
      </c>
      <c r="E1110" s="170">
        <v>4</v>
      </c>
      <c r="F1110" s="170">
        <v>10</v>
      </c>
      <c r="G1110" s="170">
        <v>6</v>
      </c>
      <c r="H1110" s="170">
        <v>6</v>
      </c>
      <c r="I1110" s="170">
        <v>33</v>
      </c>
      <c r="J1110" s="105">
        <f t="shared" si="0"/>
        <v>5.5</v>
      </c>
      <c r="K1110" s="52"/>
    </row>
    <row r="1111" spans="1:11" ht="15.75" customHeight="1" x14ac:dyDescent="0.25">
      <c r="A1111" s="170">
        <v>970</v>
      </c>
      <c r="B1111" s="170" t="s">
        <v>4951</v>
      </c>
      <c r="C1111" s="170">
        <v>8</v>
      </c>
      <c r="D1111" s="170">
        <v>5</v>
      </c>
      <c r="E1111" s="170">
        <v>9</v>
      </c>
      <c r="F1111" s="170">
        <v>13</v>
      </c>
      <c r="G1111" s="170">
        <v>8</v>
      </c>
      <c r="H1111" s="170">
        <v>8</v>
      </c>
      <c r="I1111" s="170">
        <v>51</v>
      </c>
      <c r="J1111" s="105">
        <f t="shared" si="0"/>
        <v>8.5</v>
      </c>
      <c r="K1111" s="52"/>
    </row>
    <row r="1112" spans="1:11" ht="15.75" customHeight="1" x14ac:dyDescent="0.25">
      <c r="A1112" s="170">
        <v>971</v>
      </c>
      <c r="B1112" s="170" t="s">
        <v>4952</v>
      </c>
      <c r="C1112" s="170">
        <v>5</v>
      </c>
      <c r="D1112" s="170">
        <v>6</v>
      </c>
      <c r="E1112" s="170">
        <v>6</v>
      </c>
      <c r="F1112" s="170">
        <v>3</v>
      </c>
      <c r="G1112" s="170">
        <v>5</v>
      </c>
      <c r="H1112" s="170">
        <v>3</v>
      </c>
      <c r="I1112" s="170">
        <v>28</v>
      </c>
      <c r="J1112" s="105">
        <f t="shared" si="0"/>
        <v>4.666666666666667</v>
      </c>
      <c r="K1112" s="52"/>
    </row>
    <row r="1113" spans="1:11" ht="15.75" customHeight="1" x14ac:dyDescent="0.25">
      <c r="A1113" s="170">
        <v>972</v>
      </c>
      <c r="B1113" s="170" t="s">
        <v>4953</v>
      </c>
      <c r="C1113" s="170">
        <v>7</v>
      </c>
      <c r="D1113" s="170">
        <v>10</v>
      </c>
      <c r="E1113" s="170">
        <v>10</v>
      </c>
      <c r="F1113" s="170">
        <v>5</v>
      </c>
      <c r="G1113" s="170">
        <v>9</v>
      </c>
      <c r="H1113" s="170">
        <v>6</v>
      </c>
      <c r="I1113" s="170">
        <v>47</v>
      </c>
      <c r="J1113" s="105">
        <f t="shared" si="0"/>
        <v>7.833333333333333</v>
      </c>
      <c r="K1113" s="52"/>
    </row>
    <row r="1114" spans="1:11" ht="15.75" customHeight="1" x14ac:dyDescent="0.25">
      <c r="A1114" s="170">
        <v>973</v>
      </c>
      <c r="B1114" s="170" t="s">
        <v>4954</v>
      </c>
      <c r="C1114" s="170">
        <v>8</v>
      </c>
      <c r="D1114" s="170">
        <v>11</v>
      </c>
      <c r="E1114" s="170">
        <v>7</v>
      </c>
      <c r="F1114" s="170">
        <v>7</v>
      </c>
      <c r="G1114" s="170">
        <v>6</v>
      </c>
      <c r="H1114" s="170">
        <v>9</v>
      </c>
      <c r="I1114" s="170">
        <v>48</v>
      </c>
      <c r="J1114" s="105">
        <f t="shared" si="0"/>
        <v>8</v>
      </c>
      <c r="K1114" s="52"/>
    </row>
    <row r="1115" spans="1:11" ht="15.75" customHeight="1" x14ac:dyDescent="0.25">
      <c r="A1115" s="170">
        <v>974</v>
      </c>
      <c r="B1115" s="170" t="s">
        <v>4955</v>
      </c>
      <c r="C1115" s="170">
        <v>10</v>
      </c>
      <c r="D1115" s="170">
        <v>6</v>
      </c>
      <c r="E1115" s="170">
        <v>4</v>
      </c>
      <c r="F1115" s="170">
        <v>3</v>
      </c>
      <c r="G1115" s="170">
        <v>4</v>
      </c>
      <c r="H1115" s="170">
        <v>4</v>
      </c>
      <c r="I1115" s="170">
        <v>31</v>
      </c>
      <c r="J1115" s="105">
        <f t="shared" si="0"/>
        <v>5.166666666666667</v>
      </c>
      <c r="K1115" s="52"/>
    </row>
    <row r="1116" spans="1:11" ht="15.75" customHeight="1" x14ac:dyDescent="0.25">
      <c r="A1116" s="170">
        <v>975</v>
      </c>
      <c r="B1116" s="170" t="s">
        <v>4956</v>
      </c>
      <c r="C1116" s="170">
        <v>17</v>
      </c>
      <c r="D1116" s="170">
        <v>11</v>
      </c>
      <c r="E1116" s="170">
        <v>6</v>
      </c>
      <c r="F1116" s="170">
        <v>4</v>
      </c>
      <c r="G1116" s="170">
        <v>5</v>
      </c>
      <c r="H1116" s="170">
        <v>7</v>
      </c>
      <c r="I1116" s="170">
        <v>50</v>
      </c>
      <c r="J1116" s="105">
        <f t="shared" si="0"/>
        <v>8.3333333333333339</v>
      </c>
      <c r="K1116" s="52"/>
    </row>
    <row r="1117" spans="1:11" ht="15.75" customHeight="1" x14ac:dyDescent="0.25">
      <c r="A1117" s="170">
        <v>976</v>
      </c>
      <c r="B1117" s="170" t="s">
        <v>4957</v>
      </c>
      <c r="C1117" s="170">
        <v>9</v>
      </c>
      <c r="D1117" s="170">
        <v>10</v>
      </c>
      <c r="E1117" s="170">
        <v>7</v>
      </c>
      <c r="F1117" s="170">
        <v>7</v>
      </c>
      <c r="G1117" s="170">
        <v>6</v>
      </c>
      <c r="H1117" s="170">
        <v>7</v>
      </c>
      <c r="I1117" s="170">
        <v>46</v>
      </c>
      <c r="J1117" s="105">
        <f t="shared" si="0"/>
        <v>7.666666666666667</v>
      </c>
      <c r="K1117" s="52"/>
    </row>
    <row r="1118" spans="1:11" ht="15.75" customHeight="1" x14ac:dyDescent="0.25">
      <c r="A1118" s="170">
        <v>977</v>
      </c>
      <c r="B1118" s="170" t="s">
        <v>4958</v>
      </c>
      <c r="C1118" s="170">
        <v>15</v>
      </c>
      <c r="D1118" s="170">
        <v>10</v>
      </c>
      <c r="E1118" s="170">
        <v>11</v>
      </c>
      <c r="F1118" s="170">
        <v>6</v>
      </c>
      <c r="G1118" s="170">
        <v>6</v>
      </c>
      <c r="H1118" s="170">
        <v>3</v>
      </c>
      <c r="I1118" s="170">
        <v>51</v>
      </c>
      <c r="J1118" s="105">
        <f t="shared" si="0"/>
        <v>8.5</v>
      </c>
      <c r="K1118" s="52"/>
    </row>
    <row r="1119" spans="1:11" ht="15.75" customHeight="1" x14ac:dyDescent="0.25">
      <c r="A1119" s="170">
        <v>978</v>
      </c>
      <c r="B1119" s="170" t="s">
        <v>4959</v>
      </c>
      <c r="C1119" s="170">
        <v>6</v>
      </c>
      <c r="D1119" s="170">
        <v>5</v>
      </c>
      <c r="E1119" s="170">
        <v>6</v>
      </c>
      <c r="F1119" s="170">
        <v>12</v>
      </c>
      <c r="G1119" s="170">
        <v>9</v>
      </c>
      <c r="H1119" s="170">
        <v>8</v>
      </c>
      <c r="I1119" s="170">
        <v>46</v>
      </c>
      <c r="J1119" s="105">
        <f t="shared" si="0"/>
        <v>7.666666666666667</v>
      </c>
      <c r="K1119" s="52"/>
    </row>
    <row r="1120" spans="1:11" ht="15.75" customHeight="1" x14ac:dyDescent="0.25">
      <c r="A1120" s="170">
        <v>979</v>
      </c>
      <c r="B1120" s="170" t="s">
        <v>4960</v>
      </c>
      <c r="C1120" s="170">
        <v>11</v>
      </c>
      <c r="D1120" s="170">
        <v>11</v>
      </c>
      <c r="E1120" s="170">
        <v>8</v>
      </c>
      <c r="F1120" s="170">
        <v>5</v>
      </c>
      <c r="G1120" s="170">
        <v>9</v>
      </c>
      <c r="H1120" s="170">
        <v>9</v>
      </c>
      <c r="I1120" s="170">
        <v>53</v>
      </c>
      <c r="J1120" s="105">
        <f t="shared" si="0"/>
        <v>8.8333333333333339</v>
      </c>
      <c r="K1120" s="52"/>
    </row>
    <row r="1121" spans="1:11" ht="15.75" customHeight="1" x14ac:dyDescent="0.25">
      <c r="A1121" s="170">
        <v>980</v>
      </c>
      <c r="B1121" s="170" t="s">
        <v>4961</v>
      </c>
      <c r="C1121" s="170">
        <v>13</v>
      </c>
      <c r="D1121" s="170">
        <v>7</v>
      </c>
      <c r="E1121" s="170">
        <v>6</v>
      </c>
      <c r="F1121" s="170">
        <v>4</v>
      </c>
      <c r="G1121" s="170">
        <v>10</v>
      </c>
      <c r="H1121" s="170">
        <v>2</v>
      </c>
      <c r="I1121" s="170">
        <v>42</v>
      </c>
      <c r="J1121" s="105">
        <f t="shared" si="0"/>
        <v>7</v>
      </c>
      <c r="K1121" s="52"/>
    </row>
    <row r="1122" spans="1:11" ht="15.75" customHeight="1" x14ac:dyDescent="0.25">
      <c r="A1122" s="170">
        <v>981</v>
      </c>
      <c r="B1122" s="170" t="s">
        <v>4962</v>
      </c>
      <c r="C1122" s="170">
        <v>12</v>
      </c>
      <c r="D1122" s="170">
        <v>9</v>
      </c>
      <c r="E1122" s="170">
        <v>7</v>
      </c>
      <c r="F1122" s="170">
        <v>11</v>
      </c>
      <c r="G1122" s="170">
        <v>7</v>
      </c>
      <c r="H1122" s="170">
        <v>6</v>
      </c>
      <c r="I1122" s="170">
        <v>52</v>
      </c>
      <c r="J1122" s="105">
        <f t="shared" si="0"/>
        <v>8.6666666666666661</v>
      </c>
      <c r="K1122" s="52"/>
    </row>
    <row r="1123" spans="1:11" ht="15.75" customHeight="1" x14ac:dyDescent="0.25">
      <c r="A1123" s="170">
        <v>982</v>
      </c>
      <c r="B1123" s="170" t="s">
        <v>4963</v>
      </c>
      <c r="C1123" s="170">
        <v>12</v>
      </c>
      <c r="D1123" s="170">
        <v>10</v>
      </c>
      <c r="E1123" s="170">
        <v>8</v>
      </c>
      <c r="F1123" s="170">
        <v>8</v>
      </c>
      <c r="G1123" s="170">
        <v>7</v>
      </c>
      <c r="H1123" s="170">
        <v>5</v>
      </c>
      <c r="I1123" s="170">
        <v>50</v>
      </c>
      <c r="J1123" s="105">
        <f t="shared" si="0"/>
        <v>8.3333333333333339</v>
      </c>
      <c r="K1123" s="52"/>
    </row>
    <row r="1124" spans="1:11" ht="15.75" customHeight="1" x14ac:dyDescent="0.25">
      <c r="A1124" s="170">
        <v>983</v>
      </c>
      <c r="B1124" s="170" t="s">
        <v>4964</v>
      </c>
      <c r="C1124" s="170">
        <v>10</v>
      </c>
      <c r="D1124" s="170">
        <v>13</v>
      </c>
      <c r="E1124" s="170">
        <v>12</v>
      </c>
      <c r="F1124" s="170">
        <v>6</v>
      </c>
      <c r="G1124" s="170">
        <v>8</v>
      </c>
      <c r="H1124" s="170">
        <v>5</v>
      </c>
      <c r="I1124" s="170">
        <v>54</v>
      </c>
      <c r="J1124" s="105">
        <f t="shared" si="0"/>
        <v>9</v>
      </c>
      <c r="K1124" s="52"/>
    </row>
    <row r="1125" spans="1:11" ht="15.75" customHeight="1" x14ac:dyDescent="0.25">
      <c r="A1125" s="170">
        <v>984</v>
      </c>
      <c r="B1125" s="170" t="s">
        <v>4965</v>
      </c>
      <c r="C1125" s="170">
        <v>11</v>
      </c>
      <c r="D1125" s="170">
        <v>13</v>
      </c>
      <c r="E1125" s="170">
        <v>13</v>
      </c>
      <c r="F1125" s="170">
        <v>5</v>
      </c>
      <c r="G1125" s="170">
        <v>5</v>
      </c>
      <c r="H1125" s="170">
        <v>8</v>
      </c>
      <c r="I1125" s="170">
        <v>55</v>
      </c>
      <c r="J1125" s="105">
        <f t="shared" si="0"/>
        <v>9.1666666666666661</v>
      </c>
      <c r="K1125" s="52"/>
    </row>
    <row r="1126" spans="1:11" ht="15.75" customHeight="1" x14ac:dyDescent="0.25">
      <c r="A1126" s="170">
        <v>985</v>
      </c>
      <c r="B1126" s="170" t="s">
        <v>4966</v>
      </c>
      <c r="C1126" s="170">
        <v>11</v>
      </c>
      <c r="D1126" s="170">
        <v>6</v>
      </c>
      <c r="E1126" s="170">
        <v>9</v>
      </c>
      <c r="F1126" s="170">
        <v>6</v>
      </c>
      <c r="G1126" s="170">
        <v>11</v>
      </c>
      <c r="H1126" s="170">
        <v>11</v>
      </c>
      <c r="I1126" s="170">
        <v>54</v>
      </c>
      <c r="J1126" s="105">
        <f t="shared" si="0"/>
        <v>9</v>
      </c>
      <c r="K1126" s="52"/>
    </row>
    <row r="1127" spans="1:11" ht="15.75" customHeight="1" x14ac:dyDescent="0.25">
      <c r="A1127" s="170">
        <v>986</v>
      </c>
      <c r="B1127" s="170" t="s">
        <v>4967</v>
      </c>
      <c r="C1127" s="170">
        <v>11</v>
      </c>
      <c r="D1127" s="170">
        <v>12</v>
      </c>
      <c r="E1127" s="170">
        <v>9</v>
      </c>
      <c r="F1127" s="170">
        <v>7</v>
      </c>
      <c r="G1127" s="170">
        <v>9</v>
      </c>
      <c r="H1127" s="170">
        <v>5</v>
      </c>
      <c r="I1127" s="170">
        <v>53</v>
      </c>
      <c r="J1127" s="105">
        <f t="shared" si="0"/>
        <v>8.8333333333333339</v>
      </c>
      <c r="K1127" s="52"/>
    </row>
    <row r="1128" spans="1:11" ht="15.75" customHeight="1" x14ac:dyDescent="0.25">
      <c r="A1128" s="170">
        <v>987</v>
      </c>
      <c r="B1128" s="170" t="s">
        <v>4968</v>
      </c>
      <c r="C1128" s="170">
        <v>5</v>
      </c>
      <c r="D1128" s="170">
        <v>5</v>
      </c>
      <c r="E1128" s="170">
        <v>5</v>
      </c>
      <c r="F1128" s="170">
        <v>13</v>
      </c>
      <c r="G1128" s="170">
        <v>13</v>
      </c>
      <c r="H1128" s="170">
        <v>13</v>
      </c>
      <c r="I1128" s="170">
        <v>54</v>
      </c>
      <c r="J1128" s="105">
        <f t="shared" si="0"/>
        <v>9</v>
      </c>
      <c r="K1128" s="52"/>
    </row>
    <row r="1129" spans="1:11" ht="15.75" customHeight="1" x14ac:dyDescent="0.25">
      <c r="A1129" s="170">
        <v>988</v>
      </c>
      <c r="B1129" s="170" t="s">
        <v>4969</v>
      </c>
      <c r="C1129" s="170">
        <v>8</v>
      </c>
      <c r="D1129" s="170">
        <v>13</v>
      </c>
      <c r="E1129" s="170">
        <v>7</v>
      </c>
      <c r="F1129" s="170">
        <v>8</v>
      </c>
      <c r="G1129" s="170">
        <v>10</v>
      </c>
      <c r="H1129" s="170">
        <v>8</v>
      </c>
      <c r="I1129" s="170">
        <v>54</v>
      </c>
      <c r="J1129" s="105">
        <f t="shared" si="0"/>
        <v>9</v>
      </c>
      <c r="K1129" s="52"/>
    </row>
    <row r="1130" spans="1:11" ht="15.75" customHeight="1" x14ac:dyDescent="0.25">
      <c r="A1130" s="170">
        <v>989</v>
      </c>
      <c r="B1130" s="170" t="s">
        <v>4970</v>
      </c>
      <c r="C1130" s="170">
        <v>8</v>
      </c>
      <c r="D1130" s="170">
        <v>8</v>
      </c>
      <c r="E1130" s="170">
        <v>9</v>
      </c>
      <c r="F1130" s="170">
        <v>12</v>
      </c>
      <c r="G1130" s="170">
        <v>8</v>
      </c>
      <c r="H1130" s="170">
        <v>10</v>
      </c>
      <c r="I1130" s="170">
        <v>55</v>
      </c>
      <c r="J1130" s="105">
        <f t="shared" si="0"/>
        <v>9.1666666666666661</v>
      </c>
      <c r="K1130" s="52"/>
    </row>
    <row r="1131" spans="1:11" ht="15.75" customHeight="1" x14ac:dyDescent="0.25">
      <c r="A1131" s="170">
        <v>990</v>
      </c>
      <c r="B1131" s="170" t="s">
        <v>4971</v>
      </c>
      <c r="C1131" s="170">
        <v>9</v>
      </c>
      <c r="D1131" s="170">
        <v>11</v>
      </c>
      <c r="E1131" s="170">
        <v>12</v>
      </c>
      <c r="F1131" s="170">
        <v>7</v>
      </c>
      <c r="G1131" s="170">
        <v>7</v>
      </c>
      <c r="H1131" s="170">
        <v>10</v>
      </c>
      <c r="I1131" s="170">
        <v>56</v>
      </c>
      <c r="J1131" s="105">
        <f t="shared" si="0"/>
        <v>9.3333333333333339</v>
      </c>
      <c r="K1131" s="52"/>
    </row>
    <row r="1132" spans="1:11" ht="15.75" customHeight="1" x14ac:dyDescent="0.25">
      <c r="A1132" s="170">
        <v>991</v>
      </c>
      <c r="B1132" s="170" t="s">
        <v>4972</v>
      </c>
      <c r="C1132" s="170">
        <v>5</v>
      </c>
      <c r="D1132" s="170">
        <v>8</v>
      </c>
      <c r="E1132" s="170">
        <v>11</v>
      </c>
      <c r="F1132" s="170">
        <v>12</v>
      </c>
      <c r="G1132" s="170">
        <v>6</v>
      </c>
      <c r="H1132" s="170">
        <v>13</v>
      </c>
      <c r="I1132" s="170">
        <v>55</v>
      </c>
      <c r="J1132" s="105">
        <f t="shared" si="0"/>
        <v>9.1666666666666661</v>
      </c>
      <c r="K1132" s="52"/>
    </row>
    <row r="1133" spans="1:11" ht="15.75" customHeight="1" x14ac:dyDescent="0.25">
      <c r="A1133" s="170">
        <v>992</v>
      </c>
      <c r="B1133" s="170" t="s">
        <v>4973</v>
      </c>
      <c r="C1133" s="170">
        <v>15</v>
      </c>
      <c r="D1133" s="170">
        <v>14</v>
      </c>
      <c r="E1133" s="170">
        <v>10</v>
      </c>
      <c r="F1133" s="170">
        <v>5</v>
      </c>
      <c r="G1133" s="170">
        <v>6</v>
      </c>
      <c r="H1133" s="170">
        <v>5</v>
      </c>
      <c r="I1133" s="170">
        <v>55</v>
      </c>
      <c r="J1133" s="105">
        <f t="shared" si="0"/>
        <v>9.1666666666666661</v>
      </c>
      <c r="K1133" s="52"/>
    </row>
    <row r="1134" spans="1:11" ht="15.75" customHeight="1" x14ac:dyDescent="0.25">
      <c r="A1134" s="170">
        <v>993</v>
      </c>
      <c r="B1134" s="170" t="s">
        <v>4974</v>
      </c>
      <c r="C1134" s="170">
        <v>9</v>
      </c>
      <c r="D1134" s="170">
        <v>8</v>
      </c>
      <c r="E1134" s="170">
        <v>8</v>
      </c>
      <c r="F1134" s="170">
        <v>12</v>
      </c>
      <c r="G1134" s="170">
        <v>8</v>
      </c>
      <c r="H1134" s="170">
        <v>10</v>
      </c>
      <c r="I1134" s="170">
        <v>55</v>
      </c>
      <c r="J1134" s="105">
        <f t="shared" si="0"/>
        <v>9.1666666666666661</v>
      </c>
      <c r="K1134" s="52"/>
    </row>
    <row r="1135" spans="1:11" ht="15.75" customHeight="1" x14ac:dyDescent="0.25">
      <c r="A1135" s="170">
        <v>994</v>
      </c>
      <c r="B1135" s="170" t="s">
        <v>4975</v>
      </c>
      <c r="C1135" s="170">
        <v>8</v>
      </c>
      <c r="D1135" s="170">
        <v>7</v>
      </c>
      <c r="E1135" s="170">
        <v>6</v>
      </c>
      <c r="F1135" s="170">
        <v>14</v>
      </c>
      <c r="G1135" s="170">
        <v>11</v>
      </c>
      <c r="H1135" s="170">
        <v>11</v>
      </c>
      <c r="I1135" s="170">
        <v>57</v>
      </c>
      <c r="J1135" s="105">
        <f t="shared" si="0"/>
        <v>9.5</v>
      </c>
      <c r="K1135" s="52"/>
    </row>
    <row r="1136" spans="1:11" ht="15.75" customHeight="1" x14ac:dyDescent="0.25">
      <c r="A1136" s="170">
        <v>995</v>
      </c>
      <c r="B1136" s="170" t="s">
        <v>4976</v>
      </c>
      <c r="C1136" s="170">
        <v>10</v>
      </c>
      <c r="D1136" s="170">
        <v>13</v>
      </c>
      <c r="E1136" s="170">
        <v>11</v>
      </c>
      <c r="F1136" s="170">
        <v>7</v>
      </c>
      <c r="G1136" s="170">
        <v>8</v>
      </c>
      <c r="H1136" s="170">
        <v>7</v>
      </c>
      <c r="I1136" s="170">
        <v>56</v>
      </c>
      <c r="J1136" s="105">
        <f t="shared" si="0"/>
        <v>9.3333333333333339</v>
      </c>
      <c r="K1136" s="52"/>
    </row>
    <row r="1137" spans="1:11" ht="15.75" customHeight="1" x14ac:dyDescent="0.25">
      <c r="A1137" s="170">
        <v>996</v>
      </c>
      <c r="B1137" s="170" t="s">
        <v>4977</v>
      </c>
      <c r="C1137" s="170">
        <v>6</v>
      </c>
      <c r="D1137" s="170">
        <v>7</v>
      </c>
      <c r="E1137" s="170">
        <v>4</v>
      </c>
      <c r="F1137" s="170">
        <v>3</v>
      </c>
      <c r="G1137" s="170">
        <v>4</v>
      </c>
      <c r="H1137" s="170">
        <v>5</v>
      </c>
      <c r="I1137" s="170">
        <v>29</v>
      </c>
      <c r="J1137" s="105">
        <f t="shared" si="0"/>
        <v>4.833333333333333</v>
      </c>
      <c r="K1137" s="52"/>
    </row>
    <row r="1138" spans="1:11" ht="15.75" customHeight="1" x14ac:dyDescent="0.25">
      <c r="A1138" s="170">
        <v>997</v>
      </c>
      <c r="B1138" s="170" t="s">
        <v>4978</v>
      </c>
      <c r="C1138" s="170">
        <v>9</v>
      </c>
      <c r="D1138" s="170">
        <v>9</v>
      </c>
      <c r="E1138" s="170">
        <v>6</v>
      </c>
      <c r="F1138" s="170">
        <v>4</v>
      </c>
      <c r="G1138" s="170">
        <v>6</v>
      </c>
      <c r="H1138" s="170">
        <v>6</v>
      </c>
      <c r="I1138" s="170">
        <v>40</v>
      </c>
      <c r="J1138" s="105">
        <f t="shared" si="0"/>
        <v>6.666666666666667</v>
      </c>
      <c r="K1138" s="52"/>
    </row>
    <row r="1139" spans="1:11" ht="15.75" customHeight="1" x14ac:dyDescent="0.25">
      <c r="A1139" s="170">
        <v>998</v>
      </c>
      <c r="B1139" s="170" t="s">
        <v>4979</v>
      </c>
      <c r="C1139" s="170">
        <v>11</v>
      </c>
      <c r="D1139" s="170">
        <v>14</v>
      </c>
      <c r="E1139" s="170">
        <v>9</v>
      </c>
      <c r="F1139" s="170">
        <v>7</v>
      </c>
      <c r="G1139" s="170">
        <v>8</v>
      </c>
      <c r="H1139" s="170">
        <v>8</v>
      </c>
      <c r="I1139" s="170">
        <v>57</v>
      </c>
      <c r="J1139" s="105">
        <f t="shared" si="0"/>
        <v>9.5</v>
      </c>
      <c r="K1139" s="52"/>
    </row>
    <row r="1140" spans="1:11" ht="15.75" customHeight="1" x14ac:dyDescent="0.25">
      <c r="A1140" s="170">
        <v>999</v>
      </c>
      <c r="B1140" s="170" t="s">
        <v>4980</v>
      </c>
      <c r="C1140" s="170">
        <v>4</v>
      </c>
      <c r="D1140" s="170">
        <v>3</v>
      </c>
      <c r="E1140" s="170">
        <v>7</v>
      </c>
      <c r="F1140" s="170">
        <v>7</v>
      </c>
      <c r="G1140" s="170">
        <v>7</v>
      </c>
      <c r="H1140" s="170">
        <v>1</v>
      </c>
      <c r="I1140" s="170">
        <v>29</v>
      </c>
      <c r="J1140" s="105">
        <f t="shared" si="0"/>
        <v>4.833333333333333</v>
      </c>
      <c r="K1140" s="52"/>
    </row>
    <row r="1141" spans="1:11" ht="15.75" customHeight="1" x14ac:dyDescent="0.25">
      <c r="A1141" s="170">
        <v>999</v>
      </c>
      <c r="B1141" s="170" t="s">
        <v>4981</v>
      </c>
      <c r="C1141" s="170">
        <v>4</v>
      </c>
      <c r="D1141" s="170">
        <v>3</v>
      </c>
      <c r="E1141" s="170">
        <v>2</v>
      </c>
      <c r="F1141" s="170">
        <v>7</v>
      </c>
      <c r="G1141" s="170">
        <v>4</v>
      </c>
      <c r="H1141" s="170">
        <v>8</v>
      </c>
      <c r="I1141" s="170">
        <v>28</v>
      </c>
      <c r="J1141" s="105">
        <f t="shared" si="0"/>
        <v>4.666666666666667</v>
      </c>
      <c r="K1141" s="52"/>
    </row>
    <row r="1142" spans="1:11" ht="15.75" customHeight="1" x14ac:dyDescent="0.25">
      <c r="A1142" s="170">
        <v>1000</v>
      </c>
      <c r="B1142" s="170" t="s">
        <v>4982</v>
      </c>
      <c r="C1142" s="170">
        <v>8</v>
      </c>
      <c r="D1142" s="170">
        <v>6</v>
      </c>
      <c r="E1142" s="170">
        <v>9</v>
      </c>
      <c r="F1142" s="170">
        <v>13</v>
      </c>
      <c r="G1142" s="170">
        <v>9</v>
      </c>
      <c r="H1142" s="170">
        <v>8</v>
      </c>
      <c r="I1142" s="170">
        <v>53</v>
      </c>
      <c r="J1142" s="105">
        <f t="shared" si="0"/>
        <v>8.8333333333333339</v>
      </c>
      <c r="K1142" s="52"/>
    </row>
    <row r="1143" spans="1:11" ht="15.75" customHeight="1" x14ac:dyDescent="0.25">
      <c r="A1143" s="170">
        <v>1001</v>
      </c>
      <c r="B1143" s="170" t="s">
        <v>4983</v>
      </c>
      <c r="C1143" s="170">
        <v>8</v>
      </c>
      <c r="D1143" s="170">
        <v>8</v>
      </c>
      <c r="E1143" s="170">
        <v>10</v>
      </c>
      <c r="F1143" s="170">
        <v>9</v>
      </c>
      <c r="G1143" s="170">
        <v>13</v>
      </c>
      <c r="H1143" s="170">
        <v>7</v>
      </c>
      <c r="I1143" s="170">
        <v>55</v>
      </c>
      <c r="J1143" s="105">
        <f t="shared" si="0"/>
        <v>9.1666666666666661</v>
      </c>
      <c r="K1143" s="52"/>
    </row>
    <row r="1144" spans="1:11" ht="15.75" customHeight="1" x14ac:dyDescent="0.25">
      <c r="A1144" s="170">
        <v>1002</v>
      </c>
      <c r="B1144" s="170" t="s">
        <v>4984</v>
      </c>
      <c r="C1144" s="170">
        <v>8</v>
      </c>
      <c r="D1144" s="170">
        <v>12</v>
      </c>
      <c r="E1144" s="170">
        <v>8</v>
      </c>
      <c r="F1144" s="170">
        <v>9</v>
      </c>
      <c r="G1144" s="170">
        <v>6</v>
      </c>
      <c r="H1144" s="170">
        <v>13</v>
      </c>
      <c r="I1144" s="170">
        <v>56</v>
      </c>
      <c r="J1144" s="105">
        <f t="shared" si="0"/>
        <v>9.3333333333333339</v>
      </c>
      <c r="K1144" s="52"/>
    </row>
    <row r="1145" spans="1:11" ht="15.75" customHeight="1" x14ac:dyDescent="0.25">
      <c r="A1145" s="170">
        <v>1003</v>
      </c>
      <c r="B1145" s="170" t="s">
        <v>4985</v>
      </c>
      <c r="C1145" s="170">
        <v>15</v>
      </c>
      <c r="D1145" s="170">
        <v>11</v>
      </c>
      <c r="E1145" s="170">
        <v>12</v>
      </c>
      <c r="F1145" s="170">
        <v>5</v>
      </c>
      <c r="G1145" s="170">
        <v>8</v>
      </c>
      <c r="H1145" s="170">
        <v>4</v>
      </c>
      <c r="I1145" s="170">
        <v>55</v>
      </c>
      <c r="J1145" s="105">
        <f t="shared" si="0"/>
        <v>9.1666666666666661</v>
      </c>
      <c r="K1145" s="52"/>
    </row>
    <row r="1146" spans="1:11" ht="15.75" customHeight="1" x14ac:dyDescent="0.25">
      <c r="A1146" s="170">
        <v>1004</v>
      </c>
      <c r="B1146" s="170" t="s">
        <v>4986</v>
      </c>
      <c r="C1146" s="170">
        <v>5</v>
      </c>
      <c r="D1146" s="170">
        <v>8</v>
      </c>
      <c r="E1146" s="170">
        <v>8</v>
      </c>
      <c r="F1146" s="170">
        <v>13</v>
      </c>
      <c r="G1146" s="170">
        <v>12</v>
      </c>
      <c r="H1146" s="170">
        <v>10</v>
      </c>
      <c r="I1146" s="170">
        <v>56</v>
      </c>
      <c r="J1146" s="105">
        <f t="shared" si="0"/>
        <v>9.3333333333333339</v>
      </c>
      <c r="K1146" s="52"/>
    </row>
    <row r="1147" spans="1:11" ht="15.75" customHeight="1" x14ac:dyDescent="0.25">
      <c r="A1147" s="170">
        <v>1005</v>
      </c>
      <c r="B1147" s="170" t="s">
        <v>4987</v>
      </c>
      <c r="C1147" s="170">
        <v>10</v>
      </c>
      <c r="D1147" s="170">
        <v>13</v>
      </c>
      <c r="E1147" s="170">
        <v>7</v>
      </c>
      <c r="F1147" s="170">
        <v>5</v>
      </c>
      <c r="G1147" s="170">
        <v>10</v>
      </c>
      <c r="H1147" s="170">
        <v>11</v>
      </c>
      <c r="I1147" s="170">
        <v>56</v>
      </c>
      <c r="J1147" s="105">
        <f t="shared" si="0"/>
        <v>9.3333333333333339</v>
      </c>
      <c r="K1147" s="52"/>
    </row>
    <row r="1148" spans="1:11" ht="15.75" customHeight="1" x14ac:dyDescent="0.25">
      <c r="A1148" s="170">
        <v>1006</v>
      </c>
      <c r="B1148" s="170" t="s">
        <v>4988</v>
      </c>
      <c r="C1148" s="170">
        <v>7</v>
      </c>
      <c r="D1148" s="170">
        <v>13</v>
      </c>
      <c r="E1148" s="170">
        <v>9</v>
      </c>
      <c r="F1148" s="170">
        <v>12</v>
      </c>
      <c r="G1148" s="170">
        <v>6</v>
      </c>
      <c r="H1148" s="170">
        <v>11</v>
      </c>
      <c r="I1148" s="170">
        <v>58</v>
      </c>
      <c r="J1148" s="105">
        <f t="shared" si="0"/>
        <v>9.6666666666666661</v>
      </c>
      <c r="K1148" s="52"/>
    </row>
    <row r="1149" spans="1:11" ht="15.75" customHeight="1" x14ac:dyDescent="0.25">
      <c r="A1149" s="170">
        <v>1007</v>
      </c>
      <c r="B1149" s="170" t="s">
        <v>4989</v>
      </c>
      <c r="C1149" s="170">
        <v>10</v>
      </c>
      <c r="D1149" s="170">
        <v>13</v>
      </c>
      <c r="E1149" s="170">
        <v>11</v>
      </c>
      <c r="F1149" s="170">
        <v>8</v>
      </c>
      <c r="G1149" s="170">
        <v>10</v>
      </c>
      <c r="H1149" s="170">
        <v>13</v>
      </c>
      <c r="I1149" s="170">
        <v>65</v>
      </c>
      <c r="J1149" s="105">
        <f t="shared" si="0"/>
        <v>10.833333333333334</v>
      </c>
      <c r="K1149" s="52"/>
    </row>
    <row r="1150" spans="1:11" ht="15.75" customHeight="1" x14ac:dyDescent="0.25">
      <c r="A1150" s="170">
        <v>1008</v>
      </c>
      <c r="B1150" s="170" t="s">
        <v>4990</v>
      </c>
      <c r="C1150" s="170">
        <v>10</v>
      </c>
      <c r="D1150" s="170">
        <v>8</v>
      </c>
      <c r="E1150" s="170">
        <v>10</v>
      </c>
      <c r="F1150" s="170">
        <v>13</v>
      </c>
      <c r="G1150" s="170">
        <v>11</v>
      </c>
      <c r="H1150" s="170">
        <v>13</v>
      </c>
      <c r="I1150" s="170">
        <v>65</v>
      </c>
      <c r="J1150" s="105">
        <f t="shared" si="0"/>
        <v>10.833333333333334</v>
      </c>
      <c r="K1150" s="52"/>
    </row>
    <row r="1151" spans="1:11" ht="15.75" customHeight="1" x14ac:dyDescent="0.25">
      <c r="A1151" s="170">
        <v>1009</v>
      </c>
      <c r="B1151" s="170" t="s">
        <v>4991</v>
      </c>
      <c r="C1151" s="170">
        <v>9</v>
      </c>
      <c r="D1151" s="170">
        <v>8</v>
      </c>
      <c r="E1151" s="170">
        <v>9</v>
      </c>
      <c r="F1151" s="170">
        <v>12</v>
      </c>
      <c r="G1151" s="170">
        <v>8</v>
      </c>
      <c r="H1151" s="170">
        <v>10</v>
      </c>
      <c r="I1151" s="170">
        <v>56</v>
      </c>
      <c r="J1151" s="105">
        <f t="shared" si="0"/>
        <v>9.3333333333333339</v>
      </c>
      <c r="K1151" s="52"/>
    </row>
    <row r="1152" spans="1:11" ht="15.75" customHeight="1" x14ac:dyDescent="0.25">
      <c r="A1152" s="170">
        <v>1010</v>
      </c>
      <c r="B1152" s="170" t="s">
        <v>4992</v>
      </c>
      <c r="C1152" s="170">
        <v>9</v>
      </c>
      <c r="D1152" s="170">
        <v>13</v>
      </c>
      <c r="E1152" s="170">
        <v>8</v>
      </c>
      <c r="F1152" s="170">
        <v>7</v>
      </c>
      <c r="G1152" s="170">
        <v>10</v>
      </c>
      <c r="H1152" s="170">
        <v>10</v>
      </c>
      <c r="I1152" s="170">
        <v>57</v>
      </c>
      <c r="J1152" s="105">
        <f t="shared" si="0"/>
        <v>9.5</v>
      </c>
      <c r="K1152" s="52"/>
    </row>
    <row r="1153" spans="1:11" ht="15.75" customHeight="1" x14ac:dyDescent="0.25">
      <c r="A1153" s="170">
        <v>58</v>
      </c>
      <c r="B1153" s="170" t="s">
        <v>4993</v>
      </c>
      <c r="C1153" s="52">
        <v>6</v>
      </c>
      <c r="D1153" s="52">
        <v>7</v>
      </c>
      <c r="E1153" s="52">
        <v>4</v>
      </c>
      <c r="F1153" s="52">
        <v>6</v>
      </c>
      <c r="G1153" s="52">
        <v>5</v>
      </c>
      <c r="H1153" s="52">
        <v>5</v>
      </c>
      <c r="I1153" s="52">
        <f t="shared" ref="I1153:I1168" si="1">SUM(C1153:H1153)</f>
        <v>33</v>
      </c>
      <c r="J1153" s="105">
        <f t="shared" si="0"/>
        <v>5.5</v>
      </c>
      <c r="K1153" s="52"/>
    </row>
    <row r="1154" spans="1:11" ht="15.75" customHeight="1" x14ac:dyDescent="0.25">
      <c r="A1154" s="170">
        <v>59</v>
      </c>
      <c r="B1154" s="170" t="s">
        <v>4994</v>
      </c>
      <c r="C1154" s="52">
        <v>9</v>
      </c>
      <c r="D1154" s="52">
        <v>11</v>
      </c>
      <c r="E1154" s="52">
        <v>8</v>
      </c>
      <c r="F1154" s="52">
        <v>9</v>
      </c>
      <c r="G1154" s="52">
        <v>8</v>
      </c>
      <c r="H1154" s="52">
        <v>9</v>
      </c>
      <c r="I1154" s="52">
        <f t="shared" si="1"/>
        <v>54</v>
      </c>
      <c r="J1154" s="105">
        <f t="shared" si="0"/>
        <v>9</v>
      </c>
      <c r="K1154" s="52"/>
    </row>
    <row r="1155" spans="1:11" ht="15.75" customHeight="1" x14ac:dyDescent="0.25">
      <c r="A1155" s="170">
        <v>100</v>
      </c>
      <c r="B1155" s="170" t="s">
        <v>4995</v>
      </c>
      <c r="C1155" s="52">
        <v>4</v>
      </c>
      <c r="D1155" s="52">
        <v>3</v>
      </c>
      <c r="E1155" s="52">
        <v>5</v>
      </c>
      <c r="F1155" s="52">
        <v>5</v>
      </c>
      <c r="G1155" s="52">
        <v>5</v>
      </c>
      <c r="H1155" s="52">
        <v>10</v>
      </c>
      <c r="I1155" s="52">
        <f t="shared" si="1"/>
        <v>32</v>
      </c>
      <c r="J1155" s="105">
        <f t="shared" si="0"/>
        <v>5.333333333333333</v>
      </c>
      <c r="K1155" s="52"/>
    </row>
    <row r="1156" spans="1:11" ht="15.75" customHeight="1" x14ac:dyDescent="0.25">
      <c r="A1156" s="170">
        <v>101</v>
      </c>
      <c r="B1156" s="170" t="s">
        <v>4996</v>
      </c>
      <c r="C1156" s="52">
        <v>6</v>
      </c>
      <c r="D1156" s="52">
        <v>5</v>
      </c>
      <c r="E1156" s="52">
        <v>7</v>
      </c>
      <c r="F1156" s="52">
        <v>8</v>
      </c>
      <c r="G1156" s="52">
        <v>8</v>
      </c>
      <c r="H1156" s="52">
        <v>15</v>
      </c>
      <c r="I1156" s="52">
        <f t="shared" si="1"/>
        <v>49</v>
      </c>
      <c r="J1156" s="105">
        <f t="shared" si="0"/>
        <v>8.1666666666666661</v>
      </c>
      <c r="K1156" s="52"/>
    </row>
    <row r="1157" spans="1:11" ht="15.75" customHeight="1" x14ac:dyDescent="0.25">
      <c r="A1157" s="170">
        <v>157</v>
      </c>
      <c r="B1157" s="170" t="s">
        <v>4997</v>
      </c>
      <c r="C1157" s="52">
        <v>7</v>
      </c>
      <c r="D1157" s="52">
        <v>8</v>
      </c>
      <c r="E1157" s="52">
        <v>7</v>
      </c>
      <c r="F1157" s="52">
        <v>11</v>
      </c>
      <c r="G1157" s="52">
        <v>8</v>
      </c>
      <c r="H1157" s="52">
        <v>9</v>
      </c>
      <c r="I1157" s="52">
        <f t="shared" si="1"/>
        <v>50</v>
      </c>
      <c r="J1157" s="105">
        <f t="shared" si="0"/>
        <v>8.3333333333333339</v>
      </c>
      <c r="K1157" s="52"/>
    </row>
    <row r="1158" spans="1:11" ht="15.75" customHeight="1" x14ac:dyDescent="0.25">
      <c r="A1158" s="170">
        <v>211</v>
      </c>
      <c r="B1158" s="170" t="s">
        <v>4998</v>
      </c>
      <c r="C1158" s="52">
        <v>6</v>
      </c>
      <c r="D1158" s="52">
        <v>9</v>
      </c>
      <c r="E1158" s="52">
        <v>8</v>
      </c>
      <c r="F1158" s="52">
        <v>5</v>
      </c>
      <c r="G1158" s="52">
        <v>5</v>
      </c>
      <c r="H1158" s="52">
        <v>8</v>
      </c>
      <c r="I1158" s="52">
        <f t="shared" si="1"/>
        <v>41</v>
      </c>
      <c r="J1158" s="105">
        <f t="shared" si="0"/>
        <v>6.833333333333333</v>
      </c>
      <c r="K1158" s="52"/>
    </row>
    <row r="1159" spans="1:11" ht="15.75" customHeight="1" x14ac:dyDescent="0.25">
      <c r="A1159" s="170">
        <v>215</v>
      </c>
      <c r="B1159" s="170" t="s">
        <v>4999</v>
      </c>
      <c r="C1159" s="52">
        <v>5</v>
      </c>
      <c r="D1159" s="52">
        <v>9</v>
      </c>
      <c r="E1159" s="52">
        <v>5</v>
      </c>
      <c r="F1159" s="52">
        <v>3</v>
      </c>
      <c r="G1159" s="52">
        <v>7</v>
      </c>
      <c r="H1159" s="52">
        <v>11</v>
      </c>
      <c r="I1159" s="52">
        <f t="shared" si="1"/>
        <v>40</v>
      </c>
      <c r="J1159" s="105">
        <f t="shared" si="0"/>
        <v>6.666666666666667</v>
      </c>
      <c r="K1159" s="52"/>
    </row>
    <row r="1160" spans="1:11" ht="15.75" customHeight="1" x14ac:dyDescent="0.25">
      <c r="A1160" s="170">
        <v>503</v>
      </c>
      <c r="B1160" s="170" t="s">
        <v>5000</v>
      </c>
      <c r="C1160" s="52">
        <v>9</v>
      </c>
      <c r="D1160" s="52">
        <v>10</v>
      </c>
      <c r="E1160" s="52">
        <v>8</v>
      </c>
      <c r="F1160" s="52">
        <v>10</v>
      </c>
      <c r="G1160" s="52">
        <v>6</v>
      </c>
      <c r="H1160" s="52">
        <v>8</v>
      </c>
      <c r="I1160" s="52">
        <f t="shared" si="1"/>
        <v>51</v>
      </c>
      <c r="J1160" s="105">
        <f t="shared" si="0"/>
        <v>8.5</v>
      </c>
      <c r="K1160" s="52"/>
    </row>
    <row r="1161" spans="1:11" ht="15.75" customHeight="1" x14ac:dyDescent="0.25">
      <c r="A1161" s="170">
        <v>549</v>
      </c>
      <c r="B1161" s="170" t="s">
        <v>5001</v>
      </c>
      <c r="C1161" s="52">
        <v>7</v>
      </c>
      <c r="D1161" s="52">
        <v>10</v>
      </c>
      <c r="E1161" s="52">
        <v>7</v>
      </c>
      <c r="F1161" s="52">
        <v>5</v>
      </c>
      <c r="G1161" s="52">
        <v>7</v>
      </c>
      <c r="H1161" s="52">
        <v>10</v>
      </c>
      <c r="I1161" s="52">
        <f t="shared" si="1"/>
        <v>46</v>
      </c>
      <c r="J1161" s="105">
        <f t="shared" si="0"/>
        <v>7.666666666666667</v>
      </c>
      <c r="K1161" s="52"/>
    </row>
    <row r="1162" spans="1:11" ht="15.75" customHeight="1" x14ac:dyDescent="0.25">
      <c r="A1162" s="170">
        <v>570</v>
      </c>
      <c r="B1162" s="170" t="s">
        <v>5002</v>
      </c>
      <c r="C1162" s="52">
        <v>3</v>
      </c>
      <c r="D1162" s="52">
        <v>6</v>
      </c>
      <c r="E1162" s="52">
        <v>4</v>
      </c>
      <c r="F1162" s="52">
        <v>8</v>
      </c>
      <c r="G1162" s="52">
        <v>4</v>
      </c>
      <c r="H1162" s="52">
        <v>7</v>
      </c>
      <c r="I1162" s="52">
        <f t="shared" si="1"/>
        <v>32</v>
      </c>
      <c r="J1162" s="105">
        <f t="shared" si="0"/>
        <v>5.333333333333333</v>
      </c>
      <c r="K1162" s="52"/>
    </row>
    <row r="1163" spans="1:11" ht="15.75" customHeight="1" x14ac:dyDescent="0.25">
      <c r="A1163" s="170">
        <v>571</v>
      </c>
      <c r="B1163" s="170" t="s">
        <v>5003</v>
      </c>
      <c r="C1163" s="52">
        <v>5</v>
      </c>
      <c r="D1163" s="52">
        <v>10</v>
      </c>
      <c r="E1163" s="52">
        <v>6</v>
      </c>
      <c r="F1163" s="52">
        <v>12</v>
      </c>
      <c r="G1163" s="52">
        <v>6</v>
      </c>
      <c r="H1163" s="52">
        <v>11</v>
      </c>
      <c r="I1163" s="52">
        <f t="shared" si="1"/>
        <v>50</v>
      </c>
      <c r="J1163" s="105">
        <f t="shared" si="0"/>
        <v>8.3333333333333339</v>
      </c>
      <c r="K1163" s="52"/>
    </row>
    <row r="1164" spans="1:11" ht="15.75" customHeight="1" x14ac:dyDescent="0.25">
      <c r="A1164" s="170">
        <v>628</v>
      </c>
      <c r="B1164" s="170" t="s">
        <v>5004</v>
      </c>
      <c r="C1164" s="52">
        <v>11</v>
      </c>
      <c r="D1164" s="52">
        <v>8</v>
      </c>
      <c r="E1164" s="52">
        <v>7</v>
      </c>
      <c r="F1164" s="52">
        <v>11</v>
      </c>
      <c r="G1164" s="52">
        <v>7</v>
      </c>
      <c r="H1164" s="52">
        <v>6</v>
      </c>
      <c r="I1164" s="52">
        <f t="shared" si="1"/>
        <v>50</v>
      </c>
      <c r="J1164" s="105">
        <f t="shared" si="0"/>
        <v>8.3333333333333339</v>
      </c>
      <c r="K1164" s="52"/>
    </row>
    <row r="1165" spans="1:11" ht="15.75" customHeight="1" x14ac:dyDescent="0.25">
      <c r="A1165" s="170">
        <v>705</v>
      </c>
      <c r="B1165" s="170" t="s">
        <v>5005</v>
      </c>
      <c r="C1165" s="52">
        <v>5</v>
      </c>
      <c r="D1165" s="52">
        <v>7</v>
      </c>
      <c r="E1165" s="52">
        <v>8</v>
      </c>
      <c r="F1165" s="52">
        <v>8</v>
      </c>
      <c r="G1165" s="52">
        <v>11</v>
      </c>
      <c r="H1165" s="52">
        <v>4</v>
      </c>
      <c r="I1165" s="52">
        <f t="shared" si="1"/>
        <v>43</v>
      </c>
      <c r="J1165" s="105">
        <f t="shared" si="0"/>
        <v>7.166666666666667</v>
      </c>
      <c r="K1165" s="52"/>
    </row>
    <row r="1166" spans="1:11" ht="15.75" customHeight="1" x14ac:dyDescent="0.25">
      <c r="A1166" s="170">
        <v>706</v>
      </c>
      <c r="B1166" s="170" t="s">
        <v>5006</v>
      </c>
      <c r="C1166" s="52">
        <v>8</v>
      </c>
      <c r="D1166" s="52">
        <v>10</v>
      </c>
      <c r="E1166" s="52">
        <v>10</v>
      </c>
      <c r="F1166" s="52">
        <v>11</v>
      </c>
      <c r="G1166" s="52">
        <v>15</v>
      </c>
      <c r="H1166" s="52">
        <v>6</v>
      </c>
      <c r="I1166" s="52">
        <f t="shared" si="1"/>
        <v>60</v>
      </c>
      <c r="J1166" s="105">
        <f t="shared" si="0"/>
        <v>10</v>
      </c>
      <c r="K1166" s="52"/>
    </row>
    <row r="1167" spans="1:11" ht="15.75" customHeight="1" x14ac:dyDescent="0.25">
      <c r="A1167" s="170">
        <v>713</v>
      </c>
      <c r="B1167" s="170" t="s">
        <v>5007</v>
      </c>
      <c r="C1167" s="52">
        <v>9</v>
      </c>
      <c r="D1167" s="52">
        <v>12</v>
      </c>
      <c r="E1167" s="52">
        <v>18</v>
      </c>
      <c r="F1167" s="52">
        <v>3</v>
      </c>
      <c r="G1167" s="52">
        <v>3</v>
      </c>
      <c r="H1167" s="52">
        <v>3</v>
      </c>
      <c r="I1167" s="52">
        <f t="shared" si="1"/>
        <v>48</v>
      </c>
      <c r="J1167" s="105">
        <f t="shared" si="0"/>
        <v>8</v>
      </c>
      <c r="K1167" s="52"/>
    </row>
    <row r="1168" spans="1:11" ht="15.75" customHeight="1" x14ac:dyDescent="0.25">
      <c r="A1168" s="170">
        <v>724</v>
      </c>
      <c r="B1168" s="170" t="s">
        <v>5008</v>
      </c>
      <c r="C1168" s="52">
        <v>8</v>
      </c>
      <c r="D1168" s="52">
        <v>11</v>
      </c>
      <c r="E1168" s="52">
        <v>8</v>
      </c>
      <c r="F1168" s="52">
        <v>9</v>
      </c>
      <c r="G1168" s="52">
        <v>9</v>
      </c>
      <c r="H1168" s="52">
        <v>6</v>
      </c>
      <c r="I1168" s="52">
        <f t="shared" si="1"/>
        <v>51</v>
      </c>
      <c r="J1168" s="105">
        <f t="shared" si="0"/>
        <v>8.5</v>
      </c>
      <c r="K1168" s="52"/>
    </row>
  </sheetData>
  <pageMargins left="0.7" right="0.7" top="0.75" bottom="0.75"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06E35-38B2-4C7B-997B-59A24340EA45}">
  <sheetPr>
    <tabColor theme="8" tint="0.59999389629810485"/>
  </sheetPr>
  <dimension ref="A1:Q1000"/>
  <sheetViews>
    <sheetView workbookViewId="0">
      <selection activeCell="E35" sqref="E35"/>
    </sheetView>
  </sheetViews>
  <sheetFormatPr defaultColWidth="14.42578125" defaultRowHeight="15" customHeight="1" x14ac:dyDescent="0.25"/>
  <cols>
    <col min="1" max="1" width="15.42578125" customWidth="1"/>
    <col min="2" max="2" width="15" customWidth="1"/>
    <col min="3" max="4" width="14.28515625" customWidth="1"/>
    <col min="5" max="5" width="22" customWidth="1"/>
    <col min="6" max="6" width="11.7109375" customWidth="1"/>
    <col min="7" max="7" width="14.5703125" customWidth="1"/>
    <col min="8" max="8" width="8.42578125" customWidth="1"/>
    <col min="9" max="9" width="20.140625" customWidth="1"/>
    <col min="10" max="10" width="48.28515625" customWidth="1"/>
    <col min="11" max="11" width="11.7109375" customWidth="1"/>
    <col min="12" max="12" width="32.140625" customWidth="1"/>
    <col min="13" max="13" width="11.85546875" customWidth="1"/>
    <col min="14" max="14" width="15.5703125" customWidth="1"/>
    <col min="15" max="15" width="21.5703125" customWidth="1"/>
    <col min="16" max="16" width="20.5703125" customWidth="1"/>
    <col min="17" max="17" width="6" customWidth="1"/>
    <col min="18" max="26" width="8.7109375" customWidth="1"/>
  </cols>
  <sheetData>
    <row r="1" spans="1:17" x14ac:dyDescent="0.25">
      <c r="A1" s="35" t="s">
        <v>5</v>
      </c>
      <c r="B1" s="39"/>
      <c r="C1" s="169" t="s">
        <v>180</v>
      </c>
      <c r="D1" s="35" t="s">
        <v>43</v>
      </c>
      <c r="E1" s="35" t="s">
        <v>47</v>
      </c>
      <c r="F1" s="35" t="s">
        <v>53</v>
      </c>
      <c r="G1" s="35" t="s">
        <v>57</v>
      </c>
      <c r="H1" s="35" t="s">
        <v>61</v>
      </c>
      <c r="I1" s="35" t="s">
        <v>66</v>
      </c>
      <c r="J1" s="35" t="s">
        <v>70</v>
      </c>
      <c r="K1" s="35" t="s">
        <v>76</v>
      </c>
      <c r="L1" s="54" t="s">
        <v>225</v>
      </c>
      <c r="M1" s="35" t="s">
        <v>35</v>
      </c>
      <c r="N1" s="35" t="s">
        <v>226</v>
      </c>
      <c r="O1" s="35"/>
    </row>
    <row r="2" spans="1:17" x14ac:dyDescent="0.25">
      <c r="A2" s="170" t="s">
        <v>182</v>
      </c>
      <c r="B2" s="39"/>
      <c r="C2" s="170" t="s">
        <v>183</v>
      </c>
      <c r="D2" s="39" t="s">
        <v>224</v>
      </c>
      <c r="E2" s="170" t="str">
        <f>IFERROR(VLOOKUP(D2,'Moves List'!$A$1:$K$1500,2,FALSE),"")</f>
        <v>NORMAL</v>
      </c>
      <c r="F2" s="170" t="str">
        <f>IFERROR(VLOOKUP(D2,'Moves List'!$A$1:$K$1500,3,FALSE),"")</f>
        <v>Sta.</v>
      </c>
      <c r="G2" s="37" t="str">
        <f>IFERROR(VLOOKUP(D2,'Moves List'!$A$1:$K$1500,4,FALSE),"")</f>
        <v>-</v>
      </c>
      <c r="H2" s="171" t="str">
        <f>IFERROR(TRUNC((VLOOKUP(G2,'Damage Chart'!$A$1:$E$30,3,FALSE)+M2/2),0) &amp; "d" &amp; VLOOKUP(G2,'Damage Chart'!$A$1:$E$30,4,FALSE) &amp; "+" &amp; VLOOKUP(G2,'Damage Chart'!$A$1:$E$30,5,FALSE)+(M2-1)*2," ")</f>
        <v xml:space="preserve"> </v>
      </c>
      <c r="I2" s="42" t="str">
        <f>IFERROR(VLOOKUP(D2,'Moves List'!$A$1:$K$1500,6,FALSE),"")</f>
        <v>-</v>
      </c>
      <c r="J2" s="170" t="str">
        <f>IFERROR(VLOOKUP(D2,'Moves List'!$A$1:$K$1500,9,FALSE),"")</f>
        <v>Your DEF +2.</v>
      </c>
      <c r="K2" s="42" t="str">
        <f>IFERROR(VLOOKUP(D2,'Moves List'!$A$1:$K$1500,11,FALSE),"")</f>
        <v/>
      </c>
      <c r="L2" s="2" t="b">
        <v>0</v>
      </c>
      <c r="M2" s="44">
        <f>ROUNDDOWN(N2/5,0)+1</f>
        <v>1</v>
      </c>
      <c r="N2" s="55">
        <v>0</v>
      </c>
    </row>
    <row r="3" spans="1:17" x14ac:dyDescent="0.25">
      <c r="A3" s="170" t="s">
        <v>11</v>
      </c>
      <c r="B3" s="39"/>
      <c r="C3" s="170" t="s">
        <v>186</v>
      </c>
      <c r="D3" s="39"/>
      <c r="E3" s="170" t="str">
        <f>IFERROR(VLOOKUP(D3,'Moves List'!$A$1:$K$1500,2,FALSE),"")</f>
        <v/>
      </c>
      <c r="F3" s="170" t="str">
        <f>IFERROR(VLOOKUP(D3,'Moves List'!$A$1:$K$1500,3,FALSE),"")</f>
        <v/>
      </c>
      <c r="G3" s="37" t="str">
        <f>IFERROR(VLOOKUP(D3,'Moves List'!$A$1:$K$1500,4,FALSE),"")</f>
        <v/>
      </c>
      <c r="H3" s="170" t="str">
        <f>IFERROR(TRUNC((VLOOKUP(G3,'Damage Chart'!$A$1:$E$30,3,FALSE)+M3/2),0) &amp; "d" &amp; VLOOKUP(G3,'Damage Chart'!$A$1:$E$30,4,FALSE) &amp; "+" &amp; VLOOKUP(G3,'Damage Chart'!$A$1:$E$30,5,FALSE)+(M3-1)*2," ")</f>
        <v xml:space="preserve"> </v>
      </c>
      <c r="I3" s="42" t="str">
        <f>IFERROR(VLOOKUP(D3,'Moves List'!$A$1:$K$1500,6,FALSE),"")</f>
        <v/>
      </c>
      <c r="J3" s="170" t="str">
        <f>IFERROR(VLOOKUP(D3,'Moves List'!$A$1:$K$1500,9,FALSE),"")</f>
        <v/>
      </c>
      <c r="K3" s="42" t="str">
        <f>IFERROR(VLOOKUP(D3,'Moves List'!$A$1:$K$1500,11,FALSE),"")</f>
        <v/>
      </c>
      <c r="L3" s="2" t="b">
        <v>0</v>
      </c>
      <c r="M3" s="44">
        <f>ROUNDDOWN(N3/5,0)+1</f>
        <v>1</v>
      </c>
      <c r="N3" s="55">
        <v>0</v>
      </c>
      <c r="Q3" s="170" t="str">
        <f>IFERROR(VLOOKUP(M12,'Items List'!A1:B286,2,FALSE),"")</f>
        <v/>
      </c>
    </row>
    <row r="4" spans="1:17" x14ac:dyDescent="0.25">
      <c r="A4" s="170" t="s">
        <v>47</v>
      </c>
      <c r="B4" s="39"/>
      <c r="C4" s="170" t="s">
        <v>187</v>
      </c>
      <c r="D4" s="39"/>
      <c r="E4" s="170" t="str">
        <f>IFERROR(VLOOKUP(D4,'Moves List'!$A$1:$K$1500,2,FALSE),"")</f>
        <v/>
      </c>
      <c r="F4" s="170" t="str">
        <f>IFERROR(VLOOKUP(D4,'Moves List'!$A$1:$K$1500,3,FALSE),"")</f>
        <v/>
      </c>
      <c r="G4" s="37" t="str">
        <f>IFERROR(VLOOKUP(D4,'Moves List'!$A$1:$K$1500,4,FALSE),"")</f>
        <v/>
      </c>
      <c r="H4" s="170" t="str">
        <f>IFERROR(TRUNC((VLOOKUP(G4,'Damage Chart'!$A$1:$E$30,3,FALSE)+M4/2),0) &amp; "d" &amp; VLOOKUP(G4,'Damage Chart'!$A$1:$E$30,4,FALSE) &amp; "+" &amp; VLOOKUP(G4,'Damage Chart'!$A$1:$E$30,5,FALSE)+(M4-1)*2," ")</f>
        <v xml:space="preserve"> </v>
      </c>
      <c r="I4" s="42" t="str">
        <f>IFERROR(VLOOKUP(D4,'Moves List'!$A$1:$K$1500,6,FALSE),"")</f>
        <v/>
      </c>
      <c r="J4" s="170" t="str">
        <f>IFERROR(VLOOKUP(D4,'Moves List'!$A$1:$K$1500,9,FALSE),"")</f>
        <v/>
      </c>
      <c r="K4" s="42" t="str">
        <f>IFERROR(VLOOKUP(D4,'Moves List'!$A$1:$K$1500,11,FALSE),"")</f>
        <v/>
      </c>
      <c r="L4" s="2" t="b">
        <v>0</v>
      </c>
      <c r="M4" s="44">
        <f>ROUNDDOWN(N4/5,0)+1</f>
        <v>1</v>
      </c>
      <c r="N4" s="55">
        <v>0</v>
      </c>
      <c r="Q4" s="170" t="str">
        <f>IFERROR(VLOOKUP(M13,'Items List'!A1:B286,2,FALSE),"")</f>
        <v/>
      </c>
    </row>
    <row r="5" spans="1:17" x14ac:dyDescent="0.25">
      <c r="A5" s="170" t="s">
        <v>188</v>
      </c>
      <c r="B5" s="44"/>
      <c r="C5" s="170" t="s">
        <v>189</v>
      </c>
      <c r="D5" s="39"/>
      <c r="E5" s="170" t="str">
        <f>IFERROR(VLOOKUP(D5,'Moves List'!$A$1:$K$1500,2,FALSE),"")</f>
        <v/>
      </c>
      <c r="F5" s="170" t="str">
        <f>IFERROR(VLOOKUP(D5,'Moves List'!$A$1:$K$1500,3,FALSE),"")</f>
        <v/>
      </c>
      <c r="G5" s="37" t="str">
        <f>IFERROR(VLOOKUP(D5,'Moves List'!$A$1:$K$1500,4,FALSE),"")</f>
        <v/>
      </c>
      <c r="H5" s="170" t="str">
        <f>IFERROR(TRUNC((VLOOKUP(G5,'Damage Chart'!$A$1:$E$30,3,FALSE)+M5/2),0) &amp; "d" &amp; VLOOKUP(G5,'Damage Chart'!$A$1:$E$30,4,FALSE) &amp; "+" &amp; VLOOKUP(G5,'Damage Chart'!$A$1:$E$30,5,FALSE)+(M5-1)*2," ")</f>
        <v xml:space="preserve"> </v>
      </c>
      <c r="I5" s="42" t="str">
        <f>IFERROR(VLOOKUP(D5,'Moves List'!$A$1:$K$1500,6,FALSE),"")</f>
        <v/>
      </c>
      <c r="J5" s="170" t="str">
        <f>IFERROR(VLOOKUP(D5,'Moves List'!$A$1:$K$1500,9,FALSE),"")</f>
        <v/>
      </c>
      <c r="K5" s="42" t="str">
        <f>IFERROR(VLOOKUP(D5,'Moves List'!$A$1:$K$1500,11,FALSE),"")</f>
        <v/>
      </c>
      <c r="L5" s="2" t="b">
        <v>0</v>
      </c>
      <c r="M5" s="44">
        <f>ROUNDDOWN(N5/5,0)+1</f>
        <v>1</v>
      </c>
      <c r="N5" s="55">
        <v>0</v>
      </c>
      <c r="Q5" s="170" t="str">
        <f>IFERROR(VLOOKUP(M14,'Items List'!A1:B286,2,FALSE),"")</f>
        <v/>
      </c>
    </row>
    <row r="6" spans="1:17" x14ac:dyDescent="0.25">
      <c r="A6" s="170" t="s">
        <v>190</v>
      </c>
      <c r="B6" s="45">
        <f>LOOKUP(B5,'EXP Chart'!B:B,'EXP Chart'!A:A)</f>
        <v>1</v>
      </c>
      <c r="C6" s="35" t="s">
        <v>191</v>
      </c>
      <c r="D6" s="39"/>
      <c r="E6" s="170" t="str">
        <f>IFERROR(VLOOKUP(D6,'Moves List'!$A$1:$K$1500,2,FALSE),"")</f>
        <v/>
      </c>
      <c r="F6" s="170" t="str">
        <f>IFERROR(VLOOKUP(D6,'Moves List'!$A$1:$K$1500,3,FALSE),"")</f>
        <v/>
      </c>
      <c r="G6" s="37" t="str">
        <f>IFERROR(VLOOKUP(D6,'Moves List'!$A$1:$K$1500,4,FALSE),"")</f>
        <v/>
      </c>
      <c r="H6" s="170" t="str">
        <f>IFERROR(TRUNC((VLOOKUP(G6,'Damage Chart'!$A$1:$E$30,3,FALSE)+M6/2),0) &amp; "d" &amp; VLOOKUP(G6,'Damage Chart'!$A$1:$E$30,4,FALSE) &amp; "+" &amp; VLOOKUP(G6,'Damage Chart'!$A$1:$E$30,5,FALSE)+(M6-1)*2," ")</f>
        <v xml:space="preserve"> </v>
      </c>
      <c r="I6" s="42" t="str">
        <f>IFERROR(VLOOKUP(D6,'Moves List'!$A$1:$K$1500,6,FALSE),"")</f>
        <v/>
      </c>
      <c r="J6" s="33" t="str">
        <f>IFERROR(VLOOKUP(D6,'Moves List'!$A$1:$K$1500,9,FALSE),"")</f>
        <v/>
      </c>
      <c r="K6" s="42" t="str">
        <f>IFERROR(VLOOKUP(D6,'Moves List'!$A$1:$K$1500,11,FALSE),"")</f>
        <v/>
      </c>
      <c r="L6" s="2" t="b">
        <v>0</v>
      </c>
      <c r="M6" s="44">
        <f>ROUNDDOWN(N6/5,0)+1</f>
        <v>1</v>
      </c>
      <c r="N6" s="55">
        <v>0</v>
      </c>
      <c r="Q6" s="170" t="str">
        <f>IFERROR(VLOOKUP(M15,'Items List'!A1:B286,2,FALSE),"")</f>
        <v/>
      </c>
    </row>
    <row r="7" spans="1:17" x14ac:dyDescent="0.25">
      <c r="A7" s="170" t="s">
        <v>192</v>
      </c>
      <c r="B7" s="39"/>
      <c r="C7" s="276" t="str">
        <f>IFERROR(VLOOKUP(B7,'Abilities List'!$A$1:$C$400,2,FALSE),"")</f>
        <v/>
      </c>
      <c r="D7" s="272"/>
      <c r="E7" s="272"/>
      <c r="F7" s="272"/>
      <c r="G7" s="272"/>
      <c r="H7" s="272"/>
      <c r="I7" s="272"/>
      <c r="J7" s="272"/>
      <c r="K7" s="272"/>
      <c r="L7" s="272"/>
      <c r="N7" s="56"/>
      <c r="Q7" s="170" t="str">
        <f>IFERROR(VLOOKUP(M16,'Items List'!A1:B286,2,FALSE),"")</f>
        <v/>
      </c>
    </row>
    <row r="8" spans="1:17" x14ac:dyDescent="0.25">
      <c r="A8" s="170" t="s">
        <v>193</v>
      </c>
      <c r="B8" s="39"/>
      <c r="C8" s="276" t="str">
        <f>IFERROR(VLOOKUP(B8,'Items List'!A:B,2,FALSE),"")</f>
        <v/>
      </c>
      <c r="D8" s="272"/>
      <c r="E8" s="272"/>
      <c r="F8" s="272"/>
      <c r="G8" s="272"/>
      <c r="H8" s="272"/>
      <c r="I8" s="272"/>
      <c r="J8" s="272"/>
      <c r="K8" s="272"/>
      <c r="L8" s="272"/>
      <c r="Q8" s="170" t="str">
        <f>IFERROR(VLOOKUP(M17,'Items List'!A1:B286,2,FALSE),"")</f>
        <v/>
      </c>
    </row>
    <row r="9" spans="1:17" x14ac:dyDescent="0.25">
      <c r="A9" s="35" t="s">
        <v>28</v>
      </c>
      <c r="C9" s="35" t="s">
        <v>194</v>
      </c>
      <c r="D9" s="35" t="s">
        <v>195</v>
      </c>
      <c r="E9" s="35" t="s">
        <v>196</v>
      </c>
      <c r="F9" s="35" t="s">
        <v>197</v>
      </c>
      <c r="G9" s="35" t="s">
        <v>198</v>
      </c>
      <c r="I9" s="35" t="s">
        <v>199</v>
      </c>
      <c r="J9" s="35" t="s">
        <v>200</v>
      </c>
      <c r="K9" s="29"/>
      <c r="Q9" s="170" t="str">
        <f>IFERROR(VLOOKUP(M18,'Items List'!A1:B286,2,FALSE),"")</f>
        <v/>
      </c>
    </row>
    <row r="10" spans="1:17" ht="15.75" thickBot="1" x14ac:dyDescent="0.3">
      <c r="A10" s="170" t="s">
        <v>202</v>
      </c>
      <c r="B10" s="37" t="str">
        <f>IFERROR(VLOOKUP(B3,'List of PKMN'!$B$1:$H$1218,2,FALSE),"0")</f>
        <v>0</v>
      </c>
      <c r="C10" s="201">
        <f>B6-1</f>
        <v>0</v>
      </c>
      <c r="D10" s="46">
        <f t="shared" ref="D10:D15" si="0">B10+C10</f>
        <v>0</v>
      </c>
      <c r="E10" s="43"/>
      <c r="F10" s="43"/>
      <c r="G10" s="170" t="s">
        <v>202</v>
      </c>
      <c r="H10" s="46">
        <f>SUM(D10+D12+D14+E10+F10+E12+F12+E14+F14)</f>
        <v>0</v>
      </c>
      <c r="I10" s="172"/>
      <c r="J10" s="57">
        <f>H10+I10</f>
        <v>0</v>
      </c>
      <c r="K10" s="40"/>
      <c r="L10" s="40" t="s">
        <v>181</v>
      </c>
      <c r="M10" s="113" t="s">
        <v>70</v>
      </c>
      <c r="N10" s="114"/>
      <c r="O10" s="114"/>
      <c r="P10" s="115" t="s">
        <v>227</v>
      </c>
      <c r="Q10" s="170" t="str">
        <f>IFERROR(VLOOKUP(M19,'Items List'!A1:B286,2,FALSE),"")</f>
        <v/>
      </c>
    </row>
    <row r="11" spans="1:17" x14ac:dyDescent="0.25">
      <c r="A11" s="170" t="s">
        <v>203</v>
      </c>
      <c r="B11" s="37" t="str">
        <f>IFERROR(VLOOKUP(B3,'List of PKMN'!$B$1:$H$1218,3,FALSE),"0")</f>
        <v>0</v>
      </c>
      <c r="C11" s="47">
        <v>0</v>
      </c>
      <c r="D11" s="46">
        <f t="shared" si="0"/>
        <v>0</v>
      </c>
      <c r="E11" s="43"/>
      <c r="F11" s="43"/>
      <c r="G11" s="170" t="s">
        <v>203</v>
      </c>
      <c r="H11" s="46">
        <f t="shared" ref="H11:H15" si="1">SUM(B11:C11,E11:F11)</f>
        <v>0</v>
      </c>
      <c r="I11" s="172"/>
      <c r="J11" s="57">
        <f t="shared" ref="J11:J15" si="2">H11+I11</f>
        <v>0</v>
      </c>
      <c r="K11" s="170" t="s">
        <v>185</v>
      </c>
      <c r="L11" s="117"/>
      <c r="M11" s="277" t="str">
        <f>IFERROR(VLOOKUP(L11,'Items List'!A1:B286,2,FALSE),"")</f>
        <v/>
      </c>
      <c r="N11" s="278"/>
      <c r="O11" s="278"/>
      <c r="P11" s="116">
        <v>1</v>
      </c>
    </row>
    <row r="12" spans="1:17" x14ac:dyDescent="0.25">
      <c r="A12" s="170" t="s">
        <v>204</v>
      </c>
      <c r="B12" s="37" t="str">
        <f>IFERROR(VLOOKUP(B3,'List of PKMN'!$B$1:$H$1218,4,FALSE),"0")</f>
        <v>0</v>
      </c>
      <c r="C12" s="48">
        <v>0</v>
      </c>
      <c r="D12" s="46">
        <f t="shared" si="0"/>
        <v>0</v>
      </c>
      <c r="E12" s="43"/>
      <c r="F12" s="43"/>
      <c r="G12" s="170" t="s">
        <v>204</v>
      </c>
      <c r="H12" s="46">
        <f t="shared" si="1"/>
        <v>0</v>
      </c>
      <c r="I12" s="172"/>
      <c r="J12" s="57">
        <f t="shared" si="2"/>
        <v>0</v>
      </c>
      <c r="L12" s="118"/>
      <c r="M12" s="274" t="str">
        <f>IFERROR(VLOOKUP(L12,'Items List'!A1:B286,2,FALSE),"")</f>
        <v/>
      </c>
      <c r="N12" s="275"/>
      <c r="O12" s="275"/>
      <c r="P12" s="109"/>
    </row>
    <row r="13" spans="1:17" x14ac:dyDescent="0.25">
      <c r="A13" s="170" t="s">
        <v>205</v>
      </c>
      <c r="B13" s="37" t="str">
        <f>IFERROR(VLOOKUP(B3,'List of PKMN'!$B$1:$H$1218,5,FALSE),"0")</f>
        <v>0</v>
      </c>
      <c r="C13" s="47">
        <v>0</v>
      </c>
      <c r="D13" s="46">
        <f t="shared" si="0"/>
        <v>0</v>
      </c>
      <c r="E13" s="43"/>
      <c r="F13" s="43"/>
      <c r="G13" s="170" t="s">
        <v>205</v>
      </c>
      <c r="H13" s="46">
        <f t="shared" si="1"/>
        <v>0</v>
      </c>
      <c r="I13" s="172"/>
      <c r="J13" s="57">
        <f t="shared" si="2"/>
        <v>0</v>
      </c>
      <c r="L13" s="118"/>
      <c r="M13" s="274" t="str">
        <f>IFERROR(VLOOKUP(L13,'Items List'!A1:B286,2,FALSE),"")</f>
        <v/>
      </c>
      <c r="N13" s="275"/>
      <c r="O13" s="275"/>
      <c r="P13" s="109"/>
    </row>
    <row r="14" spans="1:17" x14ac:dyDescent="0.25">
      <c r="A14" s="170" t="s">
        <v>206</v>
      </c>
      <c r="B14" s="37" t="str">
        <f>IFERROR(VLOOKUP(B3,'List of PKMN'!$B$1:$H$1218,6,FALSE),"0")</f>
        <v>0</v>
      </c>
      <c r="C14" s="48">
        <v>0</v>
      </c>
      <c r="D14" s="46">
        <f t="shared" si="0"/>
        <v>0</v>
      </c>
      <c r="E14" s="43"/>
      <c r="F14" s="43"/>
      <c r="G14" s="170" t="s">
        <v>206</v>
      </c>
      <c r="H14" s="46">
        <f t="shared" si="1"/>
        <v>0</v>
      </c>
      <c r="I14" s="172"/>
      <c r="J14" s="57">
        <f t="shared" si="2"/>
        <v>0</v>
      </c>
      <c r="L14" s="118"/>
      <c r="M14" s="274" t="str">
        <f>IFERROR(VLOOKUP(L14,'Items List'!A1:B286,2,FALSE),"")</f>
        <v/>
      </c>
      <c r="N14" s="275"/>
      <c r="O14" s="275"/>
      <c r="P14" s="109"/>
    </row>
    <row r="15" spans="1:17" x14ac:dyDescent="0.25">
      <c r="A15" s="170" t="s">
        <v>208</v>
      </c>
      <c r="B15" s="37" t="str">
        <f>IFERROR(VLOOKUP(B3,'List of PKMN'!$B$1:$H$1218,7,FALSE),"0")</f>
        <v>0</v>
      </c>
      <c r="C15" s="47">
        <v>0</v>
      </c>
      <c r="D15" s="46">
        <f t="shared" si="0"/>
        <v>0</v>
      </c>
      <c r="E15" s="43"/>
      <c r="F15" s="43"/>
      <c r="G15" s="170" t="s">
        <v>208</v>
      </c>
      <c r="H15" s="46">
        <f t="shared" si="1"/>
        <v>0</v>
      </c>
      <c r="I15" s="172"/>
      <c r="J15" s="57">
        <f t="shared" si="2"/>
        <v>0</v>
      </c>
      <c r="L15" s="118"/>
      <c r="M15" s="274" t="str">
        <f>IFERROR(VLOOKUP(L15,'Items List'!A1:B286,2,FALSE),"")</f>
        <v/>
      </c>
      <c r="N15" s="275"/>
      <c r="O15" s="275"/>
      <c r="P15" s="109"/>
    </row>
    <row r="16" spans="1:17" x14ac:dyDescent="0.25">
      <c r="A16" s="35"/>
      <c r="B16" s="49"/>
      <c r="C16" s="50">
        <f>SUM(C11:C15)</f>
        <v>0</v>
      </c>
      <c r="D16" s="170" t="s">
        <v>209</v>
      </c>
      <c r="E16" s="205" t="str">
        <f>_xlfn.IFS(C16/2=B6-1,"True",AND(C16/2&gt;B6-1,C12+C14&gt;C11+C13+C15),"Must Sub Stat from Defenses",AND(C16/2&lt;B6-1,C12+C14&lt;C11+C13+C15),"Must Add Stat to Defenses",AND(C16/2&gt;B6-1,C11+C13+C15&gt;C12+C14),"Must Sub Stat from Offenses",AND(C16/2&lt;B6-1,C11+C13+C15&lt;C12+C14),"Must Add Stat to Offenses",AND(C11+C13+C15=C12+C14)*AND(C16&lt;B6*2-2),"Must Add Stats To Offense and Defenses",AND(C11+C13+C15=C12+C14)*AND(C16&gt;B6*2-2),"Must Sub Stats To Offense and Defenses")</f>
        <v>True</v>
      </c>
      <c r="F16" s="58"/>
      <c r="G16" s="39" t="s">
        <v>210</v>
      </c>
      <c r="H16" s="51" t="str">
        <f ca="1">IFERROR(RANDBETWEEN(1,J15),"0")</f>
        <v>0</v>
      </c>
      <c r="I16" s="2" t="s">
        <v>5009</v>
      </c>
      <c r="J16" s="52"/>
      <c r="L16" s="118"/>
      <c r="M16" s="274" t="str">
        <f>IFERROR(VLOOKUP(L16,'Items List'!A1:B286,2,FALSE),"")</f>
        <v/>
      </c>
      <c r="N16" s="275"/>
      <c r="O16" s="275"/>
      <c r="P16" s="109"/>
    </row>
    <row r="17" spans="1:16" x14ac:dyDescent="0.25">
      <c r="E17" s="49"/>
      <c r="L17" s="118"/>
      <c r="M17" s="274" t="str">
        <f>IFERROR(VLOOKUP(L17,'Items List'!A1:B286,2,FALSE),"")</f>
        <v/>
      </c>
      <c r="N17" s="275"/>
      <c r="O17" s="275"/>
      <c r="P17" s="109"/>
    </row>
    <row r="18" spans="1:16" x14ac:dyDescent="0.25">
      <c r="B18" s="35" t="s">
        <v>211</v>
      </c>
      <c r="F18" s="35" t="s">
        <v>212</v>
      </c>
      <c r="H18" s="35" t="s">
        <v>213</v>
      </c>
      <c r="I18" s="35" t="s">
        <v>70</v>
      </c>
      <c r="L18" s="118"/>
      <c r="M18" s="274" t="str">
        <f>IFERROR(VLOOKUP(L18,'Items List'!A1:B286,2,FALSE),"")</f>
        <v/>
      </c>
      <c r="N18" s="275"/>
      <c r="O18" s="275"/>
      <c r="P18" s="109"/>
    </row>
    <row r="19" spans="1:16" x14ac:dyDescent="0.25">
      <c r="A19" s="53" t="s">
        <v>94</v>
      </c>
      <c r="B19" s="59">
        <v>0</v>
      </c>
      <c r="C19" s="173" t="s">
        <v>228</v>
      </c>
      <c r="D19" s="174"/>
      <c r="E19" s="175"/>
      <c r="F19" s="132" t="s">
        <v>214</v>
      </c>
      <c r="G19" s="176"/>
      <c r="H19" s="170">
        <f>IFERROR(VLOOKUP(F19,'IQ Skills'!$A$1:$C$63,2,FALSE),"")</f>
        <v>0</v>
      </c>
      <c r="I19" s="170" t="str">
        <f>IFERROR(VLOOKUP('Backup Character Sheet'!F19,'IQ Skills'!$A$1:$C$63,3,FALSE),"")</f>
        <v>If you are lost, roll Cool. Success gets you back on track.</v>
      </c>
      <c r="L19" s="118"/>
      <c r="M19" s="274" t="str">
        <f>IFERROR(VLOOKUP(L19,'Items List'!A1:B286,2,FALSE),"")</f>
        <v/>
      </c>
      <c r="N19" s="275"/>
      <c r="O19" s="275"/>
      <c r="P19" s="109"/>
    </row>
    <row r="20" spans="1:16" ht="15.75" thickBot="1" x14ac:dyDescent="0.3">
      <c r="A20" s="53" t="s">
        <v>99</v>
      </c>
      <c r="B20" s="60">
        <v>0</v>
      </c>
      <c r="C20" s="177" t="s">
        <v>229</v>
      </c>
      <c r="D20" s="178"/>
      <c r="E20" s="179"/>
      <c r="F20" s="132" t="s">
        <v>216</v>
      </c>
      <c r="G20" s="176"/>
      <c r="H20" s="170">
        <f>IFERROR(VLOOKUP(F20,'IQ Skills'!$A$1:$C$63,2,FALSE),"")</f>
        <v>0</v>
      </c>
      <c r="I20" s="170" t="str">
        <f>IFERROR(VLOOKUP('Backup Character Sheet'!F20,'IQ Skills'!$A$1:$C$63,3,FALSE),"")</f>
        <v>You have the ability to use PKMN moves.</v>
      </c>
      <c r="K20" s="41"/>
      <c r="L20" s="119"/>
      <c r="M20" s="281" t="str">
        <f>IFERROR(VLOOKUP(L20,'Items List'!A1:B286,2,FALSE),"")</f>
        <v/>
      </c>
      <c r="N20" s="282"/>
      <c r="O20" s="282"/>
      <c r="P20" s="125"/>
    </row>
    <row r="21" spans="1:16" ht="15.75" customHeight="1" x14ac:dyDescent="0.25">
      <c r="A21" s="53" t="s">
        <v>104</v>
      </c>
      <c r="B21" s="61">
        <v>0</v>
      </c>
      <c r="C21" s="180" t="s">
        <v>230</v>
      </c>
      <c r="D21" s="181"/>
      <c r="E21" s="182"/>
      <c r="F21" s="132" t="s">
        <v>217</v>
      </c>
      <c r="G21" s="176"/>
      <c r="H21" s="170">
        <f>IFERROR(VLOOKUP(F21,'IQ Skills'!$A$1:$C$63,2,FALSE),"")</f>
        <v>0</v>
      </c>
      <c r="I21" s="170" t="str">
        <f>IFERROR(VLOOKUP('Backup Character Sheet'!F21,'IQ Skills'!$A$1:$C$63,3,FALSE),"")</f>
        <v>Can use the Explorer Badge to leave the dungeon. Cannot be turned off.</v>
      </c>
      <c r="K21" s="170" t="s">
        <v>201</v>
      </c>
      <c r="L21" s="120"/>
      <c r="M21" s="283" t="str">
        <f>IFERROR(VLOOKUP(L21,'Items List'!A1:B286,2,FALSE),"")</f>
        <v/>
      </c>
      <c r="N21" s="278"/>
      <c r="O21" s="278"/>
      <c r="P21" s="124"/>
    </row>
    <row r="22" spans="1:16" ht="15.75" customHeight="1" x14ac:dyDescent="0.25">
      <c r="A22" s="53" t="s">
        <v>109</v>
      </c>
      <c r="B22" s="62">
        <v>0</v>
      </c>
      <c r="C22" s="183" t="s">
        <v>231</v>
      </c>
      <c r="D22" s="184"/>
      <c r="E22" s="185"/>
      <c r="F22" s="132" t="s">
        <v>218</v>
      </c>
      <c r="G22" s="176"/>
      <c r="H22" s="170">
        <f>IFERROR(VLOOKUP(F22,'IQ Skills'!$A$1:$C$63,2,FALSE),"")</f>
        <v>0</v>
      </c>
      <c r="I22" s="170" t="str">
        <f>IFERROR(VLOOKUP('Backup Character Sheet'!F22,'IQ Skills'!$A$1:$C$63,3,FALSE),"")</f>
        <v>Can catch a thrown item and keep it for its own.</v>
      </c>
      <c r="L22" s="121"/>
      <c r="M22" s="284" t="str">
        <f>IFERROR(VLOOKUP(L22,'Items List'!A1:B286,2,FALSE),"")</f>
        <v/>
      </c>
      <c r="N22" s="275"/>
      <c r="O22" s="275"/>
      <c r="P22" s="123"/>
    </row>
    <row r="23" spans="1:16" ht="15.75" customHeight="1" x14ac:dyDescent="0.25">
      <c r="A23" s="53" t="s">
        <v>89</v>
      </c>
      <c r="B23" s="63">
        <v>0</v>
      </c>
      <c r="C23" s="186" t="s">
        <v>232</v>
      </c>
      <c r="D23" s="250"/>
      <c r="E23" s="187"/>
      <c r="F23" s="132" t="s">
        <v>219</v>
      </c>
      <c r="G23" s="176"/>
      <c r="H23" s="170">
        <f>IFERROR(VLOOKUP(F23,'IQ Skills'!$A$1:$C$63,2,FALSE),"")</f>
        <v>0</v>
      </c>
      <c r="I23" s="170" t="str">
        <f>IFERROR(VLOOKUP('Backup Character Sheet'!F23,'IQ Skills'!$A$1:$C$63,3,FALSE),"")</f>
        <v>Can use and throw its hold item.</v>
      </c>
      <c r="L23" s="121"/>
      <c r="M23" s="284" t="str">
        <f>IFERROR(VLOOKUP(L23,'Items List'!A1:B286,2,FALSE),"")</f>
        <v/>
      </c>
      <c r="N23" s="275"/>
      <c r="O23" s="275"/>
      <c r="P23" s="123"/>
    </row>
    <row r="24" spans="1:16" ht="15.75" customHeight="1" x14ac:dyDescent="0.25">
      <c r="A24" s="53" t="s">
        <v>221</v>
      </c>
      <c r="B24" s="44">
        <v>0</v>
      </c>
      <c r="C24" s="249" t="s">
        <v>5082</v>
      </c>
      <c r="D24" s="252">
        <f>B6+10</f>
        <v>11</v>
      </c>
      <c r="F24" s="132"/>
      <c r="G24" s="176"/>
      <c r="H24" s="170" t="str">
        <f>IFERROR(VLOOKUP('Backup Character Sheet'!F24,'IQ Skills'!$A$1:$C$63,3,FALSE),"")</f>
        <v/>
      </c>
      <c r="I24" t="str">
        <f>IFERROR(VLOOKUP('Backup Character Sheet'!F24,'IQ Skills'!$A$1:$C$63,3,FALSE),"")</f>
        <v/>
      </c>
      <c r="L24" s="121"/>
      <c r="M24" s="284" t="str">
        <f>IFERROR(VLOOKUP(L24,'Items List'!A1:B286,2,FALSE),"")</f>
        <v/>
      </c>
      <c r="N24" s="275"/>
      <c r="O24" s="275"/>
      <c r="P24" s="123"/>
    </row>
    <row r="25" spans="1:16" ht="15.75" customHeight="1" thickBot="1" x14ac:dyDescent="0.3">
      <c r="A25" s="53" t="s">
        <v>222</v>
      </c>
      <c r="B25" s="44">
        <v>0</v>
      </c>
      <c r="C25" s="249" t="s">
        <v>5084</v>
      </c>
      <c r="D25" s="248">
        <v>11</v>
      </c>
      <c r="F25" s="132"/>
      <c r="G25" s="176"/>
      <c r="H25" s="170" t="str">
        <f>IFERROR(VLOOKUP('Backup Character Sheet'!F25,'IQ Skills'!$A$1:$C$63,3,FALSE),"")</f>
        <v/>
      </c>
      <c r="I25" t="str">
        <f>IFERROR(VLOOKUP('Backup Character Sheet'!F25,'IQ Skills'!$A$1:$C$63,3,FALSE),"")</f>
        <v/>
      </c>
      <c r="K25" s="41"/>
      <c r="L25" s="122"/>
      <c r="M25" s="285" t="str">
        <f>IFERROR(VLOOKUP(L25,'Items List'!A1:B286,2,FALSE),"")</f>
        <v/>
      </c>
      <c r="N25" s="282"/>
      <c r="O25" s="282"/>
      <c r="P25" s="126"/>
    </row>
    <row r="26" spans="1:16" ht="15.75" customHeight="1" x14ac:dyDescent="0.25">
      <c r="F26" s="132"/>
      <c r="G26" s="176"/>
      <c r="H26" s="170" t="str">
        <f>IFERROR(VLOOKUP('Backup Character Sheet'!F26,'IQ Skills'!$A$1:$C$63,3,FALSE),"")</f>
        <v/>
      </c>
      <c r="I26" t="str">
        <f>IFERROR(VLOOKUP('Backup Character Sheet'!F26,'IQ Skills'!$A$1:$C$63,3,FALSE),"")</f>
        <v/>
      </c>
      <c r="K26" s="170" t="s">
        <v>207</v>
      </c>
      <c r="L26" s="120"/>
      <c r="M26" s="279" t="str">
        <f>IFERROR(VLOOKUP(L26,'Items List'!A1:B286,2,FALSE),"")</f>
        <v/>
      </c>
      <c r="N26" s="280"/>
      <c r="O26" s="280"/>
      <c r="P26" s="124"/>
    </row>
    <row r="27" spans="1:16" ht="15.75" customHeight="1" x14ac:dyDescent="0.25">
      <c r="F27" s="132"/>
      <c r="G27" s="176"/>
      <c r="H27" s="170" t="str">
        <f>IFERROR(VLOOKUP('Backup Character Sheet'!F27,'IQ Skills'!$A$1:$C$63,3,FALSE),"")</f>
        <v/>
      </c>
      <c r="I27" t="str">
        <f>IFERROR(VLOOKUP('Backup Character Sheet'!F27,'IQ Skills'!$A$1:$C$63,3,FALSE),"")</f>
        <v/>
      </c>
      <c r="L27" s="121"/>
      <c r="M27" s="284" t="str">
        <f>IFERROR(VLOOKUP(L27,'Items List'!A1:B286,2,FALSE),"")</f>
        <v/>
      </c>
      <c r="N27" s="275"/>
      <c r="O27" s="275"/>
      <c r="P27" s="123"/>
    </row>
    <row r="28" spans="1:16" ht="15.75" customHeight="1" x14ac:dyDescent="0.25">
      <c r="B28" s="220" t="s">
        <v>5091</v>
      </c>
      <c r="F28" s="132"/>
      <c r="G28" s="176"/>
      <c r="H28" s="170" t="str">
        <f>IFERROR(VLOOKUP('Backup Character Sheet'!F28,'IQ Skills'!$A$1:$C$63,3,FALSE),"")</f>
        <v/>
      </c>
      <c r="I28" t="str">
        <f>IFERROR(VLOOKUP('Backup Character Sheet'!F28,'IQ Skills'!$A$1:$C$63,3,FALSE),"")</f>
        <v/>
      </c>
      <c r="L28" s="121"/>
      <c r="M28" s="284" t="str">
        <f>IFERROR(VLOOKUP(L28,'Items List'!A1:B286,2,FALSE),"")</f>
        <v/>
      </c>
      <c r="N28" s="275"/>
      <c r="O28" s="275"/>
      <c r="P28" s="123"/>
    </row>
    <row r="29" spans="1:16" ht="15.75" customHeight="1" x14ac:dyDescent="0.25">
      <c r="B29" s="220" t="s">
        <v>5092</v>
      </c>
      <c r="F29" s="132"/>
      <c r="G29" s="176"/>
      <c r="H29" s="170" t="str">
        <f>IFERROR(VLOOKUP('Backup Character Sheet'!F29,'IQ Skills'!$A$1:$C$63,3,FALSE),"")</f>
        <v/>
      </c>
      <c r="I29" t="str">
        <f>IFERROR(VLOOKUP('Backup Character Sheet'!F29,'IQ Skills'!$A$1:$C$63,3,FALSE),"")</f>
        <v/>
      </c>
      <c r="L29" s="121"/>
      <c r="M29" s="284" t="str">
        <f>IFERROR(VLOOKUP(L29,'Items List'!A1:B286,2,FALSE),"")</f>
        <v/>
      </c>
      <c r="N29" s="275"/>
      <c r="O29" s="275"/>
      <c r="P29" s="123"/>
    </row>
    <row r="30" spans="1:16" ht="15.75" customHeight="1" thickBot="1" x14ac:dyDescent="0.3">
      <c r="B30" s="220" t="s">
        <v>5093</v>
      </c>
      <c r="F30" s="132"/>
      <c r="G30" s="176"/>
      <c r="H30" s="170" t="str">
        <f>IFERROR(VLOOKUP('Backup Character Sheet'!F30,'IQ Skills'!$A$1:$C$63,3,FALSE),"")</f>
        <v/>
      </c>
      <c r="I30" t="str">
        <f>IFERROR(VLOOKUP('Backup Character Sheet'!F30,'IQ Skills'!$A$1:$C$63,3,FALSE),"")</f>
        <v/>
      </c>
      <c r="K30" s="41"/>
      <c r="L30" s="122"/>
      <c r="M30" s="285" t="str">
        <f>IFERROR(VLOOKUP(L30,'Items List'!A1:B286,2,FALSE),"")</f>
        <v/>
      </c>
      <c r="N30" s="282"/>
      <c r="O30" s="282"/>
      <c r="P30" s="126"/>
    </row>
    <row r="31" spans="1:16" ht="15.75" customHeight="1" x14ac:dyDescent="0.25">
      <c r="F31" s="132"/>
      <c r="G31" s="176"/>
      <c r="H31" s="170" t="str">
        <f>IFERROR(VLOOKUP('Backup Character Sheet'!F31,'IQ Skills'!$A$1:$C$63,3,FALSE),"")</f>
        <v/>
      </c>
      <c r="I31" t="str">
        <f>IFERROR(VLOOKUP('Backup Character Sheet'!F31,'IQ Skills'!$A$1:$C$63,3,FALSE),"")</f>
        <v/>
      </c>
      <c r="K31" s="170" t="s">
        <v>215</v>
      </c>
      <c r="L31" s="120"/>
      <c r="M31" s="279" t="str">
        <f>IFERROR(VLOOKUP(L31,'Items List'!A1:B286,2,FALSE),"")</f>
        <v/>
      </c>
      <c r="N31" s="280"/>
      <c r="O31" s="280"/>
      <c r="P31" s="124"/>
    </row>
    <row r="32" spans="1:16" ht="15.75" customHeight="1" x14ac:dyDescent="0.25">
      <c r="B32" s="220" t="s">
        <v>5094</v>
      </c>
      <c r="F32" s="132"/>
      <c r="G32" s="176"/>
      <c r="H32" s="170" t="str">
        <f>IFERROR(VLOOKUP('Backup Character Sheet'!F32,'IQ Skills'!$A$1:$C$63,3,FALSE),"")</f>
        <v/>
      </c>
      <c r="I32" t="str">
        <f>IFERROR(VLOOKUP('Backup Character Sheet'!F32,'IQ Skills'!$A$1:$C$63,3,FALSE),"")</f>
        <v/>
      </c>
      <c r="L32" s="121"/>
      <c r="M32" s="284" t="str">
        <f>IFERROR(VLOOKUP(L32,'Items List'!A1:B286,2,FALSE),"")</f>
        <v/>
      </c>
      <c r="N32" s="275"/>
      <c r="O32" s="275"/>
      <c r="P32" s="123"/>
    </row>
    <row r="33" spans="2:17" ht="15.75" customHeight="1" x14ac:dyDescent="0.25">
      <c r="B33" s="220" t="s">
        <v>5095</v>
      </c>
      <c r="F33" s="132"/>
      <c r="G33" s="176"/>
      <c r="H33" s="170" t="str">
        <f>IFERROR(VLOOKUP('Backup Character Sheet'!F33,'IQ Skills'!$A$1:$C$63,3,FALSE),"")</f>
        <v/>
      </c>
      <c r="I33" t="str">
        <f>IFERROR(VLOOKUP('Backup Character Sheet'!F33,'IQ Skills'!$A$1:$C$63,3,FALSE),"")</f>
        <v/>
      </c>
      <c r="L33" s="121"/>
      <c r="M33" s="284" t="str">
        <f>IFERROR(VLOOKUP(L33,'Items List'!A1:B286,2,FALSE),"")</f>
        <v/>
      </c>
      <c r="N33" s="275"/>
      <c r="O33" s="275"/>
      <c r="P33" s="123"/>
    </row>
    <row r="34" spans="2:17" ht="15.75" customHeight="1" x14ac:dyDescent="0.25">
      <c r="B34" s="220" t="s">
        <v>5096</v>
      </c>
      <c r="F34" s="132"/>
      <c r="G34" s="176"/>
      <c r="H34" s="170" t="str">
        <f>IFERROR(VLOOKUP('Backup Character Sheet'!F34,'IQ Skills'!$A$1:$C$63,3,FALSE),"")</f>
        <v/>
      </c>
      <c r="I34" t="str">
        <f>IFERROR(VLOOKUP('Backup Character Sheet'!F34,'IQ Skills'!$A$1:$C$63,3,FALSE),"")</f>
        <v/>
      </c>
      <c r="L34" s="121"/>
      <c r="M34" s="284" t="str">
        <f>IFERROR(VLOOKUP(L34,'Items List'!A1:B286,2,FALSE),"")</f>
        <v/>
      </c>
      <c r="N34" s="275"/>
      <c r="O34" s="275"/>
      <c r="P34" s="123"/>
    </row>
    <row r="35" spans="2:17" ht="15.75" customHeight="1" thickBot="1" x14ac:dyDescent="0.3">
      <c r="B35" s="220" t="s">
        <v>5097</v>
      </c>
      <c r="F35" s="132"/>
      <c r="G35" s="176"/>
      <c r="H35" s="170" t="str">
        <f>IFERROR(VLOOKUP('Backup Character Sheet'!F35,'IQ Skills'!$A$1:$C$63,3,FALSE),"")</f>
        <v/>
      </c>
      <c r="I35" t="str">
        <f>IFERROR(VLOOKUP('Backup Character Sheet'!F35,'IQ Skills'!$A$1:$C$63,3,FALSE),"")</f>
        <v/>
      </c>
      <c r="K35" s="41"/>
      <c r="L35" s="122"/>
      <c r="M35" s="285" t="str">
        <f>IFERROR(VLOOKUP(L35,'Items List'!A1:B286,2,FALSE),"")</f>
        <v/>
      </c>
      <c r="N35" s="282"/>
      <c r="O35" s="282"/>
      <c r="P35" s="126"/>
      <c r="Q35" s="170" t="str">
        <f>IFERROR(VLOOKUP(M44,'Items List'!A1:B286,2,FALSE),"")</f>
        <v/>
      </c>
    </row>
    <row r="36" spans="2:17" ht="15.75" customHeight="1" x14ac:dyDescent="0.25">
      <c r="K36" s="170" t="s">
        <v>220</v>
      </c>
      <c r="L36" s="120"/>
      <c r="M36" s="279"/>
      <c r="N36" s="280"/>
      <c r="O36" s="280"/>
      <c r="P36" s="124"/>
      <c r="Q36" s="170" t="str">
        <f>IFERROR(VLOOKUP(M45,'Items List'!A1:B286,2,FALSE),"")</f>
        <v/>
      </c>
    </row>
    <row r="37" spans="2:17" ht="15.75" customHeight="1" x14ac:dyDescent="0.25">
      <c r="L37" s="121"/>
      <c r="M37" s="284"/>
      <c r="N37" s="275"/>
      <c r="O37" s="275"/>
      <c r="P37" s="123"/>
    </row>
    <row r="38" spans="2:17" ht="15.75" customHeight="1" x14ac:dyDescent="0.25">
      <c r="L38" s="121"/>
      <c r="M38" s="284"/>
      <c r="N38" s="275"/>
      <c r="O38" s="275"/>
      <c r="P38" s="123"/>
    </row>
    <row r="39" spans="2:17" ht="15.75" customHeight="1" x14ac:dyDescent="0.25">
      <c r="L39" s="121"/>
      <c r="M39" s="284"/>
      <c r="N39" s="275"/>
      <c r="O39" s="275"/>
      <c r="P39" s="123"/>
    </row>
    <row r="40" spans="2:17" ht="15.75" customHeight="1" thickBot="1" x14ac:dyDescent="0.3">
      <c r="K40" s="41"/>
      <c r="L40" s="122"/>
      <c r="M40" s="285"/>
      <c r="N40" s="282"/>
      <c r="O40" s="282"/>
      <c r="P40" s="126"/>
    </row>
    <row r="41" spans="2:17" ht="15.75" customHeight="1" x14ac:dyDescent="0.25">
      <c r="K41" s="170" t="s">
        <v>223</v>
      </c>
      <c r="L41" s="120"/>
      <c r="M41" s="279"/>
      <c r="N41" s="280"/>
      <c r="O41" s="280"/>
      <c r="P41" s="124"/>
    </row>
    <row r="42" spans="2:17" ht="15.75" customHeight="1" x14ac:dyDescent="0.25">
      <c r="L42" s="121"/>
      <c r="M42" s="284"/>
      <c r="N42" s="275"/>
      <c r="O42" s="275"/>
      <c r="P42" s="123"/>
    </row>
    <row r="43" spans="2:17" ht="15.75" customHeight="1" x14ac:dyDescent="0.25">
      <c r="L43" s="121"/>
      <c r="M43" s="284"/>
      <c r="N43" s="275"/>
      <c r="O43" s="275"/>
      <c r="P43" s="123"/>
    </row>
    <row r="44" spans="2:17" ht="15.75" customHeight="1" x14ac:dyDescent="0.25">
      <c r="L44" s="121"/>
      <c r="M44" s="284"/>
      <c r="N44" s="275"/>
      <c r="O44" s="275"/>
      <c r="P44" s="123"/>
    </row>
    <row r="45" spans="2:17" ht="15.75" customHeight="1" x14ac:dyDescent="0.25">
      <c r="L45" s="121"/>
      <c r="M45" s="284"/>
      <c r="N45" s="275"/>
      <c r="O45" s="275"/>
      <c r="P45" s="123"/>
    </row>
    <row r="46" spans="2:17" ht="15.75" customHeight="1" x14ac:dyDescent="0.25"/>
    <row r="47" spans="2:17" ht="15.75" customHeight="1" x14ac:dyDescent="0.25"/>
    <row r="48" spans="2:17"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37">
    <mergeCell ref="M45:O45"/>
    <mergeCell ref="M39:O39"/>
    <mergeCell ref="M40:O40"/>
    <mergeCell ref="M41:O41"/>
    <mergeCell ref="M42:O42"/>
    <mergeCell ref="M43:O43"/>
    <mergeCell ref="M44:O44"/>
    <mergeCell ref="M38:O38"/>
    <mergeCell ref="M27:O27"/>
    <mergeCell ref="M28:O28"/>
    <mergeCell ref="M29:O29"/>
    <mergeCell ref="M30:O30"/>
    <mergeCell ref="M31:O31"/>
    <mergeCell ref="M32:O32"/>
    <mergeCell ref="M33:O33"/>
    <mergeCell ref="M34:O34"/>
    <mergeCell ref="M35:O35"/>
    <mergeCell ref="M36:O36"/>
    <mergeCell ref="M37:O37"/>
    <mergeCell ref="M26:O26"/>
    <mergeCell ref="M15:O15"/>
    <mergeCell ref="M16:O16"/>
    <mergeCell ref="M17:O17"/>
    <mergeCell ref="M18:O18"/>
    <mergeCell ref="M19:O19"/>
    <mergeCell ref="M20:O20"/>
    <mergeCell ref="M21:O21"/>
    <mergeCell ref="M22:O22"/>
    <mergeCell ref="M23:O23"/>
    <mergeCell ref="M24:O24"/>
    <mergeCell ref="M25:O25"/>
    <mergeCell ref="M14:O14"/>
    <mergeCell ref="C7:L7"/>
    <mergeCell ref="C8:L8"/>
    <mergeCell ref="M11:O11"/>
    <mergeCell ref="M12:O12"/>
    <mergeCell ref="M13:O13"/>
  </mergeCells>
  <conditionalFormatting sqref="E16">
    <cfRule type="notContainsText" dxfId="3" priority="4" operator="notContains" text="TRUE">
      <formula>ISERROR(SEARCH(("TRUE"),(E16)))</formula>
    </cfRule>
    <cfRule type="containsText" dxfId="2" priority="5" operator="containsText" text="TRUE">
      <formula>NOT(ISERROR(SEARCH(("TRUE"),(E16))))</formula>
    </cfRule>
  </conditionalFormatting>
  <conditionalFormatting sqref="L2:L6">
    <cfRule type="containsText" dxfId="1" priority="1" operator="containsText" text="FALSE">
      <formula>NOT(ISERROR(SEARCH("FALSE",L2)))</formula>
    </cfRule>
    <cfRule type="containsText" dxfId="0" priority="2" operator="containsText" text="TRUE">
      <formula>NOT(ISERROR(SEARCH("TRUE",L2)))</formula>
    </cfRule>
  </conditionalFormatting>
  <conditionalFormatting sqref="M2:M6">
    <cfRule type="colorScale" priority="3">
      <colorScale>
        <cfvo type="num" val="1"/>
        <cfvo type="num" val="10"/>
        <color rgb="FF92D050"/>
        <color rgb="FFFF0000"/>
      </colorScale>
    </cfRule>
  </conditionalFormatting>
  <pageMargins left="0.7" right="0.7" top="0.75" bottom="0.75" header="0" footer="0"/>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License</vt:lpstr>
      <vt:lpstr>Acknowledgements</vt:lpstr>
      <vt:lpstr>Definitions</vt:lpstr>
      <vt:lpstr>Character Sheet Quick Reference</vt:lpstr>
      <vt:lpstr>Character Sheet</vt:lpstr>
      <vt:lpstr>Attribute Chart</vt:lpstr>
      <vt:lpstr>Damage Chart</vt:lpstr>
      <vt:lpstr>Moves List</vt:lpstr>
      <vt:lpstr>Abilities List</vt:lpstr>
      <vt:lpstr>Items List</vt:lpstr>
      <vt:lpstr>EXP Chart</vt:lpstr>
      <vt:lpstr>IQ Skills</vt:lpstr>
      <vt:lpstr>List of PKMN</vt:lpstr>
      <vt:lpstr>Backup Character Sheet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Dakota Markland</dc:creator>
  <cp:keywords/>
  <dc:description/>
  <cp:lastModifiedBy>Dakota Markland</cp:lastModifiedBy>
  <cp:revision/>
  <dcterms:created xsi:type="dcterms:W3CDTF">2020-01-18T01:09:09Z</dcterms:created>
  <dcterms:modified xsi:type="dcterms:W3CDTF">2026-10-14T00:15:31Z</dcterms:modified>
  <cp:category/>
  <cp:contentStatus/>
</cp:coreProperties>
</file>